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ГОЧ" sheetId="1" r:id="rId5"/>
    <sheet state="visible" name="Втрати ЗСУ" sheetId="2" r:id="rId6"/>
    <sheet state="visible" name="Застосування БК та FPV" sheetId="3" r:id="rId7"/>
    <sheet state="visible" name="ОВгП" sheetId="4" r:id="rId8"/>
  </sheets>
  <definedNames>
    <definedName hidden="1" localSheetId="3" name="_xlnm._FilterDatabase">'ОВгП'!$A$3:$BF$38</definedName>
    <definedName hidden="1" localSheetId="2" name="Z_9E1041DE_0C9B_40EA_A195_CFD1AE087C88_.wvu.FilterData">'Застосування БК та FPV'!$A$1:$E$231</definedName>
    <definedName hidden="1" localSheetId="1" name="Z_BE554FAD_02A0_4E19_B525_FF55F723061C_.wvu.FilterData">'Втрати ЗСУ'!$A$1:$Q$94</definedName>
    <definedName hidden="1" localSheetId="0" name="Z_E53B5F01_5C92_4E14_BAE7_B590534862E0_.wvu.FilterData">'ГОЧ'!$A$1:$BF$533</definedName>
  </definedNames>
  <calcPr/>
  <customWorkbookViews>
    <customWorkbookView activeSheetId="0" maximized="1" windowHeight="0" windowWidth="0" guid="{9E1041DE-0C9B-40EA-A195-CFD1AE087C88}" name="Застосування_БК_та_FPV filter view"/>
    <customWorkbookView activeSheetId="0" maximized="1" windowHeight="0" windowWidth="0" guid="{BE554FAD-02A0-4E19-B525-FF55F723061C}" name="Втрати_ЗСУ filter view"/>
    <customWorkbookView activeSheetId="0" maximized="1" windowHeight="0" windowWidth="0" guid="{E53B5F01-5C92-4E14-BAE7-B590534862E0}" name="ГОЧ_Дані filter view"/>
  </customWorkbookViews>
</workbook>
</file>

<file path=xl/sharedStrings.xml><?xml version="1.0" encoding="utf-8"?>
<sst xmlns="http://schemas.openxmlformats.org/spreadsheetml/2006/main" count="2253" uniqueCount="170">
  <si>
    <t>Дата</t>
  </si>
  <si>
    <t>Противник_БК</t>
  </si>
  <si>
    <t>Наші війська_БК</t>
  </si>
  <si>
    <t>Противник_FPV</t>
  </si>
  <si>
    <t>Наші війська_FPV</t>
  </si>
  <si>
    <t>засоби</t>
  </si>
  <si>
    <t>тип</t>
  </si>
  <si>
    <t>категорія</t>
  </si>
  <si>
    <t>УСБпС</t>
  </si>
  <si>
    <t>Угруповання</t>
  </si>
  <si>
    <t>УВ (с) "Захід"</t>
  </si>
  <si>
    <t>Всього бойових зіткнень</t>
  </si>
  <si>
    <t>12 АК</t>
  </si>
  <si>
    <t>Бойові зіткнення</t>
  </si>
  <si>
    <t>15 АК</t>
  </si>
  <si>
    <t>Тривають (бз)</t>
  </si>
  <si>
    <t>18 АК</t>
  </si>
  <si>
    <t xml:space="preserve">Штурмові дії </t>
  </si>
  <si>
    <t>УВ (с) "Північ"</t>
  </si>
  <si>
    <t>Тривають (шд)</t>
  </si>
  <si>
    <t>УВ "Курськ"</t>
  </si>
  <si>
    <t>14 АК</t>
  </si>
  <si>
    <t>Ракетні удари</t>
  </si>
  <si>
    <t>2 КНГУ "Хартія"</t>
  </si>
  <si>
    <t>Застосовано ракет</t>
  </si>
  <si>
    <t>16 АК</t>
  </si>
  <si>
    <t>10 АК</t>
  </si>
  <si>
    <t xml:space="preserve">АУ </t>
  </si>
  <si>
    <t>3 АК</t>
  </si>
  <si>
    <t>УОС</t>
  </si>
  <si>
    <t>КАБ</t>
  </si>
  <si>
    <t>11 АК</t>
  </si>
  <si>
    <t>КАР</t>
  </si>
  <si>
    <t>19 АК</t>
  </si>
  <si>
    <t>ВСЬОГО УДАРІВ БпЛА</t>
  </si>
  <si>
    <t>1 КНГУ "Азов"</t>
  </si>
  <si>
    <t>7 КШР</t>
  </si>
  <si>
    <t>Шахеди/Гербера/Пародія</t>
  </si>
  <si>
    <t>Покровський н.</t>
  </si>
  <si>
    <t>Італмас</t>
  </si>
  <si>
    <t>безповоротні_доба</t>
  </si>
  <si>
    <t>9 АК</t>
  </si>
  <si>
    <t>санітарні_доба</t>
  </si>
  <si>
    <t>Ланцет</t>
  </si>
  <si>
    <t>полон_доба</t>
  </si>
  <si>
    <t>УВ (с) "Схід"</t>
  </si>
  <si>
    <t>зниклі_безвісті_доба</t>
  </si>
  <si>
    <t>Молнія</t>
  </si>
  <si>
    <t>ВСЬОГО_доба</t>
  </si>
  <si>
    <t>20 АК</t>
  </si>
  <si>
    <t>Бандероль</t>
  </si>
  <si>
    <t>безповоротні_рік</t>
  </si>
  <si>
    <t>санітарні_рік</t>
  </si>
  <si>
    <t>Олександрівський н.</t>
  </si>
  <si>
    <t>Привіт/Куб</t>
  </si>
  <si>
    <t>полон_рік</t>
  </si>
  <si>
    <t>зниклі_безвісті_рік</t>
  </si>
  <si>
    <t>17 АК</t>
  </si>
  <si>
    <t>FPV-дрони</t>
  </si>
  <si>
    <t>ВСЬОГО_рік</t>
  </si>
  <si>
    <t>30 КМП</t>
  </si>
  <si>
    <t>безповоротні_всього</t>
  </si>
  <si>
    <t>Обстріли</t>
  </si>
  <si>
    <t>санітарні_всього</t>
  </si>
  <si>
    <t>ОТУ "Одеса"</t>
  </si>
  <si>
    <t>полон_всього</t>
  </si>
  <si>
    <t>зниклі_безвісті_всього</t>
  </si>
  <si>
    <t>УВ (с) "Південь"</t>
  </si>
  <si>
    <t>Всього втрачено позицій</t>
  </si>
  <si>
    <t>ВСЬОГО_всього</t>
  </si>
  <si>
    <t>ВСЬОГО за СО</t>
  </si>
  <si>
    <t>Знищено</t>
  </si>
  <si>
    <t>ВСЬОГО за СО:</t>
  </si>
  <si>
    <t xml:space="preserve"> Внаслідок ШД</t>
  </si>
  <si>
    <t>вартість</t>
  </si>
  <si>
    <t>артість_за_шт</t>
  </si>
  <si>
    <t>сам. зал. позиції</t>
  </si>
  <si>
    <t>Всього відновлено/виставлено позицій</t>
  </si>
  <si>
    <t>вз</t>
  </si>
  <si>
    <t>бп</t>
  </si>
  <si>
    <t>Відновлено позицій</t>
  </si>
  <si>
    <t>Виставлено позицій</t>
  </si>
  <si>
    <t>безповоротні_ЗСУ</t>
  </si>
  <si>
    <t>санітарні_ЗСУ</t>
  </si>
  <si>
    <t>зниклі безвісті_ЗСУ</t>
  </si>
  <si>
    <t>полон_ЗСУ</t>
  </si>
  <si>
    <t>Втрати_всього_ЗСУ</t>
  </si>
  <si>
    <t>безповоротні_рф</t>
  </si>
  <si>
    <t>санітарні_рф</t>
  </si>
  <si>
    <t>полон_рф</t>
  </si>
  <si>
    <t>Втрати_всього_рф</t>
  </si>
  <si>
    <t>безповоротні_рік_ЗСУ</t>
  </si>
  <si>
    <t>санітарні_рік_ЗСУ</t>
  </si>
  <si>
    <t>зниклі безвісті_рік_ЗСУ</t>
  </si>
  <si>
    <t>полон_рік_ЗСУ</t>
  </si>
  <si>
    <t>227 мм М26</t>
  </si>
  <si>
    <t>РСЗВ</t>
  </si>
  <si>
    <t>Втрати_всього_рік_ЗСУ</t>
  </si>
  <si>
    <t>важкий</t>
  </si>
  <si>
    <t>безповоротні_рік_рф</t>
  </si>
  <si>
    <t>санітарні_рік_рф</t>
  </si>
  <si>
    <t>полон_рік_рф</t>
  </si>
  <si>
    <t>Втрати_всього_рік_рф</t>
  </si>
  <si>
    <t>безповоротні_всього_рф</t>
  </si>
  <si>
    <t>санітарні_всього_рф</t>
  </si>
  <si>
    <t>полон_всього_рф</t>
  </si>
  <si>
    <t>Втрати_всього_всього_рф</t>
  </si>
  <si>
    <t>втрачено_територій</t>
  </si>
  <si>
    <t>відновлено_територій</t>
  </si>
  <si>
    <t>втрачені_нп</t>
  </si>
  <si>
    <t>відновлені_нп</t>
  </si>
  <si>
    <t>втрати_територій_сумарно</t>
  </si>
  <si>
    <t>відновлено_територій_сумарно</t>
  </si>
  <si>
    <t>втрачені_нп_опис</t>
  </si>
  <si>
    <t>відновлені_нп_опис</t>
  </si>
  <si>
    <t>227 мм М30</t>
  </si>
  <si>
    <t>227 мм М30А1(А2)</t>
  </si>
  <si>
    <t>227 мм М31А1(А2)</t>
  </si>
  <si>
    <t>227 мм GLSDB</t>
  </si>
  <si>
    <t>227 мм DM-72</t>
  </si>
  <si>
    <t>важкий дистанційне мінування</t>
  </si>
  <si>
    <t>М982 Excalibur</t>
  </si>
  <si>
    <t>ствольний</t>
  </si>
  <si>
    <t>середній протитанковий</t>
  </si>
  <si>
    <t>610 мм М39</t>
  </si>
  <si>
    <t>ракета</t>
  </si>
  <si>
    <t>балістична</t>
  </si>
  <si>
    <t>610 мм М48</t>
  </si>
  <si>
    <t>610 мм М57</t>
  </si>
  <si>
    <t>Р-360 "Нептун"</t>
  </si>
  <si>
    <t>крилата</t>
  </si>
  <si>
    <t>155 мм Bonus</t>
  </si>
  <si>
    <t>155 мм Vulcano</t>
  </si>
  <si>
    <t>155 мм Smart</t>
  </si>
  <si>
    <t>155 мм Coperhed</t>
  </si>
  <si>
    <t>155 мм М864 (касетні)</t>
  </si>
  <si>
    <t>середній касетний</t>
  </si>
  <si>
    <t>155 мм М483 (касетні)</t>
  </si>
  <si>
    <t>155 мм М741 (ДМ)</t>
  </si>
  <si>
    <t>середній дистанційне мінування</t>
  </si>
  <si>
    <t>155 мм М692 (ДМ)</t>
  </si>
  <si>
    <t>155 мм М731 (ДМ)</t>
  </si>
  <si>
    <t>300 мм  РС</t>
  </si>
  <si>
    <t>220 мм РС</t>
  </si>
  <si>
    <t>128 мм РС</t>
  </si>
  <si>
    <t>середній</t>
  </si>
  <si>
    <t>122 мм РС</t>
  </si>
  <si>
    <t>70 мм РС</t>
  </si>
  <si>
    <t>легкий</t>
  </si>
  <si>
    <t>203 мм</t>
  </si>
  <si>
    <t>важкий ОФ</t>
  </si>
  <si>
    <t xml:space="preserve">155 мм </t>
  </si>
  <si>
    <t>середній ОФ</t>
  </si>
  <si>
    <t>152 мм</t>
  </si>
  <si>
    <t>122 мм</t>
  </si>
  <si>
    <t>105 мм</t>
  </si>
  <si>
    <t>легкий ОФ</t>
  </si>
  <si>
    <t>Курськ, Рильск</t>
  </si>
  <si>
    <t>100 мм</t>
  </si>
  <si>
    <t>85 мм</t>
  </si>
  <si>
    <t>120 мм міномети</t>
  </si>
  <si>
    <t>мінометний</t>
  </si>
  <si>
    <t>Олександівка</t>
  </si>
  <si>
    <t>82 мм міномети</t>
  </si>
  <si>
    <t>60 мм міномети</t>
  </si>
  <si>
    <t>Пантелеймонівка</t>
  </si>
  <si>
    <t>Загреблі, Верхні води</t>
  </si>
  <si>
    <t>Миколаївка</t>
  </si>
  <si>
    <t>Ступочки</t>
  </si>
  <si>
    <t>Дитяче крем-мило Лінія краси захисне з мигдальним молочком 5 л (6504) (4823080006504) Укрпошта, с. Стара Оржиця, 07632, Пересувне відділення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</si>
</sst>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7">
    <font>
      <sz val="11.0"/>
      <color theme="1"/>
      <name val="Aptos Narrow"/>
      <scheme val="minor"/>
    </font>
    <font>
      <b/>
      <sz val="18.0"/>
      <color theme="1"/>
      <name val="Times New Roman"/>
    </font>
    <font>
      <b/>
      <sz val="12.0"/>
      <color theme="1"/>
      <name val="Aptos Narrow"/>
    </font>
    <font>
      <sz val="18.0"/>
      <color theme="1"/>
      <name val="Times New Roman"/>
    </font>
    <font>
      <b/>
      <sz val="20.0"/>
      <color rgb="FFFFFFFF"/>
      <name val="Aptos Narrow"/>
    </font>
    <font/>
    <font>
      <b/>
      <sz val="14.0"/>
      <color rgb="FFFFFFFF"/>
      <name val="Aptos Narrow"/>
    </font>
    <font>
      <sz val="12.0"/>
      <color theme="1"/>
      <name val="Aptos Narrow"/>
    </font>
    <font>
      <b/>
      <i/>
      <sz val="14.0"/>
      <color rgb="FFFFFFFF"/>
      <name val="Aptos Narrow"/>
    </font>
    <font>
      <sz val="11.0"/>
      <color theme="1"/>
      <name val="Aptos Narrow"/>
    </font>
    <font>
      <u/>
      <sz val="11.0"/>
      <color theme="1"/>
      <name val="Aptos Narrow"/>
    </font>
    <font>
      <color theme="1"/>
      <name val="Aptos Narrow"/>
      <scheme val="minor"/>
    </font>
    <font>
      <sz val="14.0"/>
      <color theme="1"/>
      <name val="Times New Roman"/>
    </font>
    <font>
      <b/>
      <sz val="20.0"/>
      <color theme="1"/>
      <name val="Times New Roman"/>
    </font>
    <font>
      <sz val="20.0"/>
      <color theme="1"/>
      <name val="Aptos Narrow"/>
    </font>
    <font>
      <b/>
      <sz val="14.0"/>
      <color theme="1"/>
      <name val="Aptos Narrow"/>
    </font>
    <font>
      <i/>
      <sz val="14.0"/>
      <color theme="1"/>
      <name val="Aptos Narrow"/>
    </font>
    <font>
      <sz val="14.0"/>
      <color theme="1"/>
      <name val="Aptos Narrow"/>
    </font>
    <font>
      <sz val="20.0"/>
      <color theme="1"/>
      <name val="Times New Roman"/>
    </font>
    <font>
      <b/>
      <sz val="22.0"/>
      <color theme="1"/>
      <name val="Aptos Narrow"/>
    </font>
    <font>
      <b/>
      <sz val="24.0"/>
      <color theme="1"/>
      <name val="Aptos Narrow"/>
    </font>
    <font>
      <sz val="24.0"/>
      <color theme="1"/>
      <name val="Aptos Narrow"/>
    </font>
    <font>
      <sz val="24.0"/>
      <color rgb="FFFF0000"/>
      <name val="Aptos Narrow"/>
    </font>
    <font>
      <b/>
      <sz val="24.0"/>
      <color rgb="FFFF0000"/>
      <name val="Aptos Narrow"/>
    </font>
    <font>
      <sz val="22.0"/>
      <color theme="1"/>
      <name val="Aptos Narrow"/>
    </font>
    <font>
      <b/>
      <sz val="20.0"/>
      <color theme="1"/>
      <name val="Aptos Narrow"/>
    </font>
    <font>
      <sz val="12.0"/>
      <color rgb="FFE8EAED"/>
      <name val="Arial"/>
    </font>
  </fonts>
  <fills count="27">
    <fill>
      <patternFill patternType="none"/>
    </fill>
    <fill>
      <patternFill patternType="lightGray"/>
    </fill>
    <fill>
      <patternFill patternType="solid">
        <fgColor rgb="FFAEAEAE"/>
        <bgColor rgb="FFAEAEAE"/>
      </patternFill>
    </fill>
    <fill>
      <patternFill patternType="solid">
        <fgColor theme="0"/>
        <bgColor theme="0"/>
      </patternFill>
    </fill>
    <fill>
      <patternFill patternType="solid">
        <fgColor rgb="FF83CAEB"/>
        <bgColor rgb="FF83CAEB"/>
      </patternFill>
    </fill>
    <fill>
      <patternFill patternType="solid">
        <fgColor rgb="FFFAE2D5"/>
        <bgColor rgb="FFFAE2D5"/>
      </patternFill>
    </fill>
    <fill>
      <patternFill patternType="solid">
        <fgColor rgb="FF95DCF7"/>
        <bgColor rgb="FF95DCF7"/>
      </patternFill>
    </fill>
    <fill>
      <patternFill patternType="solid">
        <fgColor rgb="FFB3E5A1"/>
        <bgColor rgb="FFB3E5A1"/>
      </patternFill>
    </fill>
    <fill>
      <patternFill patternType="solid">
        <fgColor rgb="FFFFFF00"/>
        <bgColor rgb="FFFFFF00"/>
      </patternFill>
    </fill>
    <fill>
      <patternFill patternType="solid">
        <fgColor rgb="FFB8D4EF"/>
        <bgColor rgb="FFB8D4EF"/>
      </patternFill>
    </fill>
    <fill>
      <patternFill patternType="solid">
        <fgColor rgb="FF215E99"/>
        <bgColor rgb="FF215E99"/>
      </patternFill>
    </fill>
    <fill>
      <patternFill patternType="solid">
        <fgColor rgb="FF7F7F7F"/>
        <bgColor rgb="FF7F7F7F"/>
      </patternFill>
    </fill>
    <fill>
      <patternFill patternType="solid">
        <fgColor rgb="FF92D050"/>
        <bgColor rgb="FF92D050"/>
      </patternFill>
    </fill>
    <fill>
      <patternFill patternType="solid">
        <fgColor rgb="FFFF7C80"/>
        <bgColor rgb="FFFF7C80"/>
      </patternFill>
    </fill>
    <fill>
      <patternFill patternType="solid">
        <fgColor rgb="FFD76DCC"/>
        <bgColor rgb="FFD76DCC"/>
      </patternFill>
    </fill>
    <fill>
      <patternFill patternType="solid">
        <fgColor rgb="FF45B0E1"/>
        <bgColor rgb="FF45B0E1"/>
      </patternFill>
    </fill>
    <fill>
      <patternFill patternType="solid">
        <fgColor rgb="FFF1A983"/>
        <bgColor rgb="FFF1A983"/>
      </patternFill>
    </fill>
    <fill>
      <patternFill patternType="solid">
        <fgColor rgb="FFBF4F14"/>
        <bgColor rgb="FFBF4F14"/>
      </patternFill>
    </fill>
    <fill>
      <patternFill patternType="solid">
        <fgColor rgb="FFF2F2F2"/>
        <bgColor rgb="FFF2F2F2"/>
      </patternFill>
    </fill>
    <fill>
      <patternFill patternType="solid">
        <fgColor rgb="FFA6C9EB"/>
        <bgColor rgb="FFA6C9EB"/>
      </patternFill>
    </fill>
    <fill>
      <patternFill patternType="solid">
        <fgColor rgb="FF4D94D8"/>
        <bgColor rgb="FF4D94D8"/>
      </patternFill>
    </fill>
    <fill>
      <patternFill patternType="solid">
        <fgColor rgb="FFFFE5E5"/>
        <bgColor rgb="FFFFE5E5"/>
      </patternFill>
    </fill>
    <fill>
      <patternFill patternType="solid">
        <fgColor rgb="FFC1E4F5"/>
        <bgColor rgb="FFC1E4F5"/>
      </patternFill>
    </fill>
    <fill>
      <patternFill patternType="solid">
        <fgColor rgb="FF8ED873"/>
        <bgColor rgb="FF8ED873"/>
      </patternFill>
    </fill>
    <fill>
      <patternFill patternType="solid">
        <fgColor rgb="FFABFFFB"/>
        <bgColor rgb="FFABFFFB"/>
      </patternFill>
    </fill>
    <fill>
      <patternFill patternType="solid">
        <fgColor rgb="FFD8D8D8"/>
        <bgColor rgb="FFD8D8D8"/>
      </patternFill>
    </fill>
    <fill>
      <patternFill patternType="solid">
        <fgColor theme="9"/>
        <bgColor theme="9"/>
      </patternFill>
    </fill>
  </fills>
  <borders count="37">
    <border/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medium">
        <color rgb="FF000000"/>
      </left>
      <right/>
      <top style="thin">
        <color rgb="FF45B0E1"/>
      </top>
      <bottom/>
    </border>
    <border>
      <left/>
      <right/>
      <top/>
      <bottom/>
    </border>
    <border>
      <left style="thin">
        <color rgb="FF000000"/>
      </left>
      <right/>
      <top style="thin">
        <color rgb="FF45B0E1"/>
      </top>
      <bottom/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5B0E1"/>
      </left>
      <right/>
      <top style="thin">
        <color rgb="FF45B0E1"/>
      </top>
      <bottom/>
    </border>
    <border>
      <left/>
      <right/>
      <top style="thin">
        <color rgb="FF45B0E1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45B0E1"/>
      </top>
    </border>
    <border>
      <left style="medium">
        <color rgb="FF000000"/>
      </left>
      <top style="thin">
        <color rgb="FF45B0E1"/>
      </top>
    </border>
    <border>
      <left style="thin">
        <color rgb="FF000000"/>
      </left>
      <right/>
      <top style="medium">
        <color rgb="FF000000"/>
      </top>
      <bottom/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/>
      <right/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/>
    </border>
    <border>
      <left style="thin">
        <color rgb="FF000000"/>
      </left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211">
    <xf borderId="0" fillId="0" fontId="0" numFmtId="0" xfId="0" applyAlignment="1" applyFont="1">
      <alignment readingOrder="0" shrinkToFit="0" vertical="bottom" wrapText="0"/>
    </xf>
    <xf borderId="1" fillId="0" fontId="1" numFmtId="14" xfId="0" applyAlignment="1" applyBorder="1" applyFont="1" applyNumberFormat="1">
      <alignment horizontal="center" readingOrder="0" shrinkToFit="0" vertical="center" wrapText="0"/>
    </xf>
    <xf borderId="2" fillId="0" fontId="1" numFmtId="14" xfId="0" applyAlignment="1" applyBorder="1" applyFont="1" applyNumberFormat="1">
      <alignment horizontal="center" readingOrder="0" shrinkToFit="0" vertical="center" wrapText="0"/>
    </xf>
    <xf borderId="3" fillId="2" fontId="2" numFmtId="0" xfId="0" applyAlignment="1" applyBorder="1" applyFill="1" applyFont="1">
      <alignment horizontal="center" shrinkToFit="0" vertical="center" wrapText="1"/>
    </xf>
    <xf borderId="4" fillId="0" fontId="3" numFmtId="14" xfId="0" applyAlignment="1" applyBorder="1" applyFont="1" applyNumberFormat="1">
      <alignment horizontal="center" shrinkToFit="0" vertical="center" wrapText="0"/>
    </xf>
    <xf borderId="5" fillId="3" fontId="4" numFmtId="0" xfId="0" applyAlignment="1" applyBorder="1" applyFill="1" applyFont="1">
      <alignment horizontal="center" readingOrder="0" shrinkToFit="0" vertical="center" wrapText="1"/>
    </xf>
    <xf borderId="6" fillId="4" fontId="2" numFmtId="0" xfId="0" applyAlignment="1" applyBorder="1" applyFill="1" applyFont="1">
      <alignment horizontal="center" shrinkToFit="0" textRotation="90" vertical="center" wrapText="1"/>
    </xf>
    <xf borderId="7" fillId="0" fontId="5" numFmtId="0" xfId="0" applyBorder="1" applyFont="1"/>
    <xf borderId="8" fillId="4" fontId="2" numFmtId="0" xfId="0" applyAlignment="1" applyBorder="1" applyFill="1" applyFont="1">
      <alignment horizontal="center" shrinkToFit="0" textRotation="90" vertical="center" wrapText="1"/>
    </xf>
    <xf borderId="9" fillId="5" fontId="6" numFmtId="0" xfId="0" applyAlignment="1" applyBorder="1" applyFill="1" applyFont="1">
      <alignment horizontal="left" readingOrder="0" shrinkToFit="0" textRotation="90" vertical="center" wrapText="1"/>
    </xf>
    <xf borderId="10" fillId="0" fontId="3" numFmtId="1" xfId="0" applyAlignment="1" applyBorder="1" applyFont="1" applyNumberFormat="1">
      <alignment horizontal="center" shrinkToFit="0" vertical="center" wrapText="0"/>
    </xf>
    <xf borderId="11" fillId="3" fontId="6" numFmtId="0" xfId="0" applyAlignment="1" applyBorder="1" applyFill="1" applyFont="1">
      <alignment horizontal="center" readingOrder="0" shrinkToFit="0" textRotation="90" vertical="center" wrapText="1"/>
    </xf>
    <xf borderId="8" fillId="3" fontId="7" numFmtId="0" xfId="0" applyAlignment="1" applyBorder="1" applyFill="1" applyFont="1">
      <alignment horizontal="center" shrinkToFit="0" textRotation="90" vertical="center" wrapText="1"/>
    </xf>
    <xf borderId="11" fillId="3" fontId="8" numFmtId="0" xfId="0" applyAlignment="1" applyBorder="1" applyFill="1" applyFont="1">
      <alignment horizontal="center" readingOrder="0" shrinkToFit="0" textRotation="90" vertical="center" wrapText="1"/>
    </xf>
    <xf borderId="9" fillId="6" fontId="6" numFmtId="0" xfId="0" applyAlignment="1" applyBorder="1" applyFill="1" applyFont="1">
      <alignment horizontal="left" readingOrder="0" shrinkToFit="0" textRotation="90" vertical="center" wrapText="1"/>
    </xf>
    <xf borderId="11" fillId="6" fontId="6" numFmtId="0" xfId="0" applyAlignment="1" applyBorder="1" applyFill="1" applyFont="1">
      <alignment horizontal="left" readingOrder="0" shrinkToFit="0" textRotation="90" vertical="center" wrapText="1"/>
    </xf>
    <xf borderId="9" fillId="4" fontId="6" numFmtId="0" xfId="0" applyAlignment="1" applyBorder="1" applyFill="1" applyFont="1">
      <alignment horizontal="left" readingOrder="0" shrinkToFit="0" textRotation="90" vertical="center" wrapText="1"/>
    </xf>
    <xf borderId="11" fillId="4" fontId="6" numFmtId="0" xfId="0" applyAlignment="1" applyBorder="1" applyFill="1" applyFont="1">
      <alignment horizontal="left" readingOrder="0" shrinkToFit="0" textRotation="90" vertical="center" wrapText="1"/>
    </xf>
    <xf borderId="9" fillId="7" fontId="6" numFmtId="0" xfId="0" applyAlignment="1" applyBorder="1" applyFill="1" applyFont="1">
      <alignment horizontal="center" readingOrder="0" shrinkToFit="0" textRotation="90" vertical="center" wrapText="1"/>
    </xf>
    <xf borderId="0" fillId="0" fontId="9" numFmtId="0" xfId="0" applyAlignment="1" applyFont="1">
      <alignment horizontal="center" readingOrder="0" shrinkToFit="0" vertical="center" wrapText="0"/>
    </xf>
    <xf borderId="11" fillId="3" fontId="6" numFmtId="0" xfId="0" applyAlignment="1" applyBorder="1" applyFill="1" applyFont="1">
      <alignment horizontal="left" readingOrder="0" shrinkToFit="0" textRotation="90" vertical="center" wrapText="1"/>
    </xf>
    <xf borderId="0" fillId="0" fontId="10" numFmtId="0" xfId="0" applyAlignment="1" applyFont="1">
      <alignment horizontal="center" readingOrder="0" shrinkToFit="0" vertical="center" wrapText="0"/>
    </xf>
    <xf borderId="5" fillId="8" fontId="6" numFmtId="0" xfId="0" applyAlignment="1" applyBorder="1" applyFill="1" applyFont="1">
      <alignment horizontal="left" readingOrder="0" shrinkToFit="0" textRotation="90" vertical="center" wrapText="1"/>
    </xf>
    <xf borderId="9" fillId="9" fontId="6" numFmtId="0" xfId="0" applyAlignment="1" applyBorder="1" applyFill="1" applyFont="1">
      <alignment horizontal="center" readingOrder="0" shrinkToFit="0" textRotation="90" vertical="center" wrapText="1"/>
    </xf>
    <xf borderId="0" fillId="0" fontId="9" numFmtId="14" xfId="0" applyAlignment="1" applyFont="1" applyNumberFormat="1">
      <alignment shrinkToFit="0" vertical="center" wrapText="0"/>
    </xf>
    <xf borderId="8" fillId="10" fontId="2" numFmtId="0" xfId="0" applyAlignment="1" applyBorder="1" applyFill="1" applyFont="1">
      <alignment horizontal="center" shrinkToFit="0" textRotation="90" vertical="center" wrapText="1"/>
    </xf>
    <xf borderId="12" fillId="10" fontId="2" numFmtId="0" xfId="0" applyAlignment="1" applyBorder="1" applyFill="1" applyFont="1">
      <alignment horizontal="center" shrinkToFit="0" textRotation="90" vertical="center" wrapText="1"/>
    </xf>
    <xf borderId="13" fillId="2" fontId="2" numFmtId="0" xfId="0" applyAlignment="1" applyBorder="1" applyFill="1" applyFont="1">
      <alignment horizontal="left" shrinkToFit="0" vertical="center" wrapText="1"/>
    </xf>
    <xf borderId="14" fillId="2" fontId="2" numFmtId="0" xfId="0" applyAlignment="1" applyBorder="1" applyFill="1" applyFont="1">
      <alignment horizontal="left" shrinkToFit="0" vertical="center" wrapText="1"/>
    </xf>
    <xf borderId="11" fillId="9" fontId="6" numFmtId="0" xfId="0" applyAlignment="1" applyBorder="1" applyFill="1" applyFont="1">
      <alignment horizontal="left" readingOrder="0" shrinkToFit="0" textRotation="90" vertical="center" wrapText="1"/>
    </xf>
    <xf borderId="0" fillId="0" fontId="11" numFmtId="0" xfId="0" applyAlignment="1" applyFont="1">
      <alignment shrinkToFit="0" vertical="center" wrapText="0"/>
    </xf>
    <xf borderId="3" fillId="11" fontId="2" numFmtId="0" xfId="0" applyAlignment="1" applyBorder="1" applyFill="1" applyFont="1">
      <alignment horizontal="left" shrinkToFit="0" vertical="center" wrapText="1"/>
    </xf>
    <xf borderId="3" fillId="2" fontId="2" numFmtId="0" xfId="0" applyAlignment="1" applyBorder="1" applyFill="1" applyFont="1">
      <alignment horizontal="left" shrinkToFit="0" vertical="center" wrapText="1"/>
    </xf>
    <xf borderId="9" fillId="3" fontId="6" numFmtId="0" xfId="0" applyAlignment="1" applyBorder="1" applyFill="1" applyFont="1">
      <alignment horizontal="center" readingOrder="0" shrinkToFit="0" textRotation="90" vertical="center" wrapText="1"/>
    </xf>
    <xf borderId="5" fillId="12" fontId="6" numFmtId="0" xfId="0" applyAlignment="1" applyBorder="1" applyFill="1" applyFont="1">
      <alignment horizontal="center" readingOrder="0" shrinkToFit="0" textRotation="90" vertical="center" wrapText="1"/>
    </xf>
    <xf borderId="15" fillId="3" fontId="6" numFmtId="0" xfId="0" applyAlignment="1" applyBorder="1" applyFill="1" applyFont="1">
      <alignment horizontal="center" readingOrder="0" shrinkToFit="0" textRotation="90" vertical="center" wrapText="1"/>
    </xf>
    <xf borderId="16" fillId="2" fontId="9" numFmtId="0" xfId="0" applyBorder="1" applyFill="1" applyFont="1"/>
    <xf borderId="17" fillId="3" fontId="6" numFmtId="0" xfId="0" applyAlignment="1" applyBorder="1" applyFill="1" applyFont="1">
      <alignment horizontal="center" readingOrder="0" shrinkToFit="0" textRotation="90" vertical="center" wrapText="1"/>
    </xf>
    <xf borderId="18" fillId="8" fontId="2" numFmtId="0" xfId="0" applyAlignment="1" applyBorder="1" applyFill="1" applyFont="1">
      <alignment horizontal="left" shrinkToFit="0" vertical="center" wrapText="1"/>
    </xf>
    <xf borderId="16" fillId="8" fontId="2" numFmtId="0" xfId="0" applyAlignment="1" applyBorder="1" applyFill="1" applyFont="1">
      <alignment horizontal="left" shrinkToFit="0" vertical="center" wrapText="1"/>
    </xf>
    <xf borderId="19" fillId="8" fontId="2" numFmtId="0" xfId="0" applyAlignment="1" applyBorder="1" applyFill="1" applyFont="1">
      <alignment horizontal="left" shrinkToFit="0" vertical="center" wrapText="1"/>
    </xf>
    <xf borderId="20" fillId="13" fontId="6" numFmtId="0" xfId="0" applyAlignment="1" applyBorder="1" applyFill="1" applyFont="1">
      <alignment horizontal="center" readingOrder="0" shrinkToFit="0" textRotation="90" vertical="center" wrapText="1"/>
    </xf>
    <xf borderId="14" fillId="8" fontId="2" numFmtId="0" xfId="0" applyAlignment="1" applyBorder="1" applyFill="1" applyFont="1">
      <alignment horizontal="left" shrinkToFit="0" vertical="center" wrapText="1"/>
    </xf>
    <xf borderId="16" fillId="8" fontId="9" numFmtId="0" xfId="0" applyBorder="1" applyFill="1" applyFont="1"/>
    <xf borderId="13" fillId="8" fontId="12" numFmtId="14" xfId="0" applyAlignment="1" applyBorder="1" applyFill="1" applyFont="1" applyNumberFormat="1">
      <alignment horizontal="left" vertical="center"/>
    </xf>
    <xf borderId="21" fillId="0" fontId="12" numFmtId="0" xfId="0" applyAlignment="1" applyBorder="1" applyFont="1">
      <alignment horizontal="left" vertical="center"/>
    </xf>
    <xf borderId="21" fillId="0" fontId="12" numFmtId="0" xfId="0" applyAlignment="1" applyBorder="1" applyFont="1">
      <alignment horizontal="left" shrinkToFit="0" vertical="center" wrapText="1"/>
    </xf>
    <xf borderId="21" fillId="3" fontId="12" numFmtId="0" xfId="0" applyAlignment="1" applyBorder="1" applyFill="1" applyFont="1">
      <alignment horizontal="left" vertical="center"/>
    </xf>
    <xf borderId="5" fillId="14" fontId="6" numFmtId="0" xfId="0" applyAlignment="1" applyBorder="1" applyFill="1" applyFont="1">
      <alignment horizontal="center" readingOrder="0" shrinkToFit="0" textRotation="90" vertical="center" wrapText="1"/>
    </xf>
    <xf borderId="21" fillId="4" fontId="9" numFmtId="0" xfId="0" applyBorder="1" applyFill="1" applyFont="1"/>
    <xf borderId="21" fillId="15" fontId="9" numFmtId="0" xfId="0" applyBorder="1" applyFill="1" applyFont="1"/>
    <xf borderId="20" fillId="16" fontId="6" numFmtId="0" xfId="0" applyAlignment="1" applyBorder="1" applyFill="1" applyFont="1">
      <alignment horizontal="center" readingOrder="0" shrinkToFit="0" textRotation="90" vertical="center" wrapText="1"/>
    </xf>
    <xf borderId="20" fillId="17" fontId="6" numFmtId="0" xfId="0" applyAlignment="1" applyBorder="1" applyFill="1" applyFont="1">
      <alignment horizontal="center" readingOrder="0" shrinkToFit="0" textRotation="90" vertical="center" wrapText="1"/>
    </xf>
    <xf borderId="21" fillId="0" fontId="9" numFmtId="0" xfId="0" applyBorder="1" applyFont="1"/>
    <xf borderId="21" fillId="18" fontId="9" numFmtId="0" xfId="0" applyBorder="1" applyFill="1" applyFont="1"/>
    <xf borderId="22" fillId="3" fontId="13" numFmtId="14" xfId="0" applyAlignment="1" applyBorder="1" applyFill="1" applyFont="1" applyNumberFormat="1">
      <alignment horizontal="center" shrinkToFit="0" vertical="center" wrapText="0"/>
    </xf>
    <xf borderId="23" fillId="8" fontId="14" numFmtId="0" xfId="0" applyAlignment="1" applyBorder="1" applyFill="1" applyFont="1">
      <alignment horizontal="center" shrinkToFit="0" vertical="center" wrapText="1"/>
    </xf>
    <xf borderId="23" fillId="8" fontId="15" numFmtId="0" xfId="0" applyAlignment="1" applyBorder="1" applyFill="1" applyFont="1">
      <alignment shrinkToFit="0" textRotation="90" vertical="center" wrapText="1"/>
    </xf>
    <xf borderId="23" fillId="8" fontId="15" numFmtId="0" xfId="0" applyAlignment="1" applyBorder="1" applyFill="1" applyFont="1">
      <alignment horizontal="center" shrinkToFit="0" textRotation="90" vertical="center" wrapText="1"/>
    </xf>
    <xf borderId="23" fillId="8" fontId="16" numFmtId="0" xfId="0" applyAlignment="1" applyBorder="1" applyFill="1" applyFont="1">
      <alignment horizontal="center" shrinkToFit="0" textRotation="90" vertical="center" wrapText="1"/>
    </xf>
    <xf borderId="23" fillId="8" fontId="17" numFmtId="0" xfId="0" applyAlignment="1" applyBorder="1" applyFill="1" applyFont="1">
      <alignment shrinkToFit="0" textRotation="90" vertical="center" wrapText="1"/>
    </xf>
    <xf borderId="23" fillId="8" fontId="17" numFmtId="0" xfId="0" applyAlignment="1" applyBorder="1" applyFill="1" applyFont="1">
      <alignment horizontal="center" shrinkToFit="0" textRotation="90" vertical="center" wrapText="1"/>
    </xf>
    <xf borderId="23" fillId="8" fontId="17" numFmtId="0" xfId="0" applyAlignment="1" applyBorder="1" applyFill="1" applyFont="1">
      <alignment horizontal="center" shrinkToFit="0" textRotation="90" vertical="center" wrapText="0"/>
    </xf>
    <xf borderId="0" fillId="0" fontId="9" numFmtId="0" xfId="0" applyAlignment="1" applyFont="1">
      <alignment shrinkToFit="0" vertical="center" wrapText="0"/>
    </xf>
    <xf borderId="23" fillId="14" fontId="17" numFmtId="0" xfId="0" applyAlignment="1" applyBorder="1" applyFill="1" applyFont="1">
      <alignment horizontal="center" shrinkToFit="0" textRotation="90" vertical="center" wrapText="0"/>
    </xf>
    <xf borderId="23" fillId="16" fontId="17" numFmtId="0" xfId="0" applyAlignment="1" applyBorder="1" applyFill="1" applyFont="1">
      <alignment horizontal="center" shrinkToFit="0" textRotation="90" vertical="center" wrapText="0"/>
    </xf>
    <xf borderId="23" fillId="17" fontId="17" numFmtId="0" xfId="0" applyAlignment="1" applyBorder="1" applyFill="1" applyFont="1">
      <alignment horizontal="center" shrinkToFit="0" textRotation="90" vertical="center" wrapText="0"/>
    </xf>
    <xf borderId="22" fillId="3" fontId="18" numFmtId="14" xfId="0" applyAlignment="1" applyBorder="1" applyFill="1" applyFont="1" applyNumberFormat="1">
      <alignment horizontal="center" shrinkToFit="0" vertical="center" wrapText="0"/>
    </xf>
    <xf borderId="21" fillId="19" fontId="9" numFmtId="0" xfId="0" applyBorder="1" applyFill="1" applyFont="1"/>
    <xf borderId="21" fillId="20" fontId="9" numFmtId="0" xfId="0" applyBorder="1" applyFill="1" applyFont="1"/>
    <xf borderId="15" fillId="3" fontId="19" numFmtId="0" xfId="0" applyAlignment="1" applyBorder="1" applyFill="1" applyFont="1">
      <alignment horizontal="left" shrinkToFit="0" vertical="center" wrapText="1"/>
    </xf>
    <xf borderId="24" fillId="0" fontId="12" numFmtId="14" xfId="0" applyAlignment="1" applyBorder="1" applyFont="1" applyNumberFormat="1">
      <alignment horizontal="left" vertical="center"/>
    </xf>
    <xf borderId="15" fillId="5" fontId="20" numFmtId="0" xfId="0" applyAlignment="1" applyBorder="1" applyFill="1" applyFont="1">
      <alignment horizontal="center" shrinkToFit="0" vertical="center" wrapText="1"/>
    </xf>
    <xf borderId="13" fillId="4" fontId="9" numFmtId="0" xfId="0" applyBorder="1" applyFill="1" applyFont="1"/>
    <xf borderId="17" fillId="3" fontId="21" numFmtId="0" xfId="0" applyAlignment="1" applyBorder="1" applyFill="1" applyFont="1">
      <alignment horizontal="center" shrinkToFit="0" vertical="center" wrapText="1"/>
    </xf>
    <xf borderId="15" fillId="6" fontId="21" numFmtId="0" xfId="0" applyAlignment="1" applyBorder="1" applyFill="1" applyFont="1">
      <alignment horizontal="center" shrinkToFit="0" vertical="center" wrapText="1"/>
    </xf>
    <xf borderId="17" fillId="6" fontId="21" numFmtId="0" xfId="0" applyAlignment="1" applyBorder="1" applyFill="1" applyFont="1">
      <alignment horizontal="center" shrinkToFit="0" vertical="center" wrapText="1"/>
    </xf>
    <xf borderId="15" fillId="4" fontId="21" numFmtId="0" xfId="0" applyAlignment="1" applyBorder="1" applyFill="1" applyFont="1">
      <alignment horizontal="center" shrinkToFit="0" vertical="center" wrapText="1"/>
    </xf>
    <xf borderId="17" fillId="4" fontId="21" numFmtId="0" xfId="0" applyAlignment="1" applyBorder="1" applyFill="1" applyFont="1">
      <alignment horizontal="center" shrinkToFit="0" vertical="center" wrapText="1"/>
    </xf>
    <xf borderId="15" fillId="7" fontId="20" numFmtId="0" xfId="0" applyAlignment="1" applyBorder="1" applyFill="1" applyFont="1">
      <alignment horizontal="center" shrinkToFit="0" vertical="center" wrapText="1"/>
    </xf>
    <xf borderId="21" fillId="0" fontId="12" numFmtId="14" xfId="0" applyAlignment="1" applyBorder="1" applyFont="1" applyNumberFormat="1">
      <alignment horizontal="left" vertical="center"/>
    </xf>
    <xf borderId="15" fillId="8" fontId="20" numFmtId="0" xfId="0" applyAlignment="1" applyBorder="1" applyFill="1" applyFont="1">
      <alignment horizontal="center" shrinkToFit="0" vertical="center" wrapText="1"/>
    </xf>
    <xf borderId="15" fillId="9" fontId="20" numFmtId="0" xfId="0" applyAlignment="1" applyBorder="1" applyFill="1" applyFont="1">
      <alignment horizontal="center" shrinkToFit="0" vertical="center" wrapText="1"/>
    </xf>
    <xf borderId="17" fillId="9" fontId="20" numFmtId="0" xfId="0" applyAlignment="1" applyBorder="1" applyFill="1" applyFont="1">
      <alignment horizontal="center" shrinkToFit="0" vertical="center" wrapText="1"/>
    </xf>
    <xf borderId="25" fillId="0" fontId="21" numFmtId="0" xfId="0" applyAlignment="1" applyBorder="1" applyFont="1">
      <alignment horizontal="center" shrinkToFit="0" vertical="center" wrapText="1"/>
    </xf>
    <xf borderId="25" fillId="0" fontId="22" numFmtId="0" xfId="0" applyAlignment="1" applyBorder="1" applyFont="1">
      <alignment horizontal="center" shrinkToFit="0" vertical="center" wrapText="1"/>
    </xf>
    <xf borderId="15" fillId="12" fontId="23" numFmtId="0" xfId="0" applyAlignment="1" applyBorder="1" applyFill="1" applyFont="1">
      <alignment horizontal="center" shrinkToFit="0" vertical="center" wrapText="0"/>
    </xf>
    <xf borderId="26" fillId="0" fontId="22" numFmtId="0" xfId="0" applyAlignment="1" applyBorder="1" applyFont="1">
      <alignment horizontal="center" shrinkToFit="0" vertical="center" wrapText="1"/>
    </xf>
    <xf borderId="17" fillId="13" fontId="23" numFmtId="0" xfId="0" applyAlignment="1" applyBorder="1" applyFill="1" applyFont="1">
      <alignment horizontal="center" shrinkToFit="0" vertical="center" wrapText="0"/>
    </xf>
    <xf borderId="15" fillId="14" fontId="23" numFmtId="0" xfId="0" applyAlignment="1" applyBorder="1" applyFill="1" applyFont="1">
      <alignment horizontal="center" shrinkToFit="0" vertical="center" wrapText="0"/>
    </xf>
    <xf borderId="17" fillId="16" fontId="23" numFmtId="0" xfId="0" applyAlignment="1" applyBorder="1" applyFill="1" applyFont="1">
      <alignment horizontal="center" shrinkToFit="0" vertical="center" wrapText="0"/>
    </xf>
    <xf borderId="17" fillId="17" fontId="23" numFmtId="0" xfId="0" applyAlignment="1" applyBorder="1" applyFill="1" applyFont="1">
      <alignment horizontal="center" shrinkToFit="0" vertical="center" wrapText="0"/>
    </xf>
    <xf borderId="26" fillId="0" fontId="22" numFmtId="2" xfId="0" applyAlignment="1" applyBorder="1" applyFont="1" applyNumberFormat="1">
      <alignment horizontal="center" shrinkToFit="0" vertical="center" wrapText="1"/>
    </xf>
    <xf borderId="0" fillId="0" fontId="22" numFmtId="0" xfId="0" applyAlignment="1" applyFont="1">
      <alignment horizontal="center" shrinkToFit="0" vertical="center" wrapText="1"/>
    </xf>
    <xf borderId="0" fillId="0" fontId="22" numFmtId="164" xfId="0" applyAlignment="1" applyFont="1" applyNumberFormat="1">
      <alignment horizontal="center" shrinkToFit="0" vertical="center" wrapText="1"/>
    </xf>
    <xf borderId="5" fillId="3" fontId="19" numFmtId="0" xfId="0" applyAlignment="1" applyBorder="1" applyFill="1" applyFont="1">
      <alignment horizontal="left" shrinkToFit="0" vertical="center" wrapText="1"/>
    </xf>
    <xf borderId="5" fillId="21" fontId="20" numFmtId="0" xfId="0" applyAlignment="1" applyBorder="1" applyFill="1" applyFont="1">
      <alignment horizontal="center" shrinkToFit="0" vertical="center" wrapText="1"/>
    </xf>
    <xf borderId="11" fillId="3" fontId="21" numFmtId="0" xfId="0" applyAlignment="1" applyBorder="1" applyFill="1" applyFont="1">
      <alignment horizontal="center" shrinkToFit="0" vertical="center" wrapText="1"/>
    </xf>
    <xf borderId="9" fillId="6" fontId="21" numFmtId="0" xfId="0" applyAlignment="1" applyBorder="1" applyFill="1" applyFont="1">
      <alignment horizontal="center" shrinkToFit="0" vertical="center" wrapText="1"/>
    </xf>
    <xf borderId="11" fillId="6" fontId="21" numFmtId="0" xfId="0" applyAlignment="1" applyBorder="1" applyFill="1" applyFont="1">
      <alignment horizontal="center" shrinkToFit="0" vertical="center" wrapText="1"/>
    </xf>
    <xf borderId="9" fillId="4" fontId="21" numFmtId="0" xfId="0" applyAlignment="1" applyBorder="1" applyFill="1" applyFont="1">
      <alignment horizontal="center" shrinkToFit="0" vertical="center" wrapText="1"/>
    </xf>
    <xf borderId="11" fillId="4" fontId="21" numFmtId="0" xfId="0" applyAlignment="1" applyBorder="1" applyFill="1" applyFont="1">
      <alignment horizontal="center" shrinkToFit="0" vertical="center" wrapText="1"/>
    </xf>
    <xf borderId="5" fillId="7" fontId="20" numFmtId="0" xfId="0" applyAlignment="1" applyBorder="1" applyFill="1" applyFont="1">
      <alignment horizontal="center" shrinkToFit="0" vertical="center" wrapText="1"/>
    </xf>
    <xf borderId="5" fillId="8" fontId="20" numFmtId="0" xfId="0" applyAlignment="1" applyBorder="1" applyFill="1" applyFont="1">
      <alignment horizontal="center" shrinkToFit="0" vertical="center" wrapText="1"/>
    </xf>
    <xf borderId="5" fillId="9" fontId="20" numFmtId="0" xfId="0" applyAlignment="1" applyBorder="1" applyFill="1" applyFont="1">
      <alignment horizontal="center" shrinkToFit="0" vertical="center" wrapText="1"/>
    </xf>
    <xf borderId="27" fillId="9" fontId="20" numFmtId="0" xfId="0" applyAlignment="1" applyBorder="1" applyFill="1" applyFont="1">
      <alignment horizontal="center" shrinkToFit="0" vertical="center" wrapText="1"/>
    </xf>
    <xf borderId="11" fillId="22" fontId="21" numFmtId="0" xfId="0" applyAlignment="1" applyBorder="1" applyFill="1" applyFont="1">
      <alignment horizontal="center" shrinkToFit="0" vertical="center" wrapText="1"/>
    </xf>
    <xf borderId="9" fillId="22" fontId="22" numFmtId="0" xfId="0" applyAlignment="1" applyBorder="1" applyFill="1" applyFont="1">
      <alignment horizontal="center" shrinkToFit="0" vertical="center" wrapText="1"/>
    </xf>
    <xf borderId="11" fillId="22" fontId="22" numFmtId="0" xfId="0" applyAlignment="1" applyBorder="1" applyFill="1" applyFont="1">
      <alignment horizontal="center" shrinkToFit="0" vertical="center" wrapText="1"/>
    </xf>
    <xf borderId="5" fillId="23" fontId="23" numFmtId="0" xfId="0" applyAlignment="1" applyBorder="1" applyFill="1" applyFont="1">
      <alignment horizontal="center" shrinkToFit="0" vertical="center" wrapText="0"/>
    </xf>
    <xf borderId="27" fillId="13" fontId="23" numFmtId="0" xfId="0" applyAlignment="1" applyBorder="1" applyFill="1" applyFont="1">
      <alignment horizontal="center" shrinkToFit="0" vertical="center" wrapText="0"/>
    </xf>
    <xf borderId="5" fillId="14" fontId="23" numFmtId="0" xfId="0" applyAlignment="1" applyBorder="1" applyFill="1" applyFont="1">
      <alignment horizontal="center" shrinkToFit="0" vertical="center" wrapText="0"/>
    </xf>
    <xf borderId="27" fillId="16" fontId="23" numFmtId="0" xfId="0" applyAlignment="1" applyBorder="1" applyFill="1" applyFont="1">
      <alignment horizontal="center" shrinkToFit="0" vertical="center" wrapText="0"/>
    </xf>
    <xf borderId="27" fillId="17" fontId="23" numFmtId="0" xfId="0" applyAlignment="1" applyBorder="1" applyFill="1" applyFont="1">
      <alignment horizontal="center" shrinkToFit="0" vertical="center" wrapText="0"/>
    </xf>
    <xf borderId="5" fillId="24" fontId="19" numFmtId="0" xfId="0" applyAlignment="1" applyBorder="1" applyFill="1" applyFont="1">
      <alignment horizontal="left" shrinkToFit="0" vertical="center" wrapText="1"/>
    </xf>
    <xf borderId="5" fillId="24" fontId="20" numFmtId="0" xfId="0" applyAlignment="1" applyBorder="1" applyFill="1" applyFont="1">
      <alignment horizontal="center" shrinkToFit="0" vertical="center" wrapText="1"/>
    </xf>
    <xf borderId="27" fillId="24" fontId="20" numFmtId="0" xfId="0" applyAlignment="1" applyBorder="1" applyFill="1" applyFont="1">
      <alignment horizontal="center" shrinkToFit="0" vertical="center" wrapText="1"/>
    </xf>
    <xf borderId="5" fillId="24" fontId="23" numFmtId="0" xfId="0" applyAlignment="1" applyBorder="1" applyFill="1" applyFont="1">
      <alignment horizontal="center" shrinkToFit="0" vertical="center" wrapText="1"/>
    </xf>
    <xf borderId="27" fillId="24" fontId="23" numFmtId="0" xfId="0" applyAlignment="1" applyBorder="1" applyFill="1" applyFont="1">
      <alignment horizontal="center" shrinkToFit="0" vertical="center" wrapText="1"/>
    </xf>
    <xf borderId="5" fillId="24" fontId="23" numFmtId="0" xfId="0" applyAlignment="1" applyBorder="1" applyFill="1" applyFont="1">
      <alignment horizontal="center" shrinkToFit="0" vertical="center" wrapText="0"/>
    </xf>
    <xf borderId="5" fillId="16" fontId="23" numFmtId="0" xfId="0" applyAlignment="1" applyBorder="1" applyFill="1" applyFont="1">
      <alignment horizontal="center" shrinkToFit="0" vertical="center" wrapText="0"/>
    </xf>
    <xf borderId="5" fillId="17" fontId="23" numFmtId="0" xfId="0" applyAlignment="1" applyBorder="1" applyFill="1" applyFont="1">
      <alignment horizontal="center" shrinkToFit="0" vertical="center" wrapText="0"/>
    </xf>
    <xf borderId="27" fillId="24" fontId="23" numFmtId="2" xfId="0" applyAlignment="1" applyBorder="1" applyFill="1" applyFont="1" applyNumberFormat="1">
      <alignment horizontal="center" shrinkToFit="0" vertical="center" wrapText="1"/>
    </xf>
    <xf borderId="27" fillId="24" fontId="23" numFmtId="164" xfId="0" applyAlignment="1" applyBorder="1" applyFill="1" applyFont="1" applyNumberFormat="1">
      <alignment horizontal="center" shrinkToFit="0" vertical="center" wrapText="1"/>
    </xf>
    <xf borderId="5" fillId="3" fontId="24" numFmtId="0" xfId="0" applyAlignment="1" applyBorder="1" applyFill="1" applyFont="1">
      <alignment horizontal="center" shrinkToFit="0" vertical="center" wrapText="1"/>
    </xf>
    <xf borderId="27" fillId="3" fontId="21" numFmtId="0" xfId="0" applyAlignment="1" applyBorder="1" applyFill="1" applyFont="1">
      <alignment horizontal="center" shrinkToFit="0" vertical="center" wrapText="1"/>
    </xf>
    <xf borderId="5" fillId="6" fontId="21" numFmtId="0" xfId="0" applyAlignment="1" applyBorder="1" applyFill="1" applyFont="1">
      <alignment horizontal="center" shrinkToFit="0" vertical="center" wrapText="1"/>
    </xf>
    <xf borderId="27" fillId="6" fontId="21" numFmtId="0" xfId="0" applyAlignment="1" applyBorder="1" applyFill="1" applyFont="1">
      <alignment horizontal="center" shrinkToFit="0" vertical="center" wrapText="1"/>
    </xf>
    <xf borderId="5" fillId="4" fontId="21" numFmtId="0" xfId="0" applyAlignment="1" applyBorder="1" applyFill="1" applyFont="1">
      <alignment horizontal="center" shrinkToFit="0" vertical="center" wrapText="1"/>
    </xf>
    <xf borderId="21" fillId="3" fontId="12" numFmtId="0" xfId="0" applyAlignment="1" applyBorder="1" applyFill="1" applyFont="1">
      <alignment horizontal="left" shrinkToFit="0" vertical="center" wrapText="1"/>
    </xf>
    <xf borderId="27" fillId="4" fontId="21" numFmtId="0" xfId="0" applyAlignment="1" applyBorder="1" applyFill="1" applyFont="1">
      <alignment horizontal="center" shrinkToFit="0" vertical="center" wrapText="1"/>
    </xf>
    <xf borderId="5" fillId="25" fontId="20" numFmtId="0" xfId="0" applyAlignment="1" applyBorder="1" applyFill="1" applyFont="1">
      <alignment horizontal="center" shrinkToFit="0" vertical="center" wrapText="1"/>
    </xf>
    <xf borderId="27" fillId="25" fontId="20" numFmtId="0" xfId="0" applyAlignment="1" applyBorder="1" applyFill="1" applyFont="1">
      <alignment horizontal="center" shrinkToFit="0" vertical="center" wrapText="1"/>
    </xf>
    <xf borderId="27" fillId="22" fontId="21" numFmtId="0" xfId="0" applyAlignment="1" applyBorder="1" applyFill="1" applyFont="1">
      <alignment horizontal="center" shrinkToFit="0" vertical="center" wrapText="1"/>
    </xf>
    <xf borderId="27" fillId="22" fontId="22" numFmtId="0" xfId="0" applyAlignment="1" applyBorder="1" applyFill="1" applyFont="1">
      <alignment horizontal="center" shrinkToFit="0" vertical="center" wrapText="1"/>
    </xf>
    <xf borderId="5" fillId="26" fontId="23" numFmtId="0" xfId="0" applyAlignment="1" applyBorder="1" applyFill="1" applyFont="1">
      <alignment horizontal="center" shrinkToFit="0" vertical="center" wrapText="0"/>
    </xf>
    <xf borderId="5" fillId="22" fontId="22" numFmtId="0" xfId="0" applyAlignment="1" applyBorder="1" applyFill="1" applyFont="1">
      <alignment horizontal="center" shrinkToFit="0" vertical="center" wrapText="1"/>
    </xf>
    <xf borderId="5" fillId="13" fontId="23" numFmtId="0" xfId="0" applyAlignment="1" applyBorder="1" applyFill="1" applyFont="1">
      <alignment horizontal="center" shrinkToFit="0" vertical="center" wrapText="0"/>
    </xf>
    <xf borderId="9" fillId="3" fontId="24" numFmtId="0" xfId="0" applyAlignment="1" applyBorder="1" applyFill="1" applyFont="1">
      <alignment horizontal="center" shrinkToFit="0" vertical="center" wrapText="1"/>
    </xf>
    <xf borderId="9" fillId="21" fontId="20" numFmtId="0" xfId="0" applyAlignment="1" applyBorder="1" applyFill="1" applyFont="1">
      <alignment horizontal="center" shrinkToFit="0" vertical="center" wrapText="1"/>
    </xf>
    <xf borderId="9" fillId="7" fontId="20" numFmtId="0" xfId="0" applyAlignment="1" applyBorder="1" applyFill="1" applyFont="1">
      <alignment horizontal="center" shrinkToFit="0" vertical="center" wrapText="1"/>
    </xf>
    <xf borderId="9" fillId="25" fontId="20" numFmtId="0" xfId="0" applyAlignment="1" applyBorder="1" applyFill="1" applyFont="1">
      <alignment horizontal="center" shrinkToFit="0" vertical="center" wrapText="1"/>
    </xf>
    <xf borderId="11" fillId="25" fontId="20" numFmtId="0" xfId="0" applyAlignment="1" applyBorder="1" applyFill="1" applyFont="1">
      <alignment horizontal="center" shrinkToFit="0" vertical="center" wrapText="1"/>
    </xf>
    <xf borderId="28" fillId="0" fontId="21" numFmtId="0" xfId="0" applyAlignment="1" applyBorder="1" applyFont="1">
      <alignment horizontal="center" shrinkToFit="0" vertical="center" wrapText="1"/>
    </xf>
    <xf borderId="29" fillId="0" fontId="22" numFmtId="0" xfId="0" applyAlignment="1" applyBorder="1" applyFont="1">
      <alignment horizontal="center" shrinkToFit="0" vertical="center" wrapText="1"/>
    </xf>
    <xf borderId="28" fillId="0" fontId="22" numFmtId="0" xfId="0" applyAlignment="1" applyBorder="1" applyFont="1">
      <alignment horizontal="center" shrinkToFit="0" vertical="center" wrapText="1"/>
    </xf>
    <xf borderId="9" fillId="26" fontId="23" numFmtId="0" xfId="0" applyAlignment="1" applyBorder="1" applyFill="1" applyFont="1">
      <alignment horizontal="center" shrinkToFit="0" vertical="center" wrapText="0"/>
    </xf>
    <xf borderId="9" fillId="13" fontId="23" numFmtId="0" xfId="0" applyAlignment="1" applyBorder="1" applyFill="1" applyFont="1">
      <alignment horizontal="center" shrinkToFit="0" vertical="center" wrapText="0"/>
    </xf>
    <xf borderId="9" fillId="14" fontId="23" numFmtId="0" xfId="0" applyAlignment="1" applyBorder="1" applyFill="1" applyFont="1">
      <alignment horizontal="center" shrinkToFit="0" vertical="center" wrapText="0"/>
    </xf>
    <xf borderId="9" fillId="16" fontId="23" numFmtId="0" xfId="0" applyAlignment="1" applyBorder="1" applyFill="1" applyFont="1">
      <alignment horizontal="center" shrinkToFit="0" vertical="center" wrapText="0"/>
    </xf>
    <xf borderId="9" fillId="17" fontId="23" numFmtId="0" xfId="0" applyAlignment="1" applyBorder="1" applyFill="1" applyFont="1">
      <alignment horizontal="center" shrinkToFit="0" vertical="center" wrapText="0"/>
    </xf>
    <xf borderId="5" fillId="14" fontId="23" numFmtId="0" xfId="0" applyAlignment="1" applyBorder="1" applyFill="1" applyFont="1">
      <alignment horizontal="center" shrinkToFit="0" vertical="center" wrapText="1"/>
    </xf>
    <xf borderId="5" fillId="16" fontId="23" numFmtId="0" xfId="0" applyAlignment="1" applyBorder="1" applyFill="1" applyFont="1">
      <alignment horizontal="center" shrinkToFit="0" vertical="center" wrapText="1"/>
    </xf>
    <xf borderId="5" fillId="17" fontId="23" numFmtId="0" xfId="0" applyAlignment="1" applyBorder="1" applyFill="1" applyFont="1">
      <alignment horizontal="center" shrinkToFit="0" vertical="center" wrapText="1"/>
    </xf>
    <xf borderId="10" fillId="24" fontId="23" numFmtId="0" xfId="0" applyAlignment="1" applyBorder="1" applyFill="1" applyFont="1">
      <alignment horizontal="center" shrinkToFit="0" vertical="center" wrapText="1"/>
    </xf>
    <xf borderId="5" fillId="5" fontId="20" numFmtId="0" xfId="0" applyAlignment="1" applyBorder="1" applyFill="1" applyFont="1">
      <alignment horizontal="center" shrinkToFit="0" vertical="center" wrapText="1"/>
    </xf>
    <xf borderId="5" fillId="12" fontId="23" numFmtId="0" xfId="0" applyAlignment="1" applyBorder="1" applyFill="1" applyFont="1">
      <alignment horizontal="center" shrinkToFit="0" vertical="center" wrapText="0"/>
    </xf>
    <xf borderId="9" fillId="5" fontId="20" numFmtId="0" xfId="0" applyAlignment="1" applyBorder="1" applyFill="1" applyFont="1">
      <alignment horizontal="center" shrinkToFit="0" vertical="center" wrapText="1"/>
    </xf>
    <xf borderId="9" fillId="9" fontId="20" numFmtId="0" xfId="0" applyAlignment="1" applyBorder="1" applyFill="1" applyFont="1">
      <alignment horizontal="center" shrinkToFit="0" vertical="center" wrapText="1"/>
    </xf>
    <xf borderId="11" fillId="9" fontId="20" numFmtId="0" xfId="0" applyAlignment="1" applyBorder="1" applyFill="1" applyFont="1">
      <alignment horizontal="center" shrinkToFit="0" vertical="center" wrapText="1"/>
    </xf>
    <xf borderId="9" fillId="12" fontId="23" numFmtId="0" xfId="0" applyAlignment="1" applyBorder="1" applyFill="1" applyFont="1">
      <alignment horizontal="center" shrinkToFit="0" vertical="center" wrapText="0"/>
    </xf>
    <xf borderId="11" fillId="8" fontId="2" numFmtId="0" xfId="0" applyAlignment="1" applyBorder="1" applyFill="1" applyFont="1">
      <alignment horizontal="left" shrinkToFit="0" vertical="center" wrapText="1"/>
    </xf>
    <xf borderId="30" fillId="8" fontId="2" numFmtId="0" xfId="0" applyAlignment="1" applyBorder="1" applyFill="1" applyFont="1">
      <alignment horizontal="left" shrinkToFit="0" vertical="center" wrapText="1"/>
    </xf>
    <xf borderId="31" fillId="0" fontId="12" numFmtId="0" xfId="0" applyAlignment="1" applyBorder="1" applyFont="1">
      <alignment horizontal="left" vertical="center"/>
    </xf>
    <xf borderId="32" fillId="24" fontId="20" numFmtId="0" xfId="0" applyAlignment="1" applyBorder="1" applyFill="1" applyFont="1">
      <alignment horizontal="center" shrinkToFit="0" vertical="center" wrapText="1"/>
    </xf>
    <xf borderId="33" fillId="24" fontId="20" numFmtId="0" xfId="0" applyAlignment="1" applyBorder="1" applyFill="1" applyFont="1">
      <alignment horizontal="center" shrinkToFit="0" vertical="center" wrapText="1"/>
    </xf>
    <xf borderId="32" fillId="24" fontId="23" numFmtId="0" xfId="0" applyAlignment="1" applyBorder="1" applyFill="1" applyFont="1">
      <alignment horizontal="center" shrinkToFit="0" vertical="center" wrapText="1"/>
    </xf>
    <xf borderId="33" fillId="24" fontId="23" numFmtId="0" xfId="0" applyAlignment="1" applyBorder="1" applyFill="1" applyFont="1">
      <alignment horizontal="center" shrinkToFit="0" vertical="center" wrapText="1"/>
    </xf>
    <xf borderId="32" fillId="24" fontId="23" numFmtId="0" xfId="0" applyAlignment="1" applyBorder="1" applyFill="1" applyFont="1">
      <alignment horizontal="center" shrinkToFit="0" vertical="center" wrapText="0"/>
    </xf>
    <xf borderId="32" fillId="14" fontId="23" numFmtId="0" xfId="0" applyAlignment="1" applyBorder="1" applyFill="1" applyFont="1">
      <alignment horizontal="center" shrinkToFit="0" vertical="center" wrapText="0"/>
    </xf>
    <xf borderId="32" fillId="16" fontId="23" numFmtId="0" xfId="0" applyAlignment="1" applyBorder="1" applyFill="1" applyFont="1">
      <alignment horizontal="center" shrinkToFit="0" vertical="center" wrapText="0"/>
    </xf>
    <xf borderId="32" fillId="17" fontId="23" numFmtId="0" xfId="0" applyAlignment="1" applyBorder="1" applyFill="1" applyFont="1">
      <alignment horizontal="center" shrinkToFit="0" vertical="center" wrapText="0"/>
    </xf>
    <xf borderId="32" fillId="24" fontId="23" numFmtId="2" xfId="0" applyAlignment="1" applyBorder="1" applyFill="1" applyFont="1" applyNumberFormat="1">
      <alignment horizontal="center" shrinkToFit="0" vertical="center" wrapText="1"/>
    </xf>
    <xf borderId="32" fillId="24" fontId="23" numFmtId="164" xfId="0" applyAlignment="1" applyBorder="1" applyFill="1" applyFont="1" applyNumberFormat="1">
      <alignment horizontal="center" shrinkToFit="0" vertical="center" wrapText="1"/>
    </xf>
    <xf borderId="34" fillId="5" fontId="20" numFmtId="0" xfId="0" applyAlignment="1" applyBorder="1" applyFill="1" applyFont="1">
      <alignment horizontal="center" shrinkToFit="0" vertical="center" wrapText="1"/>
    </xf>
    <xf borderId="18" fillId="3" fontId="21" numFmtId="0" xfId="0" applyAlignment="1" applyBorder="1" applyFill="1" applyFont="1">
      <alignment horizontal="center" shrinkToFit="0" vertical="center" wrapText="1"/>
    </xf>
    <xf borderId="34" fillId="6" fontId="21" numFmtId="0" xfId="0" applyAlignment="1" applyBorder="1" applyFill="1" applyFont="1">
      <alignment horizontal="center" shrinkToFit="0" vertical="center" wrapText="1"/>
    </xf>
    <xf borderId="18" fillId="6" fontId="21" numFmtId="0" xfId="0" applyAlignment="1" applyBorder="1" applyFill="1" applyFont="1">
      <alignment horizontal="center" shrinkToFit="0" vertical="center" wrapText="1"/>
    </xf>
    <xf borderId="34" fillId="4" fontId="21" numFmtId="0" xfId="0" applyAlignment="1" applyBorder="1" applyFill="1" applyFont="1">
      <alignment horizontal="center" shrinkToFit="0" vertical="center" wrapText="1"/>
    </xf>
    <xf borderId="18" fillId="4" fontId="21" numFmtId="0" xfId="0" applyAlignment="1" applyBorder="1" applyFill="1" applyFont="1">
      <alignment horizontal="center" shrinkToFit="0" vertical="center" wrapText="1"/>
    </xf>
    <xf borderId="34" fillId="7" fontId="20" numFmtId="0" xfId="0" applyAlignment="1" applyBorder="1" applyFill="1" applyFont="1">
      <alignment horizontal="center" shrinkToFit="0" vertical="center" wrapText="1"/>
    </xf>
    <xf borderId="34" fillId="8" fontId="20" numFmtId="0" xfId="0" applyAlignment="1" applyBorder="1" applyFill="1" applyFont="1">
      <alignment horizontal="center" shrinkToFit="0" vertical="center" wrapText="1"/>
    </xf>
    <xf borderId="34" fillId="9" fontId="20" numFmtId="0" xfId="0" applyAlignment="1" applyBorder="1" applyFill="1" applyFont="1">
      <alignment horizontal="center" shrinkToFit="0" vertical="center" wrapText="1"/>
    </xf>
    <xf borderId="18" fillId="9" fontId="20" numFmtId="0" xfId="0" applyAlignment="1" applyBorder="1" applyFill="1" applyFont="1">
      <alignment horizontal="center" shrinkToFit="0" vertical="center" wrapText="1"/>
    </xf>
    <xf borderId="18" fillId="22" fontId="21" numFmtId="0" xfId="0" applyAlignment="1" applyBorder="1" applyFill="1" applyFont="1">
      <alignment horizontal="center" shrinkToFit="0" vertical="center" wrapText="1"/>
    </xf>
    <xf borderId="34" fillId="22" fontId="22" numFmtId="0" xfId="0" applyAlignment="1" applyBorder="1" applyFill="1" applyFont="1">
      <alignment horizontal="center" shrinkToFit="0" vertical="center" wrapText="1"/>
    </xf>
    <xf borderId="18" fillId="22" fontId="22" numFmtId="0" xfId="0" applyAlignment="1" applyBorder="1" applyFill="1" applyFont="1">
      <alignment horizontal="center" shrinkToFit="0" vertical="center" wrapText="1"/>
    </xf>
    <xf borderId="34" fillId="12" fontId="23" numFmtId="0" xfId="0" applyAlignment="1" applyBorder="1" applyFill="1" applyFont="1">
      <alignment horizontal="center" shrinkToFit="0" vertical="center" wrapText="0"/>
    </xf>
    <xf borderId="34" fillId="13" fontId="23" numFmtId="0" xfId="0" applyAlignment="1" applyBorder="1" applyFill="1" applyFont="1">
      <alignment horizontal="center" shrinkToFit="0" vertical="center" wrapText="0"/>
    </xf>
    <xf borderId="34" fillId="14" fontId="23" numFmtId="0" xfId="0" applyAlignment="1" applyBorder="1" applyFill="1" applyFont="1">
      <alignment horizontal="center" shrinkToFit="0" vertical="center" wrapText="0"/>
    </xf>
    <xf borderId="34" fillId="16" fontId="23" numFmtId="0" xfId="0" applyAlignment="1" applyBorder="1" applyFill="1" applyFont="1">
      <alignment horizontal="center" shrinkToFit="0" vertical="center" wrapText="0"/>
    </xf>
    <xf borderId="34" fillId="17" fontId="23" numFmtId="0" xfId="0" applyAlignment="1" applyBorder="1" applyFill="1" applyFont="1">
      <alignment horizontal="center" shrinkToFit="0" vertical="center" wrapText="0"/>
    </xf>
    <xf borderId="15" fillId="13" fontId="23" numFmtId="0" xfId="0" applyAlignment="1" applyBorder="1" applyFill="1" applyFont="1">
      <alignment horizontal="center" shrinkToFit="0" vertical="center" wrapText="0"/>
    </xf>
    <xf borderId="15" fillId="16" fontId="23" numFmtId="0" xfId="0" applyAlignment="1" applyBorder="1" applyFill="1" applyFont="1">
      <alignment horizontal="center" shrinkToFit="0" vertical="center" wrapText="0"/>
    </xf>
    <xf borderId="15" fillId="17" fontId="23" numFmtId="0" xfId="0" applyAlignment="1" applyBorder="1" applyFill="1" applyFont="1">
      <alignment horizontal="center" shrinkToFit="0" vertical="center" wrapText="0"/>
    </xf>
    <xf borderId="9" fillId="3" fontId="14" numFmtId="0" xfId="0" applyAlignment="1" applyBorder="1" applyFill="1" applyFont="1">
      <alignment horizontal="center" shrinkToFit="0" vertical="center" wrapText="1"/>
    </xf>
    <xf borderId="33" fillId="24" fontId="23" numFmtId="2" xfId="0" applyAlignment="1" applyBorder="1" applyFill="1" applyFont="1" applyNumberFormat="1">
      <alignment horizontal="center" shrinkToFit="0" vertical="center" wrapText="1"/>
    </xf>
    <xf borderId="33" fillId="24" fontId="23" numFmtId="164" xfId="0" applyAlignment="1" applyBorder="1" applyFill="1" applyFont="1" applyNumberFormat="1">
      <alignment horizontal="center" shrinkToFit="0" vertical="center" wrapText="1"/>
    </xf>
    <xf borderId="35" fillId="0" fontId="21" numFmtId="0" xfId="0" applyAlignment="1" applyBorder="1" applyFont="1">
      <alignment horizontal="center" shrinkToFit="0" vertical="center" wrapText="1"/>
    </xf>
    <xf borderId="36" fillId="0" fontId="22" numFmtId="0" xfId="0" applyAlignment="1" applyBorder="1" applyFont="1">
      <alignment horizontal="center" shrinkToFit="0" vertical="center" wrapText="1"/>
    </xf>
    <xf borderId="35" fillId="0" fontId="22" numFmtId="0" xfId="0" applyAlignment="1" applyBorder="1" applyFont="1">
      <alignment horizontal="center" shrinkToFit="0" vertical="center" wrapText="1"/>
    </xf>
    <xf borderId="5" fillId="24" fontId="25" numFmtId="0" xfId="0" applyAlignment="1" applyBorder="1" applyFill="1" applyFont="1">
      <alignment horizontal="left" shrinkToFit="0" vertical="center" wrapText="1"/>
    </xf>
    <xf borderId="5" fillId="22" fontId="25" numFmtId="0" xfId="0" applyAlignment="1" applyBorder="1" applyFill="1" applyFont="1">
      <alignment horizontal="left" shrinkToFit="0" vertical="center" wrapText="1"/>
    </xf>
    <xf borderId="5" fillId="22" fontId="20" numFmtId="0" xfId="0" applyAlignment="1" applyBorder="1" applyFill="1" applyFont="1">
      <alignment horizontal="center" shrinkToFit="0" vertical="center" wrapText="1"/>
    </xf>
    <xf borderId="5" fillId="22" fontId="23" numFmtId="0" xfId="0" applyAlignment="1" applyBorder="1" applyFill="1" applyFont="1">
      <alignment horizontal="center" shrinkToFit="0" vertical="center" wrapText="1"/>
    </xf>
    <xf borderId="5" fillId="22" fontId="23" numFmtId="2" xfId="0" applyAlignment="1" applyBorder="1" applyFill="1" applyFont="1" applyNumberFormat="1">
      <alignment horizontal="center" shrinkToFit="0" vertical="center" wrapText="1"/>
    </xf>
    <xf borderId="5" fillId="22" fontId="23" numFmtId="1" xfId="0" applyAlignment="1" applyBorder="1" applyFill="1" applyFont="1" applyNumberFormat="1">
      <alignment horizontal="center" shrinkToFit="0" vertical="center" wrapText="1"/>
    </xf>
    <xf borderId="5" fillId="22" fontId="23" numFmtId="164" xfId="0" applyAlignment="1" applyBorder="1" applyFill="1" applyFont="1" applyNumberFormat="1">
      <alignment horizontal="center" shrinkToFit="0" vertical="center" wrapText="1"/>
    </xf>
    <xf borderId="23" fillId="8" fontId="17" numFmtId="2" xfId="0" applyAlignment="1" applyBorder="1" applyFill="1" applyFont="1" applyNumberFormat="1">
      <alignment horizontal="center" shrinkToFit="0" textRotation="90" vertical="center" wrapText="0"/>
    </xf>
    <xf borderId="23" fillId="8" fontId="17" numFmtId="164" xfId="0" applyAlignment="1" applyBorder="1" applyFill="1" applyFont="1" applyNumberFormat="1">
      <alignment horizontal="center" shrinkToFit="0" textRotation="90" vertical="center" wrapText="0"/>
    </xf>
    <xf borderId="0" fillId="0" fontId="26" numFmtId="0" xfId="0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rgb="FFD4D4D4"/>
        </vertical>
        <horizontal style="thin">
          <color rgb="FFD4D4D4"/>
        </horizontal>
      </border>
    </dxf>
  </dxfs>
  <tableStyles count="3">
    <tableStyle count="4" pivot="0" name="ГОЧ-style">
      <tableStyleElement dxfId="1" type="headerRow"/>
      <tableStyleElement dxfId="3" type="firstRowStripe"/>
      <tableStyleElement dxfId="2" type="secondRowStripe"/>
      <tableStyleElement dxfId="5" size="0" type="wholeTable"/>
    </tableStyle>
    <tableStyle count="4" pivot="0" name="Застосування БК та FPV-style">
      <tableStyleElement dxfId="2" type="headerRow"/>
      <tableStyleElement dxfId="4" type="firstRowStripe"/>
      <tableStyleElement dxfId="2" type="secondRowStripe"/>
      <tableStyleElement dxfId="6" size="0" type="wholeTable"/>
    </tableStyle>
    <tableStyle count="4" pivot="0" name="Втрати ЗСУ-style">
      <tableStyleElement dxfId="2" type="headerRow"/>
      <tableStyleElement dxfId="4" type="firstRowStripe"/>
      <tableStyleElement dxfId="2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F533" displayName="ГОЧ_Дані" name="ГОЧ_Дані" id="3">
  <tableColumns count="58">
    <tableColumn name="Дата" id="1"/>
    <tableColumn name="Угруповання" id="2"/>
    <tableColumn name="Всього бойових зіткнень" id="3"/>
    <tableColumn name="Бойові зіткнення" id="4"/>
    <tableColumn name="Тривають (бз)" id="5"/>
    <tableColumn name="Штурмові дії " id="6"/>
    <tableColumn name="Тривають (шд)" id="7"/>
    <tableColumn name="Ракетні удари" id="8"/>
    <tableColumn name="Застосовано ракет" id="9"/>
    <tableColumn name="АУ " id="10"/>
    <tableColumn name="КАБ" id="11"/>
    <tableColumn name="КАР" id="12"/>
    <tableColumn name="ВСЬОГО УДАРІВ БпЛА" id="13"/>
    <tableColumn name="Шахеди/Гербера/Пародія" id="14"/>
    <tableColumn name="Італмас" id="15"/>
    <tableColumn name="Ланцет" id="16"/>
    <tableColumn name="Молнія" id="17"/>
    <tableColumn name="Бандероль" id="18"/>
    <tableColumn name="Привіт/Куб" id="19"/>
    <tableColumn name="FPV-дрони" id="20"/>
    <tableColumn name="Обстріли" id="21"/>
    <tableColumn name="Всього втрачено позицій" id="22"/>
    <tableColumn name="Знищено" id="23"/>
    <tableColumn name=" Внаслідок ШД" id="24"/>
    <tableColumn name="сам. зал. позиції" id="25"/>
    <tableColumn name="Всього відновлено/виставлено позицій" id="26"/>
    <tableColumn name="Відновлено позицій" id="27"/>
    <tableColumn name="Виставлено позицій" id="28"/>
    <tableColumn name="безповоротні_ЗСУ" id="29"/>
    <tableColumn name="санітарні_ЗСУ" id="30"/>
    <tableColumn name="зниклі безвісті_ЗСУ" id="31"/>
    <tableColumn name="полон_ЗСУ" id="32"/>
    <tableColumn name="Втрати_всього_ЗСУ" id="33"/>
    <tableColumn name="безповоротні_рф" id="34"/>
    <tableColumn name="санітарні_рф" id="35"/>
    <tableColumn name="полон_рф" id="36"/>
    <tableColumn name="Втрати_всього_рф" id="37"/>
    <tableColumn name="безповоротні_рік_ЗСУ" id="38"/>
    <tableColumn name="санітарні_рік_ЗСУ" id="39"/>
    <tableColumn name="зниклі безвісті_рік_ЗСУ" id="40"/>
    <tableColumn name="полон_рік_ЗСУ" id="41"/>
    <tableColumn name="Втрати_всього_рік_ЗСУ" id="42"/>
    <tableColumn name="безповоротні_рік_рф" id="43"/>
    <tableColumn name="санітарні_рік_рф" id="44"/>
    <tableColumn name="полон_рік_рф" id="45"/>
    <tableColumn name="Втрати_всього_рік_рф" id="46"/>
    <tableColumn name="безповоротні_всього_рф" id="47"/>
    <tableColumn name="санітарні_всього_рф" id="48"/>
    <tableColumn name="полон_всього_рф" id="49"/>
    <tableColumn name="Втрати_всього_всього_рф" id="50"/>
    <tableColumn name="втрачено_територій" id="51"/>
    <tableColumn name="відновлено_територій" id="52"/>
    <tableColumn name="втрачені_нп" id="53"/>
    <tableColumn name="відновлені_нп" id="54"/>
    <tableColumn name="втрати_територій_сумарно" id="55"/>
    <tableColumn name="відновлено_територій_сумарно" id="56"/>
    <tableColumn name="втрачені_нп_опис" id="57"/>
    <tableColumn name="відновлені_нп_опис" id="58"/>
  </tableColumns>
  <tableStyleInfo name="ГОЧ-style" showColumnStripes="0" showFirstColumn="1" showLastColumn="1" showRowStripes="1"/>
</table>
</file>

<file path=xl/tables/table2.xml><?xml version="1.0" encoding="utf-8"?>
<table xmlns="http://schemas.openxmlformats.org/spreadsheetml/2006/main" ref="A1:Q94" displayName="Втрати_ЗСУ" name="Втрати_ЗСУ" id="2">
  <tableColumns count="17">
    <tableColumn name="Дата" id="1"/>
    <tableColumn name="Угруповання" id="2"/>
    <tableColumn name="безповоротні_доба" id="3"/>
    <tableColumn name="санітарні_доба" id="4"/>
    <tableColumn name="полон_доба" id="5"/>
    <tableColumn name="зниклі_безвісті_доба" id="6"/>
    <tableColumn name="ВСЬОГО_доба" id="7"/>
    <tableColumn name="безповоротні_рік" id="8"/>
    <tableColumn name="санітарні_рік" id="9"/>
    <tableColumn name="полон_рік" id="10"/>
    <tableColumn name="зниклі_безвісті_рік" id="11"/>
    <tableColumn name="ВСЬОГО_рік" id="12"/>
    <tableColumn name="безповоротні_всього" id="13"/>
    <tableColumn name="санітарні_всього" id="14"/>
    <tableColumn name="полон_всього" id="15"/>
    <tableColumn name="зниклі_безвісті_всього" id="16"/>
    <tableColumn name="ВСЬОГО_всього" id="17"/>
  </tableColumns>
  <tableStyleInfo name="Втрати ЗСУ-style" showColumnStripes="0" showFirstColumn="1" showLastColumn="1" showRowStripes="1"/>
</table>
</file>

<file path=xl/tables/table3.xml><?xml version="1.0" encoding="utf-8"?>
<table xmlns="http://schemas.openxmlformats.org/spreadsheetml/2006/main" ref="A1:E231" displayName="Застосування_БК_та_FPV" name="Застосування_БК_та_FPV" id="1">
  <tableColumns count="5">
    <tableColumn name="Дата" id="1"/>
    <tableColumn name="Противник_БК" id="2"/>
    <tableColumn name="Наші війська_БК" id="3"/>
    <tableColumn name="Противник_FPV" id="4"/>
    <tableColumn name="Наші війська_FPV" id="5"/>
  </tableColumns>
  <tableStyleInfo name="Застосування БК та FP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32.38"/>
    <col customWidth="1" min="2" max="2" width="34.5"/>
    <col customWidth="1" min="3" max="41" width="7.63"/>
    <col customWidth="1" min="42" max="42" width="8.0"/>
    <col customWidth="1" min="43" max="45" width="7.63"/>
    <col customWidth="1" min="46" max="46" width="8.0"/>
    <col customWidth="1" min="47" max="49" width="7.63"/>
    <col customWidth="1" min="50" max="50" width="8.0"/>
    <col customWidth="1" min="51" max="51" width="10.5"/>
    <col customWidth="1" min="52" max="52" width="10.63"/>
    <col customWidth="1" min="53" max="54" width="10.5"/>
    <col customWidth="1" min="55" max="56" width="16.75"/>
    <col customWidth="1" min="57" max="58" width="56.5"/>
  </cols>
  <sheetData>
    <row r="1">
      <c r="A1" s="5" t="s">
        <v>0</v>
      </c>
      <c r="B1" s="5" t="s">
        <v>9</v>
      </c>
      <c r="C1" s="9" t="s">
        <v>11</v>
      </c>
      <c r="D1" s="11" t="s">
        <v>13</v>
      </c>
      <c r="E1" s="13" t="s">
        <v>15</v>
      </c>
      <c r="F1" s="11" t="s">
        <v>17</v>
      </c>
      <c r="G1" s="13" t="s">
        <v>19</v>
      </c>
      <c r="H1" s="14" t="s">
        <v>22</v>
      </c>
      <c r="I1" s="15" t="s">
        <v>24</v>
      </c>
      <c r="J1" s="16" t="s">
        <v>27</v>
      </c>
      <c r="K1" s="17" t="s">
        <v>30</v>
      </c>
      <c r="L1" s="17" t="s">
        <v>32</v>
      </c>
      <c r="M1" s="18" t="s">
        <v>34</v>
      </c>
      <c r="N1" s="20" t="s">
        <v>37</v>
      </c>
      <c r="O1" s="20" t="s">
        <v>39</v>
      </c>
      <c r="P1" s="20" t="s">
        <v>43</v>
      </c>
      <c r="Q1" s="20" t="s">
        <v>47</v>
      </c>
      <c r="R1" s="20" t="s">
        <v>50</v>
      </c>
      <c r="S1" s="20" t="s">
        <v>54</v>
      </c>
      <c r="T1" s="20" t="s">
        <v>58</v>
      </c>
      <c r="U1" s="22" t="s">
        <v>62</v>
      </c>
      <c r="V1" s="23" t="s">
        <v>68</v>
      </c>
      <c r="W1" s="11" t="s">
        <v>71</v>
      </c>
      <c r="X1" s="11" t="s">
        <v>73</v>
      </c>
      <c r="Y1" s="11" t="s">
        <v>76</v>
      </c>
      <c r="Z1" s="29" t="s">
        <v>77</v>
      </c>
      <c r="AA1" s="20" t="s">
        <v>80</v>
      </c>
      <c r="AB1" s="20" t="s">
        <v>81</v>
      </c>
      <c r="AC1" s="33" t="s">
        <v>82</v>
      </c>
      <c r="AD1" s="11" t="s">
        <v>83</v>
      </c>
      <c r="AE1" s="11" t="s">
        <v>84</v>
      </c>
      <c r="AF1" s="11" t="s">
        <v>85</v>
      </c>
      <c r="AG1" s="34" t="s">
        <v>86</v>
      </c>
      <c r="AH1" s="35" t="s">
        <v>87</v>
      </c>
      <c r="AI1" s="37" t="s">
        <v>88</v>
      </c>
      <c r="AJ1" s="11" t="s">
        <v>89</v>
      </c>
      <c r="AK1" s="41" t="s">
        <v>90</v>
      </c>
      <c r="AL1" s="33" t="s">
        <v>91</v>
      </c>
      <c r="AM1" s="11" t="s">
        <v>92</v>
      </c>
      <c r="AN1" s="11" t="s">
        <v>93</v>
      </c>
      <c r="AO1" s="11" t="s">
        <v>94</v>
      </c>
      <c r="AP1" s="48" t="s">
        <v>97</v>
      </c>
      <c r="AQ1" s="35" t="s">
        <v>99</v>
      </c>
      <c r="AR1" s="37" t="s">
        <v>100</v>
      </c>
      <c r="AS1" s="11" t="s">
        <v>101</v>
      </c>
      <c r="AT1" s="51" t="s">
        <v>102</v>
      </c>
      <c r="AU1" s="35" t="s">
        <v>103</v>
      </c>
      <c r="AV1" s="37" t="s">
        <v>104</v>
      </c>
      <c r="AW1" s="11" t="s">
        <v>105</v>
      </c>
      <c r="AX1" s="52" t="s">
        <v>106</v>
      </c>
      <c r="AY1" s="37" t="s">
        <v>107</v>
      </c>
      <c r="AZ1" s="37" t="s">
        <v>108</v>
      </c>
      <c r="BA1" s="37" t="s">
        <v>109</v>
      </c>
      <c r="BB1" s="37" t="s">
        <v>110</v>
      </c>
      <c r="BC1" s="37" t="s">
        <v>111</v>
      </c>
      <c r="BD1" s="37" t="s">
        <v>112</v>
      </c>
      <c r="BE1" s="37" t="s">
        <v>113</v>
      </c>
      <c r="BF1" s="37" t="s">
        <v>114</v>
      </c>
    </row>
    <row r="2">
      <c r="A2" s="55">
        <v>46254.0</v>
      </c>
      <c r="B2" s="56"/>
      <c r="C2" s="57"/>
      <c r="D2" s="58"/>
      <c r="E2" s="59"/>
      <c r="F2" s="58"/>
      <c r="G2" s="59"/>
      <c r="H2" s="57"/>
      <c r="I2" s="60"/>
      <c r="J2" s="57"/>
      <c r="K2" s="57"/>
      <c r="L2" s="57"/>
      <c r="M2" s="57"/>
      <c r="N2" s="60"/>
      <c r="O2" s="60"/>
      <c r="P2" s="60"/>
      <c r="Q2" s="60"/>
      <c r="R2" s="60"/>
      <c r="S2" s="60"/>
      <c r="T2" s="60"/>
      <c r="U2" s="57"/>
      <c r="V2" s="58"/>
      <c r="W2" s="61"/>
      <c r="X2" s="61"/>
      <c r="Y2" s="61"/>
      <c r="Z2" s="57"/>
      <c r="AA2" s="60"/>
      <c r="AB2" s="60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4"/>
      <c r="AQ2" s="62"/>
      <c r="AR2" s="62"/>
      <c r="AS2" s="62"/>
      <c r="AT2" s="65"/>
      <c r="AU2" s="62"/>
      <c r="AV2" s="62"/>
      <c r="AW2" s="62"/>
      <c r="AX2" s="66"/>
      <c r="AY2" s="62"/>
      <c r="AZ2" s="62"/>
      <c r="BA2" s="62"/>
      <c r="BB2" s="62"/>
      <c r="BC2" s="62"/>
      <c r="BD2" s="62"/>
      <c r="BE2" s="62"/>
      <c r="BF2" s="62"/>
    </row>
    <row r="3">
      <c r="A3" s="67">
        <f t="shared" ref="A3:A29" si="7">A2</f>
        <v>46254</v>
      </c>
      <c r="B3" s="70" t="s">
        <v>8</v>
      </c>
      <c r="C3" s="72">
        <f t="shared" ref="C3:C28" si="8">SUM(D3,F3)</f>
        <v>0</v>
      </c>
      <c r="D3" s="74">
        <f t="shared" ref="D3:L3" si="1">RANDBETWEEN(0,2)</f>
        <v>0</v>
      </c>
      <c r="E3" s="74">
        <f t="shared" si="1"/>
        <v>0</v>
      </c>
      <c r="F3" s="74">
        <f t="shared" si="1"/>
        <v>0</v>
      </c>
      <c r="G3" s="74">
        <f t="shared" si="1"/>
        <v>0</v>
      </c>
      <c r="H3" s="75">
        <f t="shared" si="1"/>
        <v>1</v>
      </c>
      <c r="I3" s="76">
        <f t="shared" si="1"/>
        <v>0</v>
      </c>
      <c r="J3" s="77">
        <f t="shared" si="1"/>
        <v>2</v>
      </c>
      <c r="K3" s="78">
        <f t="shared" si="1"/>
        <v>2</v>
      </c>
      <c r="L3" s="78">
        <f t="shared" si="1"/>
        <v>1</v>
      </c>
      <c r="M3" s="79">
        <f t="shared" ref="M3:M21" si="10">SUM(N3:T3)</f>
        <v>36</v>
      </c>
      <c r="N3" s="74">
        <f t="shared" ref="N3:T3" si="2">RANDBETWEEN(0,10)</f>
        <v>7</v>
      </c>
      <c r="O3" s="74">
        <f t="shared" si="2"/>
        <v>5</v>
      </c>
      <c r="P3" s="74">
        <f t="shared" si="2"/>
        <v>6</v>
      </c>
      <c r="Q3" s="74">
        <f t="shared" si="2"/>
        <v>6</v>
      </c>
      <c r="R3" s="74">
        <f t="shared" si="2"/>
        <v>0</v>
      </c>
      <c r="S3" s="74">
        <f t="shared" si="2"/>
        <v>8</v>
      </c>
      <c r="T3" s="74">
        <f t="shared" si="2"/>
        <v>4</v>
      </c>
      <c r="U3" s="81">
        <f t="shared" ref="U3:U4" si="12">RANDBETWEEN(10,30)</f>
        <v>12</v>
      </c>
      <c r="V3" s="82">
        <f t="shared" ref="V3:V8" si="13">SUM(W3:Y3)</f>
        <v>0</v>
      </c>
      <c r="W3" s="74">
        <f t="shared" ref="W3:Y3" si="3">RANDBETWEEN(0,2)</f>
        <v>0</v>
      </c>
      <c r="X3" s="74">
        <f t="shared" si="3"/>
        <v>0</v>
      </c>
      <c r="Y3" s="74">
        <f t="shared" si="3"/>
        <v>0</v>
      </c>
      <c r="Z3" s="83">
        <f t="shared" ref="Z3:Z5" si="15">AA3+AB3</f>
        <v>2</v>
      </c>
      <c r="AA3" s="84">
        <f t="shared" ref="AA3:AF3" si="4">RANDBETWEEN(0,2)</f>
        <v>2</v>
      </c>
      <c r="AB3" s="84">
        <f t="shared" si="4"/>
        <v>0</v>
      </c>
      <c r="AC3" s="85">
        <f t="shared" si="4"/>
        <v>0</v>
      </c>
      <c r="AD3" s="85">
        <f t="shared" si="4"/>
        <v>2</v>
      </c>
      <c r="AE3" s="85">
        <f t="shared" si="4"/>
        <v>2</v>
      </c>
      <c r="AF3" s="85">
        <f t="shared" si="4"/>
        <v>1</v>
      </c>
      <c r="AG3" s="86">
        <f t="shared" ref="AG3:AG28" si="17">SUM(AC3:AF3)</f>
        <v>5</v>
      </c>
      <c r="AH3" s="87">
        <f t="shared" ref="AH3:AJ3" si="5">RANDBETWEEN(1,10)</f>
        <v>2</v>
      </c>
      <c r="AI3" s="85">
        <f t="shared" si="5"/>
        <v>5</v>
      </c>
      <c r="AJ3" s="85">
        <f t="shared" si="5"/>
        <v>8</v>
      </c>
      <c r="AK3" s="88">
        <f t="shared" ref="AK3:AK28" si="19">SUM(AH3:AJ3)</f>
        <v>15</v>
      </c>
      <c r="AL3" s="85"/>
      <c r="AM3" s="85"/>
      <c r="AN3" s="85"/>
      <c r="AO3" s="85"/>
      <c r="AP3" s="89"/>
      <c r="AQ3" s="87"/>
      <c r="AR3" s="85"/>
      <c r="AS3" s="85"/>
      <c r="AT3" s="90"/>
      <c r="AU3" s="87"/>
      <c r="AV3" s="85"/>
      <c r="AW3" s="85"/>
      <c r="AX3" s="91"/>
      <c r="AY3" s="92">
        <f t="shared" ref="AY3:AZ3" si="6">RANDBETWEEN(1,10)/100</f>
        <v>0.01</v>
      </c>
      <c r="AZ3" s="92">
        <f t="shared" si="6"/>
        <v>0.02</v>
      </c>
      <c r="BA3" s="93">
        <v>0.0</v>
      </c>
      <c r="BB3" s="93">
        <v>0.0</v>
      </c>
      <c r="BC3" s="94">
        <v>1200.0</v>
      </c>
      <c r="BD3" s="94">
        <v>1200.0</v>
      </c>
      <c r="BE3" s="85"/>
      <c r="BF3" s="85"/>
    </row>
    <row r="4">
      <c r="A4" s="67">
        <f t="shared" si="7"/>
        <v>46254</v>
      </c>
      <c r="B4" s="95" t="s">
        <v>10</v>
      </c>
      <c r="C4" s="96">
        <f t="shared" si="8"/>
        <v>4</v>
      </c>
      <c r="D4" s="97">
        <f t="shared" ref="D4:L4" si="9">RANDBETWEEN(0,2)</f>
        <v>2</v>
      </c>
      <c r="E4" s="97">
        <f t="shared" si="9"/>
        <v>2</v>
      </c>
      <c r="F4" s="97">
        <f t="shared" si="9"/>
        <v>2</v>
      </c>
      <c r="G4" s="97">
        <f t="shared" si="9"/>
        <v>1</v>
      </c>
      <c r="H4" s="98">
        <f t="shared" si="9"/>
        <v>0</v>
      </c>
      <c r="I4" s="99">
        <f t="shared" si="9"/>
        <v>1</v>
      </c>
      <c r="J4" s="100">
        <f t="shared" si="9"/>
        <v>0</v>
      </c>
      <c r="K4" s="101">
        <f t="shared" si="9"/>
        <v>1</v>
      </c>
      <c r="L4" s="101">
        <f t="shared" si="9"/>
        <v>2</v>
      </c>
      <c r="M4" s="102">
        <f t="shared" si="10"/>
        <v>33</v>
      </c>
      <c r="N4" s="97">
        <f t="shared" ref="N4:T4" si="11">RANDBETWEEN(0,10)</f>
        <v>8</v>
      </c>
      <c r="O4" s="97">
        <f t="shared" si="11"/>
        <v>9</v>
      </c>
      <c r="P4" s="97">
        <f t="shared" si="11"/>
        <v>8</v>
      </c>
      <c r="Q4" s="97">
        <f t="shared" si="11"/>
        <v>4</v>
      </c>
      <c r="R4" s="97">
        <f t="shared" si="11"/>
        <v>1</v>
      </c>
      <c r="S4" s="97">
        <f t="shared" si="11"/>
        <v>3</v>
      </c>
      <c r="T4" s="97">
        <f t="shared" si="11"/>
        <v>0</v>
      </c>
      <c r="U4" s="103">
        <f t="shared" si="12"/>
        <v>21</v>
      </c>
      <c r="V4" s="104">
        <f t="shared" si="13"/>
        <v>1</v>
      </c>
      <c r="W4" s="97">
        <f t="shared" ref="W4:Y4" si="14">RANDBETWEEN(0,2)</f>
        <v>0</v>
      </c>
      <c r="X4" s="97">
        <f t="shared" si="14"/>
        <v>1</v>
      </c>
      <c r="Y4" s="97">
        <f t="shared" si="14"/>
        <v>0</v>
      </c>
      <c r="Z4" s="105">
        <f t="shared" si="15"/>
        <v>2</v>
      </c>
      <c r="AA4" s="106">
        <f t="shared" ref="AA4:AF4" si="16">RANDBETWEEN(0,2)</f>
        <v>2</v>
      </c>
      <c r="AB4" s="106">
        <f t="shared" si="16"/>
        <v>0</v>
      </c>
      <c r="AC4" s="107">
        <f t="shared" si="16"/>
        <v>0</v>
      </c>
      <c r="AD4" s="108">
        <f t="shared" si="16"/>
        <v>2</v>
      </c>
      <c r="AE4" s="108">
        <f t="shared" si="16"/>
        <v>0</v>
      </c>
      <c r="AF4" s="108">
        <f t="shared" si="16"/>
        <v>2</v>
      </c>
      <c r="AG4" s="109">
        <f t="shared" si="17"/>
        <v>4</v>
      </c>
      <c r="AH4" s="107">
        <f t="shared" ref="AH4:AJ4" si="18">RANDBETWEEN(1,10)</f>
        <v>2</v>
      </c>
      <c r="AI4" s="108">
        <f t="shared" si="18"/>
        <v>4</v>
      </c>
      <c r="AJ4" s="108">
        <f t="shared" si="18"/>
        <v>6</v>
      </c>
      <c r="AK4" s="110">
        <f t="shared" si="19"/>
        <v>12</v>
      </c>
      <c r="AL4" s="107"/>
      <c r="AM4" s="108"/>
      <c r="AN4" s="108"/>
      <c r="AO4" s="108"/>
      <c r="AP4" s="111"/>
      <c r="AQ4" s="107"/>
      <c r="AR4" s="108"/>
      <c r="AS4" s="108"/>
      <c r="AT4" s="112"/>
      <c r="AU4" s="107"/>
      <c r="AV4" s="108"/>
      <c r="AW4" s="108"/>
      <c r="AX4" s="113"/>
      <c r="AY4" s="92">
        <f t="shared" ref="AY4:AZ4" si="20">RANDBETWEEN(1,10)/100</f>
        <v>0.09</v>
      </c>
      <c r="AZ4" s="92">
        <f t="shared" si="20"/>
        <v>0.01</v>
      </c>
      <c r="BA4" s="93">
        <v>0.0</v>
      </c>
      <c r="BB4" s="93">
        <v>0.0</v>
      </c>
      <c r="BC4" s="94">
        <v>1200.0</v>
      </c>
      <c r="BD4" s="94">
        <v>1200.0</v>
      </c>
      <c r="BE4" s="108"/>
      <c r="BF4" s="108"/>
    </row>
    <row r="5">
      <c r="A5" s="67">
        <f t="shared" si="7"/>
        <v>46254</v>
      </c>
      <c r="B5" s="114" t="s">
        <v>12</v>
      </c>
      <c r="C5" s="115">
        <f t="shared" si="8"/>
        <v>0</v>
      </c>
      <c r="D5" s="115">
        <v>0.0</v>
      </c>
      <c r="E5" s="116">
        <v>0.0</v>
      </c>
      <c r="F5" s="116">
        <v>0.0</v>
      </c>
      <c r="G5" s="116">
        <v>0.0</v>
      </c>
      <c r="H5" s="115">
        <v>0.0</v>
      </c>
      <c r="I5" s="116">
        <v>0.0</v>
      </c>
      <c r="J5" s="115">
        <v>0.0</v>
      </c>
      <c r="K5" s="116">
        <v>0.0</v>
      </c>
      <c r="L5" s="116">
        <v>0.0</v>
      </c>
      <c r="M5" s="115">
        <f t="shared" si="10"/>
        <v>0</v>
      </c>
      <c r="N5" s="115">
        <v>0.0</v>
      </c>
      <c r="O5" s="116">
        <v>0.0</v>
      </c>
      <c r="P5" s="116">
        <v>0.0</v>
      </c>
      <c r="Q5" s="116">
        <v>0.0</v>
      </c>
      <c r="R5" s="116">
        <v>0.0</v>
      </c>
      <c r="S5" s="116">
        <v>0.0</v>
      </c>
      <c r="T5" s="116">
        <v>0.0</v>
      </c>
      <c r="U5" s="115">
        <v>0.0</v>
      </c>
      <c r="V5" s="115">
        <f t="shared" si="13"/>
        <v>0</v>
      </c>
      <c r="W5" s="116">
        <v>0.0</v>
      </c>
      <c r="X5" s="116">
        <v>0.0</v>
      </c>
      <c r="Y5" s="116">
        <v>0.0</v>
      </c>
      <c r="Z5" s="116">
        <f t="shared" si="15"/>
        <v>0</v>
      </c>
      <c r="AA5" s="116">
        <v>0.0</v>
      </c>
      <c r="AB5" s="116">
        <v>0.0</v>
      </c>
      <c r="AC5" s="117">
        <v>0.0</v>
      </c>
      <c r="AD5" s="118">
        <v>0.0</v>
      </c>
      <c r="AE5" s="118">
        <v>0.0</v>
      </c>
      <c r="AF5" s="118">
        <v>0.0</v>
      </c>
      <c r="AG5" s="119">
        <f t="shared" si="17"/>
        <v>0</v>
      </c>
      <c r="AH5" s="117">
        <v>0.0</v>
      </c>
      <c r="AI5" s="118">
        <v>0.0</v>
      </c>
      <c r="AJ5" s="118">
        <v>0.0</v>
      </c>
      <c r="AK5" s="119">
        <f t="shared" si="19"/>
        <v>0</v>
      </c>
      <c r="AL5" s="117"/>
      <c r="AM5" s="118"/>
      <c r="AN5" s="118"/>
      <c r="AO5" s="118"/>
      <c r="AP5" s="111"/>
      <c r="AQ5" s="117"/>
      <c r="AR5" s="118"/>
      <c r="AS5" s="118"/>
      <c r="AT5" s="120"/>
      <c r="AU5" s="117"/>
      <c r="AV5" s="118"/>
      <c r="AW5" s="118"/>
      <c r="AX5" s="121"/>
      <c r="AY5" s="122">
        <f t="shared" ref="AY5:BD5" si="21">SUM(AY3:AY4)</f>
        <v>0.1</v>
      </c>
      <c r="AZ5" s="122">
        <f t="shared" si="21"/>
        <v>0.03</v>
      </c>
      <c r="BA5" s="118">
        <f t="shared" si="21"/>
        <v>0</v>
      </c>
      <c r="BB5" s="118">
        <f t="shared" si="21"/>
        <v>0</v>
      </c>
      <c r="BC5" s="123">
        <f t="shared" si="21"/>
        <v>2400</v>
      </c>
      <c r="BD5" s="123">
        <f t="shared" si="21"/>
        <v>2400</v>
      </c>
      <c r="BE5" s="118"/>
      <c r="BF5" s="118"/>
    </row>
    <row r="6">
      <c r="A6" s="67">
        <f t="shared" si="7"/>
        <v>46254</v>
      </c>
      <c r="B6" s="124" t="s">
        <v>14</v>
      </c>
      <c r="C6" s="96">
        <f t="shared" si="8"/>
        <v>3</v>
      </c>
      <c r="D6" s="125">
        <f t="shared" ref="D6:L6" si="22">RANDBETWEEN(0,2)</f>
        <v>2</v>
      </c>
      <c r="E6" s="125">
        <f t="shared" si="22"/>
        <v>1</v>
      </c>
      <c r="F6" s="125">
        <f t="shared" si="22"/>
        <v>1</v>
      </c>
      <c r="G6" s="125">
        <f t="shared" si="22"/>
        <v>0</v>
      </c>
      <c r="H6" s="126">
        <f t="shared" si="22"/>
        <v>0</v>
      </c>
      <c r="I6" s="127">
        <f t="shared" si="22"/>
        <v>0</v>
      </c>
      <c r="J6" s="128">
        <f t="shared" si="22"/>
        <v>0</v>
      </c>
      <c r="K6" s="130">
        <f t="shared" si="22"/>
        <v>1</v>
      </c>
      <c r="L6" s="130">
        <f t="shared" si="22"/>
        <v>2</v>
      </c>
      <c r="M6" s="102">
        <f t="shared" si="10"/>
        <v>42</v>
      </c>
      <c r="N6" s="125">
        <f t="shared" ref="N6:T6" si="23">RANDBETWEEN(0,10)</f>
        <v>5</v>
      </c>
      <c r="O6" s="125">
        <f t="shared" si="23"/>
        <v>1</v>
      </c>
      <c r="P6" s="125">
        <f t="shared" si="23"/>
        <v>9</v>
      </c>
      <c r="Q6" s="125">
        <f t="shared" si="23"/>
        <v>10</v>
      </c>
      <c r="R6" s="125">
        <f t="shared" si="23"/>
        <v>0</v>
      </c>
      <c r="S6" s="125">
        <f t="shared" si="23"/>
        <v>8</v>
      </c>
      <c r="T6" s="125">
        <f t="shared" si="23"/>
        <v>9</v>
      </c>
      <c r="U6" s="103">
        <f t="shared" ref="U6:U7" si="30">RANDBETWEEN(10,30)</f>
        <v>27</v>
      </c>
      <c r="V6" s="131">
        <f t="shared" si="13"/>
        <v>3</v>
      </c>
      <c r="W6" s="125">
        <f t="shared" ref="W6:Y6" si="24">RANDBETWEEN(0,2)</f>
        <v>0</v>
      </c>
      <c r="X6" s="125">
        <f t="shared" si="24"/>
        <v>1</v>
      </c>
      <c r="Y6" s="125">
        <f t="shared" si="24"/>
        <v>2</v>
      </c>
      <c r="Z6" s="132">
        <f t="shared" ref="Z6:Z9" si="32">SUM(AA6:AB6)</f>
        <v>3</v>
      </c>
      <c r="AA6" s="133">
        <f t="shared" ref="AA6:AF6" si="25">RANDBETWEEN(0,2)</f>
        <v>1</v>
      </c>
      <c r="AB6" s="133">
        <f t="shared" si="25"/>
        <v>2</v>
      </c>
      <c r="AC6" s="134">
        <f t="shared" si="25"/>
        <v>1</v>
      </c>
      <c r="AD6" s="134">
        <f t="shared" si="25"/>
        <v>2</v>
      </c>
      <c r="AE6" s="134">
        <f t="shared" si="25"/>
        <v>0</v>
      </c>
      <c r="AF6" s="134">
        <f t="shared" si="25"/>
        <v>0</v>
      </c>
      <c r="AG6" s="135">
        <f t="shared" si="17"/>
        <v>3</v>
      </c>
      <c r="AH6" s="136">
        <f t="shared" ref="AH6:AJ6" si="26">RANDBETWEEN(1,10)</f>
        <v>8</v>
      </c>
      <c r="AI6" s="134">
        <f t="shared" si="26"/>
        <v>6</v>
      </c>
      <c r="AJ6" s="134">
        <f t="shared" si="26"/>
        <v>9</v>
      </c>
      <c r="AK6" s="137">
        <f t="shared" si="19"/>
        <v>23</v>
      </c>
      <c r="AL6" s="134"/>
      <c r="AM6" s="134"/>
      <c r="AN6" s="134"/>
      <c r="AO6" s="134"/>
      <c r="AP6" s="111"/>
      <c r="AQ6" s="136"/>
      <c r="AR6" s="134"/>
      <c r="AS6" s="134"/>
      <c r="AT6" s="120"/>
      <c r="AU6" s="136"/>
      <c r="AV6" s="134"/>
      <c r="AW6" s="134"/>
      <c r="AX6" s="121"/>
      <c r="AY6" s="92">
        <f t="shared" ref="AY6:AZ6" si="27">RANDBETWEEN(1,10)/10</f>
        <v>0.1</v>
      </c>
      <c r="AZ6" s="92">
        <f t="shared" si="27"/>
        <v>0.6</v>
      </c>
      <c r="BA6" s="93">
        <v>0.0</v>
      </c>
      <c r="BB6" s="93">
        <v>0.0</v>
      </c>
      <c r="BC6" s="94">
        <v>1200.0</v>
      </c>
      <c r="BD6" s="94">
        <v>1200.0</v>
      </c>
      <c r="BE6" s="108"/>
      <c r="BF6" s="108"/>
    </row>
    <row r="7">
      <c r="A7" s="67">
        <f t="shared" si="7"/>
        <v>46254</v>
      </c>
      <c r="B7" s="138" t="s">
        <v>16</v>
      </c>
      <c r="C7" s="139">
        <f t="shared" si="8"/>
        <v>1</v>
      </c>
      <c r="D7" s="97">
        <f t="shared" ref="D7:L7" si="28">RANDBETWEEN(0,2)</f>
        <v>1</v>
      </c>
      <c r="E7" s="97">
        <f t="shared" si="28"/>
        <v>1</v>
      </c>
      <c r="F7" s="97">
        <f t="shared" si="28"/>
        <v>0</v>
      </c>
      <c r="G7" s="97">
        <f t="shared" si="28"/>
        <v>2</v>
      </c>
      <c r="H7" s="98">
        <f t="shared" si="28"/>
        <v>1</v>
      </c>
      <c r="I7" s="99">
        <f t="shared" si="28"/>
        <v>2</v>
      </c>
      <c r="J7" s="100">
        <f t="shared" si="28"/>
        <v>2</v>
      </c>
      <c r="K7" s="101">
        <f t="shared" si="28"/>
        <v>2</v>
      </c>
      <c r="L7" s="101">
        <f t="shared" si="28"/>
        <v>2</v>
      </c>
      <c r="M7" s="140">
        <f t="shared" si="10"/>
        <v>37</v>
      </c>
      <c r="N7" s="97">
        <f t="shared" ref="N7:T7" si="29">RANDBETWEEN(0,10)</f>
        <v>8</v>
      </c>
      <c r="O7" s="97">
        <f t="shared" si="29"/>
        <v>0</v>
      </c>
      <c r="P7" s="97">
        <f t="shared" si="29"/>
        <v>5</v>
      </c>
      <c r="Q7" s="97">
        <f t="shared" si="29"/>
        <v>8</v>
      </c>
      <c r="R7" s="97">
        <f t="shared" si="29"/>
        <v>6</v>
      </c>
      <c r="S7" s="97">
        <f t="shared" si="29"/>
        <v>0</v>
      </c>
      <c r="T7" s="97">
        <f t="shared" si="29"/>
        <v>10</v>
      </c>
      <c r="U7" s="103">
        <f t="shared" si="30"/>
        <v>29</v>
      </c>
      <c r="V7" s="141">
        <f t="shared" si="13"/>
        <v>6</v>
      </c>
      <c r="W7" s="97">
        <f t="shared" ref="W7:Y7" si="31">RANDBETWEEN(0,2)</f>
        <v>2</v>
      </c>
      <c r="X7" s="97">
        <f t="shared" si="31"/>
        <v>2</v>
      </c>
      <c r="Y7" s="97">
        <f t="shared" si="31"/>
        <v>2</v>
      </c>
      <c r="Z7" s="142">
        <f t="shared" si="32"/>
        <v>1</v>
      </c>
      <c r="AA7" s="143">
        <f t="shared" ref="AA7:AF7" si="33">RANDBETWEEN(0,2)</f>
        <v>0</v>
      </c>
      <c r="AB7" s="143">
        <f t="shared" si="33"/>
        <v>1</v>
      </c>
      <c r="AC7" s="144">
        <f t="shared" si="33"/>
        <v>2</v>
      </c>
      <c r="AD7" s="145">
        <f t="shared" si="33"/>
        <v>0</v>
      </c>
      <c r="AE7" s="145">
        <f t="shared" si="33"/>
        <v>0</v>
      </c>
      <c r="AF7" s="145">
        <f t="shared" si="33"/>
        <v>1</v>
      </c>
      <c r="AG7" s="146">
        <f t="shared" si="17"/>
        <v>3</v>
      </c>
      <c r="AH7" s="144">
        <f t="shared" ref="AH7:AJ7" si="34">RANDBETWEEN(1,10)</f>
        <v>7</v>
      </c>
      <c r="AI7" s="145">
        <f t="shared" si="34"/>
        <v>7</v>
      </c>
      <c r="AJ7" s="145">
        <f t="shared" si="34"/>
        <v>5</v>
      </c>
      <c r="AK7" s="147">
        <f t="shared" si="19"/>
        <v>19</v>
      </c>
      <c r="AL7" s="144"/>
      <c r="AM7" s="145"/>
      <c r="AN7" s="145"/>
      <c r="AO7" s="145"/>
      <c r="AP7" s="148"/>
      <c r="AQ7" s="144"/>
      <c r="AR7" s="145"/>
      <c r="AS7" s="145"/>
      <c r="AT7" s="149"/>
      <c r="AU7" s="144"/>
      <c r="AV7" s="145"/>
      <c r="AW7" s="145"/>
      <c r="AX7" s="150"/>
      <c r="AY7" s="92">
        <f t="shared" ref="AY7:AZ7" si="35">RANDBETWEEN(1,10)/10</f>
        <v>0.7</v>
      </c>
      <c r="AZ7" s="92">
        <f t="shared" si="35"/>
        <v>0.5</v>
      </c>
      <c r="BA7" s="93">
        <v>0.0</v>
      </c>
      <c r="BB7" s="93">
        <v>0.0</v>
      </c>
      <c r="BC7" s="94">
        <v>1200.0</v>
      </c>
      <c r="BD7" s="94">
        <v>1200.0</v>
      </c>
      <c r="BE7" s="108"/>
      <c r="BF7" s="108"/>
    </row>
    <row r="8">
      <c r="A8" s="67">
        <f t="shared" si="7"/>
        <v>46254</v>
      </c>
      <c r="B8" s="114" t="s">
        <v>18</v>
      </c>
      <c r="C8" s="115">
        <f t="shared" si="8"/>
        <v>4</v>
      </c>
      <c r="D8" s="115">
        <f t="shared" ref="D8:L8" si="36">SUM(D6:D7)</f>
        <v>3</v>
      </c>
      <c r="E8" s="116">
        <f t="shared" si="36"/>
        <v>2</v>
      </c>
      <c r="F8" s="116">
        <f t="shared" si="36"/>
        <v>1</v>
      </c>
      <c r="G8" s="116">
        <f t="shared" si="36"/>
        <v>2</v>
      </c>
      <c r="H8" s="115">
        <f t="shared" si="36"/>
        <v>1</v>
      </c>
      <c r="I8" s="116">
        <f t="shared" si="36"/>
        <v>2</v>
      </c>
      <c r="J8" s="115">
        <f t="shared" si="36"/>
        <v>2</v>
      </c>
      <c r="K8" s="116">
        <f t="shared" si="36"/>
        <v>3</v>
      </c>
      <c r="L8" s="116">
        <f t="shared" si="36"/>
        <v>4</v>
      </c>
      <c r="M8" s="115">
        <f t="shared" si="10"/>
        <v>73</v>
      </c>
      <c r="N8" s="115">
        <f t="shared" ref="N8:Q8" si="37">SUM(N6:N7)</f>
        <v>13</v>
      </c>
      <c r="O8" s="116">
        <f t="shared" si="37"/>
        <v>1</v>
      </c>
      <c r="P8" s="116">
        <f t="shared" si="37"/>
        <v>14</v>
      </c>
      <c r="Q8" s="116">
        <f t="shared" si="37"/>
        <v>18</v>
      </c>
      <c r="R8" s="116">
        <v>0.0</v>
      </c>
      <c r="S8" s="116">
        <f t="shared" ref="S8:U8" si="38">SUM(S6:S7)</f>
        <v>8</v>
      </c>
      <c r="T8" s="116">
        <f t="shared" si="38"/>
        <v>19</v>
      </c>
      <c r="U8" s="115">
        <f t="shared" si="38"/>
        <v>56</v>
      </c>
      <c r="V8" s="115">
        <f t="shared" si="13"/>
        <v>9</v>
      </c>
      <c r="W8" s="116">
        <f t="shared" ref="W8:Y8" si="39">SUM(W6:W7)</f>
        <v>2</v>
      </c>
      <c r="X8" s="116">
        <f t="shared" si="39"/>
        <v>3</v>
      </c>
      <c r="Y8" s="116">
        <f t="shared" si="39"/>
        <v>4</v>
      </c>
      <c r="Z8" s="116">
        <f t="shared" si="32"/>
        <v>4</v>
      </c>
      <c r="AA8" s="116">
        <f t="shared" ref="AA8:AF8" si="40">SUM(AA6:AA7)</f>
        <v>1</v>
      </c>
      <c r="AB8" s="116">
        <f t="shared" si="40"/>
        <v>3</v>
      </c>
      <c r="AC8" s="118">
        <f t="shared" si="40"/>
        <v>3</v>
      </c>
      <c r="AD8" s="118">
        <f t="shared" si="40"/>
        <v>2</v>
      </c>
      <c r="AE8" s="118">
        <f t="shared" si="40"/>
        <v>0</v>
      </c>
      <c r="AF8" s="118">
        <f t="shared" si="40"/>
        <v>1</v>
      </c>
      <c r="AG8" s="117">
        <f t="shared" si="17"/>
        <v>6</v>
      </c>
      <c r="AH8" s="117">
        <f t="shared" ref="AH8:AJ8" si="41">SUM(AH6:AH7)</f>
        <v>15</v>
      </c>
      <c r="AI8" s="118">
        <f t="shared" si="41"/>
        <v>13</v>
      </c>
      <c r="AJ8" s="118">
        <f t="shared" si="41"/>
        <v>14</v>
      </c>
      <c r="AK8" s="117">
        <f t="shared" si="19"/>
        <v>42</v>
      </c>
      <c r="AL8" s="118"/>
      <c r="AM8" s="118"/>
      <c r="AN8" s="118"/>
      <c r="AO8" s="118"/>
      <c r="AP8" s="151"/>
      <c r="AQ8" s="117"/>
      <c r="AR8" s="118"/>
      <c r="AS8" s="118"/>
      <c r="AT8" s="152"/>
      <c r="AU8" s="117"/>
      <c r="AV8" s="118"/>
      <c r="AW8" s="118"/>
      <c r="AX8" s="153"/>
      <c r="AY8" s="122">
        <f t="shared" ref="AY8:BD8" si="42">SUM(AY6:AY7)</f>
        <v>0.8</v>
      </c>
      <c r="AZ8" s="122">
        <f t="shared" si="42"/>
        <v>1.1</v>
      </c>
      <c r="BA8" s="118">
        <f t="shared" si="42"/>
        <v>0</v>
      </c>
      <c r="BB8" s="118">
        <f t="shared" si="42"/>
        <v>0</v>
      </c>
      <c r="BC8" s="123">
        <f t="shared" si="42"/>
        <v>2400</v>
      </c>
      <c r="BD8" s="123">
        <f t="shared" si="42"/>
        <v>2400</v>
      </c>
      <c r="BE8" s="154" t="str">
        <f t="shared" ref="BE8:BF8" si="43">TEXTJOIN(", ",TRUE,BE6:BE7)</f>
        <v/>
      </c>
      <c r="BF8" s="154" t="str">
        <f t="shared" si="43"/>
        <v/>
      </c>
    </row>
    <row r="9">
      <c r="A9" s="67">
        <f t="shared" si="7"/>
        <v>46254</v>
      </c>
      <c r="B9" s="114" t="s">
        <v>20</v>
      </c>
      <c r="C9" s="115">
        <f t="shared" si="8"/>
        <v>5</v>
      </c>
      <c r="D9" s="115">
        <v>3.0</v>
      </c>
      <c r="E9" s="116">
        <v>0.0</v>
      </c>
      <c r="F9" s="116">
        <v>2.0</v>
      </c>
      <c r="G9" s="116">
        <v>2.0</v>
      </c>
      <c r="H9" s="115">
        <v>0.0</v>
      </c>
      <c r="I9" s="116">
        <v>0.0</v>
      </c>
      <c r="J9" s="115">
        <v>1.0</v>
      </c>
      <c r="K9" s="116">
        <v>1.0</v>
      </c>
      <c r="L9" s="116">
        <v>0.0</v>
      </c>
      <c r="M9" s="115">
        <f t="shared" si="10"/>
        <v>38</v>
      </c>
      <c r="N9" s="115">
        <v>0.0</v>
      </c>
      <c r="O9" s="116">
        <v>0.0</v>
      </c>
      <c r="P9" s="116">
        <v>0.0</v>
      </c>
      <c r="Q9" s="116">
        <v>9.0</v>
      </c>
      <c r="R9" s="116">
        <v>0.0</v>
      </c>
      <c r="S9" s="116">
        <v>0.0</v>
      </c>
      <c r="T9" s="116">
        <v>29.0</v>
      </c>
      <c r="U9" s="115">
        <v>7.0</v>
      </c>
      <c r="V9" s="115">
        <f t="shared" ref="V9:V28" si="47">W9+X9+Y9</f>
        <v>0</v>
      </c>
      <c r="W9" s="116">
        <v>0.0</v>
      </c>
      <c r="X9" s="116">
        <v>0.0</v>
      </c>
      <c r="Y9" s="116">
        <v>0.0</v>
      </c>
      <c r="Z9" s="116">
        <f t="shared" si="32"/>
        <v>0</v>
      </c>
      <c r="AA9" s="116">
        <v>0.0</v>
      </c>
      <c r="AB9" s="116">
        <v>0.0</v>
      </c>
      <c r="AC9" s="117">
        <v>0.0</v>
      </c>
      <c r="AD9" s="118">
        <v>1.0</v>
      </c>
      <c r="AE9" s="118">
        <v>0.0</v>
      </c>
      <c r="AF9" s="118">
        <v>0.0</v>
      </c>
      <c r="AG9" s="119">
        <f t="shared" si="17"/>
        <v>1</v>
      </c>
      <c r="AH9" s="117">
        <v>6.0</v>
      </c>
      <c r="AI9" s="118">
        <v>5.0</v>
      </c>
      <c r="AJ9" s="118">
        <v>0.0</v>
      </c>
      <c r="AK9" s="119">
        <f t="shared" si="19"/>
        <v>11</v>
      </c>
      <c r="AL9" s="117"/>
      <c r="AM9" s="118"/>
      <c r="AN9" s="118"/>
      <c r="AO9" s="118"/>
      <c r="AP9" s="111"/>
      <c r="AQ9" s="117"/>
      <c r="AR9" s="118"/>
      <c r="AS9" s="118"/>
      <c r="AT9" s="120"/>
      <c r="AU9" s="117"/>
      <c r="AV9" s="118"/>
      <c r="AW9" s="118"/>
      <c r="AX9" s="121"/>
      <c r="AY9" s="122">
        <f t="shared" ref="AY9:AZ9" si="44">RANDBETWEEN(1,10)</f>
        <v>8</v>
      </c>
      <c r="AZ9" s="122">
        <f t="shared" si="44"/>
        <v>9</v>
      </c>
      <c r="BA9" s="118">
        <v>2.0</v>
      </c>
      <c r="BB9" s="118">
        <v>0.0</v>
      </c>
      <c r="BC9" s="123">
        <v>0.0</v>
      </c>
      <c r="BD9" s="123">
        <v>0.0</v>
      </c>
      <c r="BE9" s="118" t="s">
        <v>157</v>
      </c>
      <c r="BF9" s="118"/>
    </row>
    <row r="10">
      <c r="A10" s="67">
        <f t="shared" si="7"/>
        <v>46254</v>
      </c>
      <c r="B10" s="124" t="s">
        <v>21</v>
      </c>
      <c r="C10" s="155">
        <f t="shared" si="8"/>
        <v>2</v>
      </c>
      <c r="D10" s="125">
        <f t="shared" ref="D10:L10" si="45">RANDBETWEEN(0,2)</f>
        <v>2</v>
      </c>
      <c r="E10" s="125">
        <f t="shared" si="45"/>
        <v>2</v>
      </c>
      <c r="F10" s="125">
        <f t="shared" si="45"/>
        <v>0</v>
      </c>
      <c r="G10" s="125">
        <f t="shared" si="45"/>
        <v>0</v>
      </c>
      <c r="H10" s="126">
        <f t="shared" si="45"/>
        <v>1</v>
      </c>
      <c r="I10" s="127">
        <f t="shared" si="45"/>
        <v>2</v>
      </c>
      <c r="J10" s="128">
        <f t="shared" si="45"/>
        <v>2</v>
      </c>
      <c r="K10" s="130">
        <f t="shared" si="45"/>
        <v>1</v>
      </c>
      <c r="L10" s="130">
        <f t="shared" si="45"/>
        <v>0</v>
      </c>
      <c r="M10" s="102">
        <f t="shared" si="10"/>
        <v>17</v>
      </c>
      <c r="N10" s="125">
        <f t="shared" ref="N10:T10" si="46">RANDBETWEEN(0,10)</f>
        <v>2</v>
      </c>
      <c r="O10" s="125">
        <f t="shared" si="46"/>
        <v>2</v>
      </c>
      <c r="P10" s="125">
        <f t="shared" si="46"/>
        <v>0</v>
      </c>
      <c r="Q10" s="125">
        <f t="shared" si="46"/>
        <v>4</v>
      </c>
      <c r="R10" s="125">
        <f t="shared" si="46"/>
        <v>1</v>
      </c>
      <c r="S10" s="125">
        <f t="shared" si="46"/>
        <v>4</v>
      </c>
      <c r="T10" s="125">
        <f t="shared" si="46"/>
        <v>4</v>
      </c>
      <c r="U10" s="103">
        <f t="shared" ref="U10:U14" si="54">RANDBETWEEN(10,30)</f>
        <v>11</v>
      </c>
      <c r="V10" s="104">
        <f t="shared" si="47"/>
        <v>3</v>
      </c>
      <c r="W10" s="125">
        <f t="shared" ref="W10:Y10" si="48">RANDBETWEEN(0,2)</f>
        <v>2</v>
      </c>
      <c r="X10" s="125">
        <f t="shared" si="48"/>
        <v>0</v>
      </c>
      <c r="Y10" s="125">
        <f t="shared" si="48"/>
        <v>1</v>
      </c>
      <c r="Z10" s="105">
        <f t="shared" ref="Z10:Z27" si="56">AA10+AB10</f>
        <v>4</v>
      </c>
      <c r="AA10" s="133">
        <f t="shared" ref="AA10:AF10" si="49">RANDBETWEEN(0,2)</f>
        <v>2</v>
      </c>
      <c r="AB10" s="133">
        <f t="shared" si="49"/>
        <v>2</v>
      </c>
      <c r="AC10" s="136">
        <f t="shared" si="49"/>
        <v>1</v>
      </c>
      <c r="AD10" s="134">
        <f t="shared" si="49"/>
        <v>2</v>
      </c>
      <c r="AE10" s="134">
        <f t="shared" si="49"/>
        <v>0</v>
      </c>
      <c r="AF10" s="134">
        <f t="shared" si="49"/>
        <v>0</v>
      </c>
      <c r="AG10" s="156">
        <f t="shared" si="17"/>
        <v>3</v>
      </c>
      <c r="AH10" s="136">
        <f t="shared" ref="AH10:AJ10" si="50">RANDBETWEEN(1,10)</f>
        <v>1</v>
      </c>
      <c r="AI10" s="134">
        <f t="shared" si="50"/>
        <v>3</v>
      </c>
      <c r="AJ10" s="134">
        <f t="shared" si="50"/>
        <v>2</v>
      </c>
      <c r="AK10" s="137">
        <f t="shared" si="19"/>
        <v>6</v>
      </c>
      <c r="AL10" s="136"/>
      <c r="AM10" s="134"/>
      <c r="AN10" s="134"/>
      <c r="AO10" s="134"/>
      <c r="AP10" s="111"/>
      <c r="AQ10" s="136"/>
      <c r="AR10" s="134"/>
      <c r="AS10" s="134"/>
      <c r="AT10" s="120"/>
      <c r="AU10" s="136"/>
      <c r="AV10" s="134"/>
      <c r="AW10" s="134"/>
      <c r="AX10" s="121"/>
      <c r="AY10" s="92">
        <f t="shared" ref="AY10:AZ10" si="51">RANDBETWEEN(1,10)/10</f>
        <v>0.5</v>
      </c>
      <c r="AZ10" s="92">
        <f t="shared" si="51"/>
        <v>0.3</v>
      </c>
      <c r="BA10" s="93">
        <v>1.0</v>
      </c>
      <c r="BB10" s="93">
        <v>0.0</v>
      </c>
      <c r="BC10" s="94">
        <v>1200.0</v>
      </c>
      <c r="BD10" s="94">
        <v>1200.0</v>
      </c>
      <c r="BE10" s="108" t="s">
        <v>162</v>
      </c>
      <c r="BF10" s="108"/>
    </row>
    <row r="11">
      <c r="A11" s="67">
        <f t="shared" si="7"/>
        <v>46254</v>
      </c>
      <c r="B11" s="138" t="s">
        <v>23</v>
      </c>
      <c r="C11" s="157">
        <f t="shared" si="8"/>
        <v>2</v>
      </c>
      <c r="D11" s="97">
        <f t="shared" ref="D11:L11" si="52">RANDBETWEEN(0,2)</f>
        <v>2</v>
      </c>
      <c r="E11" s="97">
        <f t="shared" si="52"/>
        <v>0</v>
      </c>
      <c r="F11" s="97">
        <f t="shared" si="52"/>
        <v>0</v>
      </c>
      <c r="G11" s="97">
        <f t="shared" si="52"/>
        <v>0</v>
      </c>
      <c r="H11" s="98">
        <f t="shared" si="52"/>
        <v>1</v>
      </c>
      <c r="I11" s="99">
        <f t="shared" si="52"/>
        <v>1</v>
      </c>
      <c r="J11" s="100">
        <f t="shared" si="52"/>
        <v>1</v>
      </c>
      <c r="K11" s="101">
        <f t="shared" si="52"/>
        <v>2</v>
      </c>
      <c r="L11" s="101">
        <f t="shared" si="52"/>
        <v>1</v>
      </c>
      <c r="M11" s="140">
        <f t="shared" si="10"/>
        <v>43</v>
      </c>
      <c r="N11" s="97">
        <f t="shared" ref="N11:T11" si="53">RANDBETWEEN(0,10)</f>
        <v>2</v>
      </c>
      <c r="O11" s="97">
        <f t="shared" si="53"/>
        <v>9</v>
      </c>
      <c r="P11" s="97">
        <f t="shared" si="53"/>
        <v>6</v>
      </c>
      <c r="Q11" s="97">
        <f t="shared" si="53"/>
        <v>7</v>
      </c>
      <c r="R11" s="97">
        <f t="shared" si="53"/>
        <v>8</v>
      </c>
      <c r="S11" s="97">
        <f t="shared" si="53"/>
        <v>10</v>
      </c>
      <c r="T11" s="97">
        <f t="shared" si="53"/>
        <v>1</v>
      </c>
      <c r="U11" s="103">
        <f t="shared" si="54"/>
        <v>12</v>
      </c>
      <c r="V11" s="158">
        <f t="shared" si="47"/>
        <v>5</v>
      </c>
      <c r="W11" s="97">
        <f t="shared" ref="W11:Y11" si="55">RANDBETWEEN(0,2)</f>
        <v>1</v>
      </c>
      <c r="X11" s="97">
        <f t="shared" si="55"/>
        <v>2</v>
      </c>
      <c r="Y11" s="97">
        <f t="shared" si="55"/>
        <v>2</v>
      </c>
      <c r="Z11" s="159">
        <f t="shared" si="56"/>
        <v>4</v>
      </c>
      <c r="AA11" s="143">
        <f t="shared" ref="AA11:AF11" si="57">RANDBETWEEN(0,2)</f>
        <v>2</v>
      </c>
      <c r="AB11" s="143">
        <f t="shared" si="57"/>
        <v>2</v>
      </c>
      <c r="AC11" s="144">
        <f t="shared" si="57"/>
        <v>1</v>
      </c>
      <c r="AD11" s="145">
        <f t="shared" si="57"/>
        <v>1</v>
      </c>
      <c r="AE11" s="145">
        <f t="shared" si="57"/>
        <v>0</v>
      </c>
      <c r="AF11" s="145">
        <f t="shared" si="57"/>
        <v>0</v>
      </c>
      <c r="AG11" s="160">
        <f t="shared" si="17"/>
        <v>2</v>
      </c>
      <c r="AH11" s="144">
        <f t="shared" ref="AH11:AJ11" si="58">RANDBETWEEN(1,10)</f>
        <v>2</v>
      </c>
      <c r="AI11" s="145">
        <f t="shared" si="58"/>
        <v>3</v>
      </c>
      <c r="AJ11" s="145">
        <f t="shared" si="58"/>
        <v>2</v>
      </c>
      <c r="AK11" s="147">
        <f t="shared" si="19"/>
        <v>7</v>
      </c>
      <c r="AL11" s="144"/>
      <c r="AM11" s="145"/>
      <c r="AN11" s="145"/>
      <c r="AO11" s="145"/>
      <c r="AP11" s="148"/>
      <c r="AQ11" s="144"/>
      <c r="AR11" s="145"/>
      <c r="AS11" s="145"/>
      <c r="AT11" s="149"/>
      <c r="AU11" s="144"/>
      <c r="AV11" s="145"/>
      <c r="AW11" s="145"/>
      <c r="AX11" s="150"/>
      <c r="AY11" s="92">
        <f t="shared" ref="AY11:AZ11" si="59">RANDBETWEEN(1,10)/10</f>
        <v>1</v>
      </c>
      <c r="AZ11" s="92">
        <f t="shared" si="59"/>
        <v>1</v>
      </c>
      <c r="BA11" s="93">
        <v>1.0</v>
      </c>
      <c r="BB11" s="93">
        <v>2.0</v>
      </c>
      <c r="BC11" s="94">
        <v>1200.0</v>
      </c>
      <c r="BD11" s="94">
        <v>1200.0</v>
      </c>
      <c r="BE11" s="108" t="s">
        <v>165</v>
      </c>
      <c r="BF11" s="108" t="s">
        <v>166</v>
      </c>
    </row>
    <row r="12">
      <c r="A12" s="67">
        <f t="shared" si="7"/>
        <v>46254</v>
      </c>
      <c r="B12" s="138" t="s">
        <v>25</v>
      </c>
      <c r="C12" s="157">
        <f t="shared" si="8"/>
        <v>3</v>
      </c>
      <c r="D12" s="97">
        <f t="shared" ref="D12:L12" si="60">RANDBETWEEN(0,2)</f>
        <v>2</v>
      </c>
      <c r="E12" s="97">
        <f t="shared" si="60"/>
        <v>0</v>
      </c>
      <c r="F12" s="97">
        <f t="shared" si="60"/>
        <v>1</v>
      </c>
      <c r="G12" s="97">
        <f t="shared" si="60"/>
        <v>0</v>
      </c>
      <c r="H12" s="98">
        <f t="shared" si="60"/>
        <v>0</v>
      </c>
      <c r="I12" s="99">
        <f t="shared" si="60"/>
        <v>1</v>
      </c>
      <c r="J12" s="100">
        <f t="shared" si="60"/>
        <v>2</v>
      </c>
      <c r="K12" s="101">
        <f t="shared" si="60"/>
        <v>0</v>
      </c>
      <c r="L12" s="101">
        <f t="shared" si="60"/>
        <v>1</v>
      </c>
      <c r="M12" s="140">
        <f t="shared" si="10"/>
        <v>45</v>
      </c>
      <c r="N12" s="97">
        <f t="shared" ref="N12:T12" si="61">RANDBETWEEN(0,10)</f>
        <v>10</v>
      </c>
      <c r="O12" s="97">
        <f t="shared" si="61"/>
        <v>7</v>
      </c>
      <c r="P12" s="97">
        <f t="shared" si="61"/>
        <v>4</v>
      </c>
      <c r="Q12" s="97">
        <f t="shared" si="61"/>
        <v>5</v>
      </c>
      <c r="R12" s="97">
        <f t="shared" si="61"/>
        <v>8</v>
      </c>
      <c r="S12" s="97">
        <f t="shared" si="61"/>
        <v>5</v>
      </c>
      <c r="T12" s="97">
        <f t="shared" si="61"/>
        <v>6</v>
      </c>
      <c r="U12" s="103">
        <f t="shared" si="54"/>
        <v>12</v>
      </c>
      <c r="V12" s="158">
        <f t="shared" si="47"/>
        <v>1</v>
      </c>
      <c r="W12" s="97">
        <f t="shared" ref="W12:Y12" si="62">RANDBETWEEN(0,2)</f>
        <v>0</v>
      </c>
      <c r="X12" s="97">
        <f t="shared" si="62"/>
        <v>1</v>
      </c>
      <c r="Y12" s="97">
        <f t="shared" si="62"/>
        <v>0</v>
      </c>
      <c r="Z12" s="159">
        <f t="shared" si="56"/>
        <v>1</v>
      </c>
      <c r="AA12" s="106">
        <f t="shared" ref="AA12:AF12" si="63">RANDBETWEEN(0,2)</f>
        <v>0</v>
      </c>
      <c r="AB12" s="106">
        <f t="shared" si="63"/>
        <v>1</v>
      </c>
      <c r="AC12" s="107">
        <f t="shared" si="63"/>
        <v>0</v>
      </c>
      <c r="AD12" s="108">
        <f t="shared" si="63"/>
        <v>0</v>
      </c>
      <c r="AE12" s="108">
        <f t="shared" si="63"/>
        <v>2</v>
      </c>
      <c r="AF12" s="108">
        <f t="shared" si="63"/>
        <v>1</v>
      </c>
      <c r="AG12" s="160">
        <f t="shared" si="17"/>
        <v>3</v>
      </c>
      <c r="AH12" s="107">
        <f t="shared" ref="AH12:AJ12" si="64">RANDBETWEEN(1,10)</f>
        <v>6</v>
      </c>
      <c r="AI12" s="108">
        <f t="shared" si="64"/>
        <v>6</v>
      </c>
      <c r="AJ12" s="108">
        <f t="shared" si="64"/>
        <v>5</v>
      </c>
      <c r="AK12" s="147">
        <f t="shared" si="19"/>
        <v>17</v>
      </c>
      <c r="AL12" s="107"/>
      <c r="AM12" s="108"/>
      <c r="AN12" s="108"/>
      <c r="AO12" s="108"/>
      <c r="AP12" s="148"/>
      <c r="AQ12" s="107"/>
      <c r="AR12" s="108"/>
      <c r="AS12" s="108"/>
      <c r="AT12" s="149"/>
      <c r="AU12" s="107"/>
      <c r="AV12" s="108"/>
      <c r="AW12" s="108"/>
      <c r="AX12" s="150"/>
      <c r="AY12" s="92">
        <f t="shared" ref="AY12:AZ12" si="65">RANDBETWEEN(1,10)/10</f>
        <v>0.8</v>
      </c>
      <c r="AZ12" s="92">
        <f t="shared" si="65"/>
        <v>0.9</v>
      </c>
      <c r="BA12" s="93">
        <v>0.0</v>
      </c>
      <c r="BB12" s="93">
        <v>0.0</v>
      </c>
      <c r="BC12" s="94">
        <v>1200.0</v>
      </c>
      <c r="BD12" s="94">
        <v>1200.0</v>
      </c>
      <c r="BE12" s="108"/>
      <c r="BF12" s="108"/>
    </row>
    <row r="13">
      <c r="A13" s="67">
        <f t="shared" si="7"/>
        <v>46254</v>
      </c>
      <c r="B13" s="138" t="s">
        <v>26</v>
      </c>
      <c r="C13" s="157">
        <f t="shared" si="8"/>
        <v>1</v>
      </c>
      <c r="D13" s="97">
        <f t="shared" ref="D13:L13" si="66">RANDBETWEEN(0,2)</f>
        <v>1</v>
      </c>
      <c r="E13" s="97">
        <f t="shared" si="66"/>
        <v>0</v>
      </c>
      <c r="F13" s="97">
        <f t="shared" si="66"/>
        <v>0</v>
      </c>
      <c r="G13" s="97">
        <f t="shared" si="66"/>
        <v>1</v>
      </c>
      <c r="H13" s="98">
        <f t="shared" si="66"/>
        <v>2</v>
      </c>
      <c r="I13" s="99">
        <f t="shared" si="66"/>
        <v>2</v>
      </c>
      <c r="J13" s="100">
        <f t="shared" si="66"/>
        <v>0</v>
      </c>
      <c r="K13" s="101">
        <f t="shared" si="66"/>
        <v>1</v>
      </c>
      <c r="L13" s="101">
        <f t="shared" si="66"/>
        <v>1</v>
      </c>
      <c r="M13" s="140">
        <f t="shared" si="10"/>
        <v>48</v>
      </c>
      <c r="N13" s="97">
        <f t="shared" ref="N13:T13" si="67">RANDBETWEEN(0,10)</f>
        <v>10</v>
      </c>
      <c r="O13" s="97">
        <f t="shared" si="67"/>
        <v>2</v>
      </c>
      <c r="P13" s="97">
        <f t="shared" si="67"/>
        <v>8</v>
      </c>
      <c r="Q13" s="97">
        <f t="shared" si="67"/>
        <v>9</v>
      </c>
      <c r="R13" s="97">
        <f t="shared" si="67"/>
        <v>3</v>
      </c>
      <c r="S13" s="97">
        <f t="shared" si="67"/>
        <v>7</v>
      </c>
      <c r="T13" s="97">
        <f t="shared" si="67"/>
        <v>9</v>
      </c>
      <c r="U13" s="103">
        <f t="shared" si="54"/>
        <v>27</v>
      </c>
      <c r="V13" s="158">
        <f t="shared" si="47"/>
        <v>3</v>
      </c>
      <c r="W13" s="97">
        <f t="shared" ref="W13:Y13" si="68">RANDBETWEEN(0,2)</f>
        <v>2</v>
      </c>
      <c r="X13" s="97">
        <f t="shared" si="68"/>
        <v>0</v>
      </c>
      <c r="Y13" s="97">
        <f t="shared" si="68"/>
        <v>1</v>
      </c>
      <c r="Z13" s="159">
        <f t="shared" si="56"/>
        <v>2</v>
      </c>
      <c r="AA13" s="143">
        <f t="shared" ref="AA13:AF13" si="69">RANDBETWEEN(0,2)</f>
        <v>1</v>
      </c>
      <c r="AB13" s="143">
        <f t="shared" si="69"/>
        <v>1</v>
      </c>
      <c r="AC13" s="144">
        <f t="shared" si="69"/>
        <v>0</v>
      </c>
      <c r="AD13" s="145">
        <f t="shared" si="69"/>
        <v>1</v>
      </c>
      <c r="AE13" s="145">
        <f t="shared" si="69"/>
        <v>2</v>
      </c>
      <c r="AF13" s="145">
        <f t="shared" si="69"/>
        <v>1</v>
      </c>
      <c r="AG13" s="160">
        <f t="shared" si="17"/>
        <v>4</v>
      </c>
      <c r="AH13" s="144">
        <f t="shared" ref="AH13:AJ13" si="70">RANDBETWEEN(1,10)</f>
        <v>10</v>
      </c>
      <c r="AI13" s="145">
        <f t="shared" si="70"/>
        <v>1</v>
      </c>
      <c r="AJ13" s="145">
        <f t="shared" si="70"/>
        <v>9</v>
      </c>
      <c r="AK13" s="147">
        <f t="shared" si="19"/>
        <v>20</v>
      </c>
      <c r="AL13" s="144"/>
      <c r="AM13" s="145"/>
      <c r="AN13" s="145"/>
      <c r="AO13" s="145"/>
      <c r="AP13" s="148"/>
      <c r="AQ13" s="144"/>
      <c r="AR13" s="145"/>
      <c r="AS13" s="145"/>
      <c r="AT13" s="149"/>
      <c r="AU13" s="144"/>
      <c r="AV13" s="145"/>
      <c r="AW13" s="145"/>
      <c r="AX13" s="150"/>
      <c r="AY13" s="92">
        <f t="shared" ref="AY13:AZ13" si="71">RANDBETWEEN(1,10)/10</f>
        <v>0.4</v>
      </c>
      <c r="AZ13" s="92">
        <f t="shared" si="71"/>
        <v>0.9</v>
      </c>
      <c r="BA13" s="93">
        <v>1.0</v>
      </c>
      <c r="BB13" s="93">
        <v>0.0</v>
      </c>
      <c r="BC13" s="94">
        <v>1200.0</v>
      </c>
      <c r="BD13" s="94">
        <v>1200.0</v>
      </c>
      <c r="BE13" s="108" t="s">
        <v>167</v>
      </c>
      <c r="BF13" s="108"/>
    </row>
    <row r="14">
      <c r="A14" s="67">
        <f t="shared" si="7"/>
        <v>46254</v>
      </c>
      <c r="B14" s="138" t="s">
        <v>28</v>
      </c>
      <c r="C14" s="157">
        <f t="shared" si="8"/>
        <v>2</v>
      </c>
      <c r="D14" s="97">
        <f t="shared" ref="D14:L14" si="72">RANDBETWEEN(0,2)</f>
        <v>2</v>
      </c>
      <c r="E14" s="97">
        <f t="shared" si="72"/>
        <v>1</v>
      </c>
      <c r="F14" s="97">
        <f t="shared" si="72"/>
        <v>0</v>
      </c>
      <c r="G14" s="97">
        <f t="shared" si="72"/>
        <v>1</v>
      </c>
      <c r="H14" s="98">
        <f t="shared" si="72"/>
        <v>2</v>
      </c>
      <c r="I14" s="99">
        <f t="shared" si="72"/>
        <v>2</v>
      </c>
      <c r="J14" s="100">
        <f t="shared" si="72"/>
        <v>1</v>
      </c>
      <c r="K14" s="101">
        <f t="shared" si="72"/>
        <v>0</v>
      </c>
      <c r="L14" s="101">
        <f t="shared" si="72"/>
        <v>0</v>
      </c>
      <c r="M14" s="140">
        <f t="shared" si="10"/>
        <v>32</v>
      </c>
      <c r="N14" s="97">
        <f t="shared" ref="N14:T14" si="73">RANDBETWEEN(0,10)</f>
        <v>6</v>
      </c>
      <c r="O14" s="97">
        <f t="shared" si="73"/>
        <v>10</v>
      </c>
      <c r="P14" s="97">
        <f t="shared" si="73"/>
        <v>0</v>
      </c>
      <c r="Q14" s="97">
        <f t="shared" si="73"/>
        <v>5</v>
      </c>
      <c r="R14" s="97">
        <f t="shared" si="73"/>
        <v>1</v>
      </c>
      <c r="S14" s="97">
        <f t="shared" si="73"/>
        <v>8</v>
      </c>
      <c r="T14" s="97">
        <f t="shared" si="73"/>
        <v>2</v>
      </c>
      <c r="U14" s="103">
        <f t="shared" si="54"/>
        <v>14</v>
      </c>
      <c r="V14" s="158">
        <f t="shared" si="47"/>
        <v>2</v>
      </c>
      <c r="W14" s="97">
        <f t="shared" ref="W14:Y14" si="74">RANDBETWEEN(0,2)</f>
        <v>1</v>
      </c>
      <c r="X14" s="97">
        <f t="shared" si="74"/>
        <v>1</v>
      </c>
      <c r="Y14" s="97">
        <f t="shared" si="74"/>
        <v>0</v>
      </c>
      <c r="Z14" s="159">
        <f t="shared" si="56"/>
        <v>0</v>
      </c>
      <c r="AA14" s="106">
        <f t="shared" ref="AA14:AF14" si="75">RANDBETWEEN(0,2)</f>
        <v>0</v>
      </c>
      <c r="AB14" s="106">
        <f t="shared" si="75"/>
        <v>0</v>
      </c>
      <c r="AC14" s="107">
        <f t="shared" si="75"/>
        <v>0</v>
      </c>
      <c r="AD14" s="108">
        <f t="shared" si="75"/>
        <v>0</v>
      </c>
      <c r="AE14" s="108">
        <f t="shared" si="75"/>
        <v>0</v>
      </c>
      <c r="AF14" s="108">
        <f t="shared" si="75"/>
        <v>2</v>
      </c>
      <c r="AG14" s="160">
        <f t="shared" si="17"/>
        <v>2</v>
      </c>
      <c r="AH14" s="107">
        <f t="shared" ref="AH14:AJ14" si="76">RANDBETWEEN(1,10)</f>
        <v>10</v>
      </c>
      <c r="AI14" s="108">
        <f t="shared" si="76"/>
        <v>9</v>
      </c>
      <c r="AJ14" s="108">
        <f t="shared" si="76"/>
        <v>8</v>
      </c>
      <c r="AK14" s="147">
        <f t="shared" si="19"/>
        <v>27</v>
      </c>
      <c r="AL14" s="107"/>
      <c r="AM14" s="108"/>
      <c r="AN14" s="108"/>
      <c r="AO14" s="108"/>
      <c r="AP14" s="148"/>
      <c r="AQ14" s="107"/>
      <c r="AR14" s="108"/>
      <c r="AS14" s="108"/>
      <c r="AT14" s="149"/>
      <c r="AU14" s="107"/>
      <c r="AV14" s="108"/>
      <c r="AW14" s="108"/>
      <c r="AX14" s="150"/>
      <c r="AY14" s="92">
        <f t="shared" ref="AY14:AZ14" si="77">RANDBETWEEN(1,10)/10</f>
        <v>0.5</v>
      </c>
      <c r="AZ14" s="92">
        <f t="shared" si="77"/>
        <v>0.4</v>
      </c>
      <c r="BA14" s="93">
        <v>0.0</v>
      </c>
      <c r="BB14" s="93">
        <v>1.0</v>
      </c>
      <c r="BC14" s="94">
        <v>1200.0</v>
      </c>
      <c r="BD14" s="94">
        <v>1200.0</v>
      </c>
      <c r="BE14" s="108"/>
      <c r="BF14" s="108" t="s">
        <v>168</v>
      </c>
    </row>
    <row r="15">
      <c r="A15" s="67">
        <f t="shared" si="7"/>
        <v>46254</v>
      </c>
      <c r="B15" s="114" t="s">
        <v>29</v>
      </c>
      <c r="C15" s="164">
        <f t="shared" si="8"/>
        <v>10</v>
      </c>
      <c r="D15" s="165">
        <f t="shared" ref="D15:L15" si="78">D10+D11+D12+D13+D14</f>
        <v>9</v>
      </c>
      <c r="E15" s="165">
        <f t="shared" si="78"/>
        <v>3</v>
      </c>
      <c r="F15" s="165">
        <f t="shared" si="78"/>
        <v>1</v>
      </c>
      <c r="G15" s="165">
        <f t="shared" si="78"/>
        <v>2</v>
      </c>
      <c r="H15" s="164">
        <f t="shared" si="78"/>
        <v>6</v>
      </c>
      <c r="I15" s="165">
        <f t="shared" si="78"/>
        <v>8</v>
      </c>
      <c r="J15" s="164">
        <f t="shared" si="78"/>
        <v>6</v>
      </c>
      <c r="K15" s="165">
        <f t="shared" si="78"/>
        <v>4</v>
      </c>
      <c r="L15" s="165">
        <f t="shared" si="78"/>
        <v>3</v>
      </c>
      <c r="M15" s="164">
        <f t="shared" si="10"/>
        <v>185</v>
      </c>
      <c r="N15" s="164">
        <f t="shared" ref="N15:U15" si="79">N10+N11+N12+N13+N14</f>
        <v>30</v>
      </c>
      <c r="O15" s="165">
        <f t="shared" si="79"/>
        <v>30</v>
      </c>
      <c r="P15" s="165">
        <f t="shared" si="79"/>
        <v>18</v>
      </c>
      <c r="Q15" s="165">
        <f t="shared" si="79"/>
        <v>30</v>
      </c>
      <c r="R15" s="165">
        <f t="shared" si="79"/>
        <v>21</v>
      </c>
      <c r="S15" s="165">
        <f t="shared" si="79"/>
        <v>34</v>
      </c>
      <c r="T15" s="165">
        <f t="shared" si="79"/>
        <v>22</v>
      </c>
      <c r="U15" s="164">
        <f t="shared" si="79"/>
        <v>76</v>
      </c>
      <c r="V15" s="164">
        <f t="shared" si="47"/>
        <v>14</v>
      </c>
      <c r="W15" s="165">
        <f t="shared" ref="W15:Y15" si="80">W10+W11+W12+W13+W14</f>
        <v>6</v>
      </c>
      <c r="X15" s="165">
        <f t="shared" si="80"/>
        <v>4</v>
      </c>
      <c r="Y15" s="165">
        <f t="shared" si="80"/>
        <v>4</v>
      </c>
      <c r="Z15" s="165">
        <f t="shared" si="56"/>
        <v>11</v>
      </c>
      <c r="AA15" s="165">
        <f t="shared" ref="AA15:AC15" si="81">AA10+AA11+AA12+AA13+AA14</f>
        <v>5</v>
      </c>
      <c r="AB15" s="165">
        <f t="shared" si="81"/>
        <v>6</v>
      </c>
      <c r="AC15" s="166">
        <f t="shared" si="81"/>
        <v>2</v>
      </c>
      <c r="AD15" s="167">
        <f>AE10+AD11+AD12+AD13+AD14</f>
        <v>2</v>
      </c>
      <c r="AE15" s="167">
        <f t="shared" ref="AE15:AF15" si="82">AE10+AE11+AE12+AE13+AE14</f>
        <v>4</v>
      </c>
      <c r="AF15" s="167">
        <f t="shared" si="82"/>
        <v>4</v>
      </c>
      <c r="AG15" s="168">
        <f t="shared" si="17"/>
        <v>12</v>
      </c>
      <c r="AH15" s="166">
        <f t="shared" ref="AH15:AJ15" si="83">AH10+AH11+AH12+AH13+AH14</f>
        <v>29</v>
      </c>
      <c r="AI15" s="166">
        <f t="shared" si="83"/>
        <v>22</v>
      </c>
      <c r="AJ15" s="166">
        <f t="shared" si="83"/>
        <v>26</v>
      </c>
      <c r="AK15" s="168">
        <f t="shared" si="19"/>
        <v>77</v>
      </c>
      <c r="AL15" s="166"/>
      <c r="AM15" s="167"/>
      <c r="AN15" s="167"/>
      <c r="AO15" s="167"/>
      <c r="AP15" s="169"/>
      <c r="AQ15" s="166"/>
      <c r="AR15" s="166"/>
      <c r="AS15" s="166"/>
      <c r="AT15" s="170"/>
      <c r="AU15" s="166"/>
      <c r="AV15" s="166"/>
      <c r="AW15" s="166"/>
      <c r="AX15" s="171"/>
      <c r="AY15" s="172">
        <f t="shared" ref="AY15:BD15" si="84">AY10+AY11+AY12+AY13+AY14</f>
        <v>3.2</v>
      </c>
      <c r="AZ15" s="172">
        <f t="shared" si="84"/>
        <v>3.5</v>
      </c>
      <c r="BA15" s="166">
        <f t="shared" si="84"/>
        <v>3</v>
      </c>
      <c r="BB15" s="166">
        <f t="shared" si="84"/>
        <v>3</v>
      </c>
      <c r="BC15" s="173">
        <f t="shared" si="84"/>
        <v>6000</v>
      </c>
      <c r="BD15" s="173">
        <f t="shared" si="84"/>
        <v>6000</v>
      </c>
      <c r="BE15" s="154" t="str">
        <f t="shared" ref="BE15:BF15" si="85">TEXTJOIN(", ",TRUE,BE10:BE14)</f>
        <v>Олександівка, Пантелеймонівка, Миколаївка</v>
      </c>
      <c r="BF15" s="154" t="str">
        <f t="shared" si="85"/>
        <v>Загреблі, Верхні води, Ступочки</v>
      </c>
    </row>
    <row r="16">
      <c r="A16" s="67">
        <f t="shared" si="7"/>
        <v>46254</v>
      </c>
      <c r="B16" s="124" t="s">
        <v>31</v>
      </c>
      <c r="C16" s="174">
        <f t="shared" si="8"/>
        <v>4</v>
      </c>
      <c r="D16" s="175">
        <f t="shared" ref="D16:L16" si="86">RANDBETWEEN(0,2)</f>
        <v>2</v>
      </c>
      <c r="E16" s="175">
        <f t="shared" si="86"/>
        <v>2</v>
      </c>
      <c r="F16" s="175">
        <f t="shared" si="86"/>
        <v>2</v>
      </c>
      <c r="G16" s="175">
        <f t="shared" si="86"/>
        <v>2</v>
      </c>
      <c r="H16" s="176">
        <f t="shared" si="86"/>
        <v>0</v>
      </c>
      <c r="I16" s="177">
        <f t="shared" si="86"/>
        <v>0</v>
      </c>
      <c r="J16" s="178">
        <f t="shared" si="86"/>
        <v>1</v>
      </c>
      <c r="K16" s="179">
        <f t="shared" si="86"/>
        <v>2</v>
      </c>
      <c r="L16" s="179">
        <f t="shared" si="86"/>
        <v>1</v>
      </c>
      <c r="M16" s="180">
        <f t="shared" si="10"/>
        <v>40</v>
      </c>
      <c r="N16" s="175">
        <f t="shared" ref="N16:T16" si="87">RANDBETWEEN(0,10)</f>
        <v>4</v>
      </c>
      <c r="O16" s="175">
        <f t="shared" si="87"/>
        <v>9</v>
      </c>
      <c r="P16" s="175">
        <f t="shared" si="87"/>
        <v>6</v>
      </c>
      <c r="Q16" s="175">
        <f t="shared" si="87"/>
        <v>2</v>
      </c>
      <c r="R16" s="175">
        <f t="shared" si="87"/>
        <v>6</v>
      </c>
      <c r="S16" s="175">
        <f t="shared" si="87"/>
        <v>10</v>
      </c>
      <c r="T16" s="175">
        <f t="shared" si="87"/>
        <v>3</v>
      </c>
      <c r="U16" s="181">
        <f t="shared" ref="U16:U21" si="94">RANDBETWEEN(10,30)</f>
        <v>26</v>
      </c>
      <c r="V16" s="182">
        <f t="shared" si="47"/>
        <v>3</v>
      </c>
      <c r="W16" s="175">
        <f t="shared" ref="W16:Y16" si="88">RANDBETWEEN(0,2)</f>
        <v>2</v>
      </c>
      <c r="X16" s="175">
        <f t="shared" si="88"/>
        <v>0</v>
      </c>
      <c r="Y16" s="175">
        <f t="shared" si="88"/>
        <v>1</v>
      </c>
      <c r="Z16" s="183">
        <f t="shared" si="56"/>
        <v>0</v>
      </c>
      <c r="AA16" s="184">
        <f t="shared" ref="AA16:AF16" si="89">RANDBETWEEN(0,2)</f>
        <v>0</v>
      </c>
      <c r="AB16" s="184">
        <f t="shared" si="89"/>
        <v>0</v>
      </c>
      <c r="AC16" s="185">
        <f t="shared" si="89"/>
        <v>1</v>
      </c>
      <c r="AD16" s="186">
        <f t="shared" si="89"/>
        <v>2</v>
      </c>
      <c r="AE16" s="186">
        <f t="shared" si="89"/>
        <v>2</v>
      </c>
      <c r="AF16" s="186">
        <f t="shared" si="89"/>
        <v>1</v>
      </c>
      <c r="AG16" s="187">
        <f t="shared" si="17"/>
        <v>6</v>
      </c>
      <c r="AH16" s="185">
        <f t="shared" ref="AH16:AJ16" si="90">RANDBETWEEN(1,10)</f>
        <v>6</v>
      </c>
      <c r="AI16" s="186">
        <f t="shared" si="90"/>
        <v>3</v>
      </c>
      <c r="AJ16" s="186">
        <f t="shared" si="90"/>
        <v>1</v>
      </c>
      <c r="AK16" s="188">
        <f t="shared" si="19"/>
        <v>10</v>
      </c>
      <c r="AL16" s="185"/>
      <c r="AM16" s="186"/>
      <c r="AN16" s="186"/>
      <c r="AO16" s="186"/>
      <c r="AP16" s="189"/>
      <c r="AQ16" s="185"/>
      <c r="AR16" s="186"/>
      <c r="AS16" s="186"/>
      <c r="AT16" s="190"/>
      <c r="AU16" s="185"/>
      <c r="AV16" s="186"/>
      <c r="AW16" s="186"/>
      <c r="AX16" s="191"/>
      <c r="AY16" s="92">
        <f t="shared" ref="AY16:AZ16" si="91">RANDBETWEEN(1,10)/10</f>
        <v>0.6</v>
      </c>
      <c r="AZ16" s="92">
        <f t="shared" si="91"/>
        <v>0.7</v>
      </c>
      <c r="BA16" s="93">
        <v>0.0</v>
      </c>
      <c r="BB16" s="93">
        <v>0.0</v>
      </c>
      <c r="BC16" s="94">
        <v>1200.0</v>
      </c>
      <c r="BD16" s="94">
        <v>1200.0</v>
      </c>
      <c r="BE16" s="186"/>
      <c r="BF16" s="186"/>
    </row>
    <row r="17">
      <c r="A17" s="67">
        <f t="shared" si="7"/>
        <v>46254</v>
      </c>
      <c r="B17" s="138" t="s">
        <v>33</v>
      </c>
      <c r="C17" s="157">
        <f t="shared" si="8"/>
        <v>3</v>
      </c>
      <c r="D17" s="97">
        <f t="shared" ref="D17:L17" si="92">RANDBETWEEN(0,2)</f>
        <v>1</v>
      </c>
      <c r="E17" s="97">
        <f t="shared" si="92"/>
        <v>0</v>
      </c>
      <c r="F17" s="97">
        <f t="shared" si="92"/>
        <v>2</v>
      </c>
      <c r="G17" s="97">
        <f t="shared" si="92"/>
        <v>2</v>
      </c>
      <c r="H17" s="98">
        <f t="shared" si="92"/>
        <v>1</v>
      </c>
      <c r="I17" s="99">
        <f t="shared" si="92"/>
        <v>1</v>
      </c>
      <c r="J17" s="100">
        <f t="shared" si="92"/>
        <v>1</v>
      </c>
      <c r="K17" s="101">
        <f t="shared" si="92"/>
        <v>0</v>
      </c>
      <c r="L17" s="101">
        <f t="shared" si="92"/>
        <v>1</v>
      </c>
      <c r="M17" s="140">
        <f t="shared" si="10"/>
        <v>45</v>
      </c>
      <c r="N17" s="97">
        <f t="shared" ref="N17:T17" si="93">RANDBETWEEN(0,10)</f>
        <v>9</v>
      </c>
      <c r="O17" s="97">
        <f t="shared" si="93"/>
        <v>2</v>
      </c>
      <c r="P17" s="97">
        <f t="shared" si="93"/>
        <v>5</v>
      </c>
      <c r="Q17" s="97">
        <f t="shared" si="93"/>
        <v>8</v>
      </c>
      <c r="R17" s="97">
        <f t="shared" si="93"/>
        <v>4</v>
      </c>
      <c r="S17" s="97">
        <f t="shared" si="93"/>
        <v>9</v>
      </c>
      <c r="T17" s="97">
        <f t="shared" si="93"/>
        <v>8</v>
      </c>
      <c r="U17" s="103">
        <f t="shared" si="94"/>
        <v>26</v>
      </c>
      <c r="V17" s="158">
        <f t="shared" si="47"/>
        <v>2</v>
      </c>
      <c r="W17" s="97">
        <f t="shared" ref="W17:Y17" si="95">RANDBETWEEN(0,2)</f>
        <v>1</v>
      </c>
      <c r="X17" s="97">
        <f t="shared" si="95"/>
        <v>1</v>
      </c>
      <c r="Y17" s="97">
        <f t="shared" si="95"/>
        <v>0</v>
      </c>
      <c r="Z17" s="105">
        <f t="shared" si="56"/>
        <v>1</v>
      </c>
      <c r="AA17" s="143">
        <f t="shared" ref="AA17:AF17" si="96">RANDBETWEEN(0,2)</f>
        <v>0</v>
      </c>
      <c r="AB17" s="143">
        <f t="shared" si="96"/>
        <v>1</v>
      </c>
      <c r="AC17" s="144">
        <f t="shared" si="96"/>
        <v>0</v>
      </c>
      <c r="AD17" s="145">
        <f t="shared" si="96"/>
        <v>0</v>
      </c>
      <c r="AE17" s="145">
        <f t="shared" si="96"/>
        <v>0</v>
      </c>
      <c r="AF17" s="145">
        <f t="shared" si="96"/>
        <v>0</v>
      </c>
      <c r="AG17" s="86">
        <f t="shared" si="17"/>
        <v>0</v>
      </c>
      <c r="AH17" s="144">
        <f t="shared" ref="AH17:AJ17" si="97">RANDBETWEEN(1,10)</f>
        <v>5</v>
      </c>
      <c r="AI17" s="145">
        <f t="shared" si="97"/>
        <v>4</v>
      </c>
      <c r="AJ17" s="145">
        <f t="shared" si="97"/>
        <v>10</v>
      </c>
      <c r="AK17" s="192">
        <f t="shared" si="19"/>
        <v>19</v>
      </c>
      <c r="AL17" s="144"/>
      <c r="AM17" s="145"/>
      <c r="AN17" s="145"/>
      <c r="AO17" s="145"/>
      <c r="AP17" s="89"/>
      <c r="AQ17" s="144"/>
      <c r="AR17" s="145"/>
      <c r="AS17" s="145"/>
      <c r="AT17" s="193"/>
      <c r="AU17" s="144"/>
      <c r="AV17" s="145"/>
      <c r="AW17" s="145"/>
      <c r="AX17" s="194"/>
      <c r="AY17" s="92">
        <f t="shared" ref="AY17:AZ17" si="98">RANDBETWEEN(1,10)/10</f>
        <v>0.2</v>
      </c>
      <c r="AZ17" s="92">
        <f t="shared" si="98"/>
        <v>0.3</v>
      </c>
      <c r="BA17" s="93">
        <v>0.0</v>
      </c>
      <c r="BB17" s="93">
        <v>0.0</v>
      </c>
      <c r="BC17" s="94">
        <v>1200.0</v>
      </c>
      <c r="BD17" s="94">
        <v>1200.0</v>
      </c>
      <c r="BE17" s="108"/>
      <c r="BF17" s="108"/>
    </row>
    <row r="18">
      <c r="A18" s="67">
        <f t="shared" si="7"/>
        <v>46254</v>
      </c>
      <c r="B18" s="138" t="s">
        <v>35</v>
      </c>
      <c r="C18" s="157">
        <f t="shared" si="8"/>
        <v>4</v>
      </c>
      <c r="D18" s="97">
        <f t="shared" ref="D18:L18" si="99">RANDBETWEEN(0,2)</f>
        <v>2</v>
      </c>
      <c r="E18" s="97">
        <f t="shared" si="99"/>
        <v>0</v>
      </c>
      <c r="F18" s="97">
        <f t="shared" si="99"/>
        <v>2</v>
      </c>
      <c r="G18" s="97">
        <f t="shared" si="99"/>
        <v>2</v>
      </c>
      <c r="H18" s="98">
        <f t="shared" si="99"/>
        <v>0</v>
      </c>
      <c r="I18" s="99">
        <f t="shared" si="99"/>
        <v>1</v>
      </c>
      <c r="J18" s="100">
        <f t="shared" si="99"/>
        <v>0</v>
      </c>
      <c r="K18" s="101">
        <f t="shared" si="99"/>
        <v>2</v>
      </c>
      <c r="L18" s="101">
        <f t="shared" si="99"/>
        <v>1</v>
      </c>
      <c r="M18" s="140">
        <f t="shared" si="10"/>
        <v>46</v>
      </c>
      <c r="N18" s="97">
        <f t="shared" ref="N18:T18" si="100">RANDBETWEEN(0,10)</f>
        <v>5</v>
      </c>
      <c r="O18" s="97">
        <f t="shared" si="100"/>
        <v>8</v>
      </c>
      <c r="P18" s="97">
        <f t="shared" si="100"/>
        <v>7</v>
      </c>
      <c r="Q18" s="97">
        <f t="shared" si="100"/>
        <v>8</v>
      </c>
      <c r="R18" s="97">
        <f t="shared" si="100"/>
        <v>5</v>
      </c>
      <c r="S18" s="97">
        <f t="shared" si="100"/>
        <v>10</v>
      </c>
      <c r="T18" s="97">
        <f t="shared" si="100"/>
        <v>3</v>
      </c>
      <c r="U18" s="103">
        <f t="shared" si="94"/>
        <v>21</v>
      </c>
      <c r="V18" s="158">
        <f t="shared" si="47"/>
        <v>4</v>
      </c>
      <c r="W18" s="97">
        <f t="shared" ref="W18:Y18" si="101">RANDBETWEEN(0,2)</f>
        <v>2</v>
      </c>
      <c r="X18" s="97">
        <f t="shared" si="101"/>
        <v>0</v>
      </c>
      <c r="Y18" s="97">
        <f t="shared" si="101"/>
        <v>2</v>
      </c>
      <c r="Z18" s="105">
        <f t="shared" si="56"/>
        <v>0</v>
      </c>
      <c r="AA18" s="106">
        <f t="shared" ref="AA18:AF18" si="102">RANDBETWEEN(0,2)</f>
        <v>0</v>
      </c>
      <c r="AB18" s="106">
        <f t="shared" si="102"/>
        <v>0</v>
      </c>
      <c r="AC18" s="107">
        <f t="shared" si="102"/>
        <v>0</v>
      </c>
      <c r="AD18" s="108">
        <f t="shared" si="102"/>
        <v>0</v>
      </c>
      <c r="AE18" s="108">
        <f t="shared" si="102"/>
        <v>2</v>
      </c>
      <c r="AF18" s="108">
        <f t="shared" si="102"/>
        <v>0</v>
      </c>
      <c r="AG18" s="86">
        <f t="shared" si="17"/>
        <v>2</v>
      </c>
      <c r="AH18" s="107">
        <f t="shared" ref="AH18:AJ18" si="103">RANDBETWEEN(1,10)</f>
        <v>10</v>
      </c>
      <c r="AI18" s="108">
        <f t="shared" si="103"/>
        <v>4</v>
      </c>
      <c r="AJ18" s="108">
        <f t="shared" si="103"/>
        <v>10</v>
      </c>
      <c r="AK18" s="192">
        <f t="shared" si="19"/>
        <v>24</v>
      </c>
      <c r="AL18" s="107"/>
      <c r="AM18" s="108"/>
      <c r="AN18" s="108"/>
      <c r="AO18" s="108"/>
      <c r="AP18" s="89"/>
      <c r="AQ18" s="107"/>
      <c r="AR18" s="108"/>
      <c r="AS18" s="108"/>
      <c r="AT18" s="193"/>
      <c r="AU18" s="107"/>
      <c r="AV18" s="108"/>
      <c r="AW18" s="108"/>
      <c r="AX18" s="194"/>
      <c r="AY18" s="92">
        <f t="shared" ref="AY18:AZ18" si="104">RANDBETWEEN(1,10)/10</f>
        <v>0.3</v>
      </c>
      <c r="AZ18" s="92">
        <f t="shared" si="104"/>
        <v>0.8</v>
      </c>
      <c r="BA18" s="93">
        <v>0.0</v>
      </c>
      <c r="BB18" s="93">
        <v>0.0</v>
      </c>
      <c r="BC18" s="94">
        <v>1200.0</v>
      </c>
      <c r="BD18" s="94">
        <v>1200.0</v>
      </c>
      <c r="BE18" s="108"/>
      <c r="BF18" s="108"/>
    </row>
    <row r="19">
      <c r="A19" s="67">
        <f t="shared" si="7"/>
        <v>46254</v>
      </c>
      <c r="B19" s="138" t="s">
        <v>36</v>
      </c>
      <c r="C19" s="157">
        <f t="shared" si="8"/>
        <v>2</v>
      </c>
      <c r="D19" s="97">
        <f t="shared" ref="D19:L19" si="105">RANDBETWEEN(0,2)</f>
        <v>0</v>
      </c>
      <c r="E19" s="97">
        <f t="shared" si="105"/>
        <v>0</v>
      </c>
      <c r="F19" s="97">
        <f t="shared" si="105"/>
        <v>2</v>
      </c>
      <c r="G19" s="97">
        <f t="shared" si="105"/>
        <v>0</v>
      </c>
      <c r="H19" s="98">
        <f t="shared" si="105"/>
        <v>1</v>
      </c>
      <c r="I19" s="99">
        <f t="shared" si="105"/>
        <v>1</v>
      </c>
      <c r="J19" s="100">
        <f t="shared" si="105"/>
        <v>2</v>
      </c>
      <c r="K19" s="101">
        <f t="shared" si="105"/>
        <v>1</v>
      </c>
      <c r="L19" s="101">
        <f t="shared" si="105"/>
        <v>0</v>
      </c>
      <c r="M19" s="140">
        <f t="shared" si="10"/>
        <v>27</v>
      </c>
      <c r="N19" s="97">
        <f t="shared" ref="N19:T19" si="106">RANDBETWEEN(0,10)</f>
        <v>10</v>
      </c>
      <c r="O19" s="97">
        <f t="shared" si="106"/>
        <v>3</v>
      </c>
      <c r="P19" s="97">
        <f t="shared" si="106"/>
        <v>5</v>
      </c>
      <c r="Q19" s="97">
        <f t="shared" si="106"/>
        <v>2</v>
      </c>
      <c r="R19" s="97">
        <f t="shared" si="106"/>
        <v>5</v>
      </c>
      <c r="S19" s="97">
        <f t="shared" si="106"/>
        <v>0</v>
      </c>
      <c r="T19" s="97">
        <f t="shared" si="106"/>
        <v>2</v>
      </c>
      <c r="U19" s="103">
        <f t="shared" si="94"/>
        <v>26</v>
      </c>
      <c r="V19" s="158">
        <f t="shared" si="47"/>
        <v>6</v>
      </c>
      <c r="W19" s="97">
        <f t="shared" ref="W19:Y19" si="107">RANDBETWEEN(0,2)</f>
        <v>2</v>
      </c>
      <c r="X19" s="97">
        <f t="shared" si="107"/>
        <v>2</v>
      </c>
      <c r="Y19" s="97">
        <f t="shared" si="107"/>
        <v>2</v>
      </c>
      <c r="Z19" s="105">
        <f t="shared" si="56"/>
        <v>1</v>
      </c>
      <c r="AA19" s="143">
        <f t="shared" ref="AA19:AF19" si="108">RANDBETWEEN(0,2)</f>
        <v>1</v>
      </c>
      <c r="AB19" s="143">
        <f t="shared" si="108"/>
        <v>0</v>
      </c>
      <c r="AC19" s="144">
        <f t="shared" si="108"/>
        <v>2</v>
      </c>
      <c r="AD19" s="145">
        <f t="shared" si="108"/>
        <v>2</v>
      </c>
      <c r="AE19" s="145">
        <f t="shared" si="108"/>
        <v>1</v>
      </c>
      <c r="AF19" s="145">
        <f t="shared" si="108"/>
        <v>0</v>
      </c>
      <c r="AG19" s="86">
        <f t="shared" si="17"/>
        <v>5</v>
      </c>
      <c r="AH19" s="144">
        <f t="shared" ref="AH19:AJ19" si="109">RANDBETWEEN(1,10)</f>
        <v>4</v>
      </c>
      <c r="AI19" s="145">
        <f t="shared" si="109"/>
        <v>6</v>
      </c>
      <c r="AJ19" s="145">
        <f t="shared" si="109"/>
        <v>7</v>
      </c>
      <c r="AK19" s="192">
        <f t="shared" si="19"/>
        <v>17</v>
      </c>
      <c r="AL19" s="144"/>
      <c r="AM19" s="145"/>
      <c r="AN19" s="145"/>
      <c r="AO19" s="145"/>
      <c r="AP19" s="89"/>
      <c r="AQ19" s="144"/>
      <c r="AR19" s="145"/>
      <c r="AS19" s="145"/>
      <c r="AT19" s="193"/>
      <c r="AU19" s="144"/>
      <c r="AV19" s="145"/>
      <c r="AW19" s="145"/>
      <c r="AX19" s="194"/>
      <c r="AY19" s="92">
        <f t="shared" ref="AY19:AZ19" si="110">RANDBETWEEN(1,10)/10</f>
        <v>0.9</v>
      </c>
      <c r="AZ19" s="92">
        <f t="shared" si="110"/>
        <v>0.8</v>
      </c>
      <c r="BA19" s="93">
        <v>0.0</v>
      </c>
      <c r="BB19" s="93">
        <v>0.0</v>
      </c>
      <c r="BC19" s="94">
        <v>1200.0</v>
      </c>
      <c r="BD19" s="94">
        <v>1200.0</v>
      </c>
      <c r="BE19" s="108"/>
      <c r="BF19" s="108"/>
    </row>
    <row r="20">
      <c r="A20" s="67">
        <f t="shared" si="7"/>
        <v>46254</v>
      </c>
      <c r="B20" s="195" t="s">
        <v>38</v>
      </c>
      <c r="C20" s="157">
        <f t="shared" si="8"/>
        <v>3</v>
      </c>
      <c r="D20" s="97">
        <f t="shared" ref="D20:L20" si="111">RANDBETWEEN(0,2)</f>
        <v>2</v>
      </c>
      <c r="E20" s="97">
        <f t="shared" si="111"/>
        <v>1</v>
      </c>
      <c r="F20" s="97">
        <f t="shared" si="111"/>
        <v>1</v>
      </c>
      <c r="G20" s="97">
        <f t="shared" si="111"/>
        <v>2</v>
      </c>
      <c r="H20" s="98">
        <f t="shared" si="111"/>
        <v>1</v>
      </c>
      <c r="I20" s="99">
        <f t="shared" si="111"/>
        <v>0</v>
      </c>
      <c r="J20" s="100">
        <f t="shared" si="111"/>
        <v>0</v>
      </c>
      <c r="K20" s="101">
        <f t="shared" si="111"/>
        <v>1</v>
      </c>
      <c r="L20" s="101">
        <f t="shared" si="111"/>
        <v>2</v>
      </c>
      <c r="M20" s="140">
        <f t="shared" si="10"/>
        <v>31</v>
      </c>
      <c r="N20" s="97">
        <f t="shared" ref="N20:T20" si="112">RANDBETWEEN(0,10)</f>
        <v>10</v>
      </c>
      <c r="O20" s="97">
        <f t="shared" si="112"/>
        <v>1</v>
      </c>
      <c r="P20" s="97">
        <f t="shared" si="112"/>
        <v>1</v>
      </c>
      <c r="Q20" s="97">
        <f t="shared" si="112"/>
        <v>0</v>
      </c>
      <c r="R20" s="97">
        <f t="shared" si="112"/>
        <v>8</v>
      </c>
      <c r="S20" s="97">
        <f t="shared" si="112"/>
        <v>5</v>
      </c>
      <c r="T20" s="97">
        <f t="shared" si="112"/>
        <v>6</v>
      </c>
      <c r="U20" s="103">
        <f t="shared" si="94"/>
        <v>26</v>
      </c>
      <c r="V20" s="158">
        <f t="shared" si="47"/>
        <v>3</v>
      </c>
      <c r="W20" s="97">
        <f t="shared" ref="W20:Y20" si="113">RANDBETWEEN(0,2)</f>
        <v>1</v>
      </c>
      <c r="X20" s="97">
        <f t="shared" si="113"/>
        <v>2</v>
      </c>
      <c r="Y20" s="97">
        <f t="shared" si="113"/>
        <v>0</v>
      </c>
      <c r="Z20" s="105">
        <f t="shared" si="56"/>
        <v>3</v>
      </c>
      <c r="AA20" s="106">
        <f t="shared" ref="AA20:AF20" si="114">RANDBETWEEN(0,2)</f>
        <v>2</v>
      </c>
      <c r="AB20" s="106">
        <f t="shared" si="114"/>
        <v>1</v>
      </c>
      <c r="AC20" s="107">
        <f t="shared" si="114"/>
        <v>2</v>
      </c>
      <c r="AD20" s="108">
        <f t="shared" si="114"/>
        <v>0</v>
      </c>
      <c r="AE20" s="108">
        <f t="shared" si="114"/>
        <v>2</v>
      </c>
      <c r="AF20" s="108">
        <f t="shared" si="114"/>
        <v>2</v>
      </c>
      <c r="AG20" s="86">
        <f t="shared" si="17"/>
        <v>6</v>
      </c>
      <c r="AH20" s="107">
        <f t="shared" ref="AH20:AJ20" si="115">RANDBETWEEN(1,10)</f>
        <v>4</v>
      </c>
      <c r="AI20" s="108">
        <f t="shared" si="115"/>
        <v>3</v>
      </c>
      <c r="AJ20" s="108">
        <f t="shared" si="115"/>
        <v>2</v>
      </c>
      <c r="AK20" s="192">
        <f t="shared" si="19"/>
        <v>9</v>
      </c>
      <c r="AL20" s="107"/>
      <c r="AM20" s="108"/>
      <c r="AN20" s="108"/>
      <c r="AO20" s="108"/>
      <c r="AP20" s="89"/>
      <c r="AQ20" s="107"/>
      <c r="AR20" s="108"/>
      <c r="AS20" s="108"/>
      <c r="AT20" s="193"/>
      <c r="AU20" s="107"/>
      <c r="AV20" s="108"/>
      <c r="AW20" s="108"/>
      <c r="AX20" s="194"/>
      <c r="AY20" s="92">
        <f t="shared" ref="AY20:AZ20" si="116">RANDBETWEEN(1,10)/10</f>
        <v>0.2</v>
      </c>
      <c r="AZ20" s="92">
        <f t="shared" si="116"/>
        <v>0.5</v>
      </c>
      <c r="BA20" s="93">
        <v>0.0</v>
      </c>
      <c r="BB20" s="93">
        <v>0.0</v>
      </c>
      <c r="BC20" s="94">
        <v>1200.0</v>
      </c>
      <c r="BD20" s="94">
        <v>1200.0</v>
      </c>
      <c r="BE20" s="108"/>
      <c r="BF20" s="108"/>
    </row>
    <row r="21" ht="15.75" customHeight="1">
      <c r="A21" s="67">
        <f t="shared" si="7"/>
        <v>46254</v>
      </c>
      <c r="B21" s="138" t="s">
        <v>41</v>
      </c>
      <c r="C21" s="157">
        <f t="shared" si="8"/>
        <v>4</v>
      </c>
      <c r="D21" s="97">
        <f t="shared" ref="D21:L21" si="117">RANDBETWEEN(0,2)</f>
        <v>2</v>
      </c>
      <c r="E21" s="97">
        <f t="shared" si="117"/>
        <v>0</v>
      </c>
      <c r="F21" s="97">
        <f t="shared" si="117"/>
        <v>2</v>
      </c>
      <c r="G21" s="97">
        <f t="shared" si="117"/>
        <v>1</v>
      </c>
      <c r="H21" s="98">
        <f t="shared" si="117"/>
        <v>2</v>
      </c>
      <c r="I21" s="99">
        <f t="shared" si="117"/>
        <v>0</v>
      </c>
      <c r="J21" s="100">
        <f t="shared" si="117"/>
        <v>1</v>
      </c>
      <c r="K21" s="101">
        <f t="shared" si="117"/>
        <v>0</v>
      </c>
      <c r="L21" s="101">
        <f t="shared" si="117"/>
        <v>1</v>
      </c>
      <c r="M21" s="140">
        <f t="shared" si="10"/>
        <v>29</v>
      </c>
      <c r="N21" s="97">
        <f t="shared" ref="N21:T21" si="118">RANDBETWEEN(0,10)</f>
        <v>1</v>
      </c>
      <c r="O21" s="97">
        <f t="shared" si="118"/>
        <v>8</v>
      </c>
      <c r="P21" s="97">
        <f t="shared" si="118"/>
        <v>0</v>
      </c>
      <c r="Q21" s="97">
        <f t="shared" si="118"/>
        <v>4</v>
      </c>
      <c r="R21" s="97">
        <f t="shared" si="118"/>
        <v>4</v>
      </c>
      <c r="S21" s="97">
        <f t="shared" si="118"/>
        <v>3</v>
      </c>
      <c r="T21" s="97">
        <f t="shared" si="118"/>
        <v>9</v>
      </c>
      <c r="U21" s="103">
        <f t="shared" si="94"/>
        <v>15</v>
      </c>
      <c r="V21" s="158">
        <f t="shared" si="47"/>
        <v>4</v>
      </c>
      <c r="W21" s="97">
        <f t="shared" ref="W21:Y21" si="119">RANDBETWEEN(0,2)</f>
        <v>2</v>
      </c>
      <c r="X21" s="97">
        <f t="shared" si="119"/>
        <v>1</v>
      </c>
      <c r="Y21" s="97">
        <f t="shared" si="119"/>
        <v>1</v>
      </c>
      <c r="Z21" s="105">
        <f t="shared" si="56"/>
        <v>2</v>
      </c>
      <c r="AA21" s="143">
        <f t="shared" ref="AA21:AF21" si="120">RANDBETWEEN(0,2)</f>
        <v>2</v>
      </c>
      <c r="AB21" s="143">
        <f t="shared" si="120"/>
        <v>0</v>
      </c>
      <c r="AC21" s="144">
        <f t="shared" si="120"/>
        <v>2</v>
      </c>
      <c r="AD21" s="145">
        <f t="shared" si="120"/>
        <v>0</v>
      </c>
      <c r="AE21" s="145">
        <f t="shared" si="120"/>
        <v>2</v>
      </c>
      <c r="AF21" s="145">
        <f t="shared" si="120"/>
        <v>0</v>
      </c>
      <c r="AG21" s="86">
        <f t="shared" si="17"/>
        <v>4</v>
      </c>
      <c r="AH21" s="144">
        <f t="shared" ref="AH21:AJ21" si="121">RANDBETWEEN(1,10)</f>
        <v>6</v>
      </c>
      <c r="AI21" s="145">
        <f t="shared" si="121"/>
        <v>5</v>
      </c>
      <c r="AJ21" s="145">
        <f t="shared" si="121"/>
        <v>2</v>
      </c>
      <c r="AK21" s="192">
        <f t="shared" si="19"/>
        <v>13</v>
      </c>
      <c r="AL21" s="144"/>
      <c r="AM21" s="145"/>
      <c r="AN21" s="145"/>
      <c r="AO21" s="145"/>
      <c r="AP21" s="89"/>
      <c r="AQ21" s="144"/>
      <c r="AR21" s="145"/>
      <c r="AS21" s="145"/>
      <c r="AT21" s="193"/>
      <c r="AU21" s="144"/>
      <c r="AV21" s="145"/>
      <c r="AW21" s="145"/>
      <c r="AX21" s="194"/>
      <c r="AY21" s="92">
        <f t="shared" ref="AY21:AZ21" si="122">RANDBETWEEN(1,10)/10</f>
        <v>0.8</v>
      </c>
      <c r="AZ21" s="92">
        <f t="shared" si="122"/>
        <v>0.9</v>
      </c>
      <c r="BA21" s="93">
        <v>0.0</v>
      </c>
      <c r="BB21" s="93">
        <v>0.0</v>
      </c>
      <c r="BC21" s="94">
        <v>1200.0</v>
      </c>
      <c r="BD21" s="94">
        <v>1200.0</v>
      </c>
      <c r="BE21" s="108"/>
      <c r="BF21" s="108"/>
    </row>
    <row r="22" ht="15.75" customHeight="1">
      <c r="A22" s="67">
        <f t="shared" si="7"/>
        <v>46254</v>
      </c>
      <c r="B22" s="114" t="s">
        <v>45</v>
      </c>
      <c r="C22" s="164">
        <f t="shared" si="8"/>
        <v>20</v>
      </c>
      <c r="D22" s="164">
        <f t="shared" ref="D22:U22" si="123">SUM(D16:D21)</f>
        <v>9</v>
      </c>
      <c r="E22" s="165">
        <f t="shared" si="123"/>
        <v>3</v>
      </c>
      <c r="F22" s="165">
        <f t="shared" si="123"/>
        <v>11</v>
      </c>
      <c r="G22" s="165">
        <f t="shared" si="123"/>
        <v>9</v>
      </c>
      <c r="H22" s="165">
        <f t="shared" si="123"/>
        <v>5</v>
      </c>
      <c r="I22" s="165">
        <f t="shared" si="123"/>
        <v>3</v>
      </c>
      <c r="J22" s="165">
        <f t="shared" si="123"/>
        <v>5</v>
      </c>
      <c r="K22" s="165">
        <f t="shared" si="123"/>
        <v>6</v>
      </c>
      <c r="L22" s="165">
        <f t="shared" si="123"/>
        <v>6</v>
      </c>
      <c r="M22" s="164">
        <f t="shared" si="123"/>
        <v>218</v>
      </c>
      <c r="N22" s="164">
        <f t="shared" si="123"/>
        <v>39</v>
      </c>
      <c r="O22" s="165">
        <f t="shared" si="123"/>
        <v>31</v>
      </c>
      <c r="P22" s="165">
        <f t="shared" si="123"/>
        <v>24</v>
      </c>
      <c r="Q22" s="165">
        <f t="shared" si="123"/>
        <v>24</v>
      </c>
      <c r="R22" s="165">
        <f t="shared" si="123"/>
        <v>32</v>
      </c>
      <c r="S22" s="165">
        <f t="shared" si="123"/>
        <v>37</v>
      </c>
      <c r="T22" s="165">
        <f t="shared" si="123"/>
        <v>31</v>
      </c>
      <c r="U22" s="164">
        <f t="shared" si="123"/>
        <v>140</v>
      </c>
      <c r="V22" s="164">
        <f t="shared" si="47"/>
        <v>22</v>
      </c>
      <c r="W22" s="165">
        <f t="shared" ref="W22:Y22" si="124">SUM(W16:W21)</f>
        <v>10</v>
      </c>
      <c r="X22" s="165">
        <f t="shared" si="124"/>
        <v>6</v>
      </c>
      <c r="Y22" s="165">
        <f t="shared" si="124"/>
        <v>6</v>
      </c>
      <c r="Z22" s="165">
        <f t="shared" si="56"/>
        <v>7</v>
      </c>
      <c r="AA22" s="165">
        <f t="shared" ref="AA22:AF22" si="125">SUM(AA16:AA21)</f>
        <v>5</v>
      </c>
      <c r="AB22" s="165">
        <f t="shared" si="125"/>
        <v>2</v>
      </c>
      <c r="AC22" s="166">
        <f t="shared" si="125"/>
        <v>7</v>
      </c>
      <c r="AD22" s="166">
        <f t="shared" si="125"/>
        <v>4</v>
      </c>
      <c r="AE22" s="166">
        <f t="shared" si="125"/>
        <v>9</v>
      </c>
      <c r="AF22" s="166">
        <f t="shared" si="125"/>
        <v>3</v>
      </c>
      <c r="AG22" s="168">
        <f t="shared" si="17"/>
        <v>23</v>
      </c>
      <c r="AH22" s="166">
        <f t="shared" ref="AH22:AJ22" si="126">SUM(AH16:AH21)</f>
        <v>35</v>
      </c>
      <c r="AI22" s="167">
        <f t="shared" si="126"/>
        <v>25</v>
      </c>
      <c r="AJ22" s="167">
        <f t="shared" si="126"/>
        <v>32</v>
      </c>
      <c r="AK22" s="168">
        <f t="shared" si="19"/>
        <v>92</v>
      </c>
      <c r="AL22" s="166"/>
      <c r="AM22" s="166"/>
      <c r="AN22" s="166"/>
      <c r="AO22" s="166"/>
      <c r="AP22" s="169"/>
      <c r="AQ22" s="166"/>
      <c r="AR22" s="167"/>
      <c r="AS22" s="167"/>
      <c r="AT22" s="170"/>
      <c r="AU22" s="166"/>
      <c r="AV22" s="167"/>
      <c r="AW22" s="167"/>
      <c r="AX22" s="171"/>
      <c r="AY22" s="196">
        <f t="shared" ref="AY22:BD22" si="127">SUM(AY16:AY21)</f>
        <v>3</v>
      </c>
      <c r="AZ22" s="196">
        <f t="shared" si="127"/>
        <v>4</v>
      </c>
      <c r="BA22" s="167">
        <f t="shared" si="127"/>
        <v>0</v>
      </c>
      <c r="BB22" s="167">
        <f t="shared" si="127"/>
        <v>0</v>
      </c>
      <c r="BC22" s="197">
        <f t="shared" si="127"/>
        <v>7200</v>
      </c>
      <c r="BD22" s="197">
        <f t="shared" si="127"/>
        <v>7200</v>
      </c>
      <c r="BE22" s="154" t="str">
        <f t="shared" ref="BE22:BF22" si="128">TEXTJOIN(", ",TRUE,BE16:BE21)</f>
        <v/>
      </c>
      <c r="BF22" s="154" t="str">
        <f t="shared" si="128"/>
        <v/>
      </c>
    </row>
    <row r="23" ht="15.75" customHeight="1">
      <c r="A23" s="67">
        <f t="shared" si="7"/>
        <v>46254</v>
      </c>
      <c r="B23" s="124" t="s">
        <v>49</v>
      </c>
      <c r="C23" s="174">
        <f t="shared" si="8"/>
        <v>2</v>
      </c>
      <c r="D23" s="175">
        <f t="shared" ref="D23:L23" si="129">RANDBETWEEN(0,2)</f>
        <v>0</v>
      </c>
      <c r="E23" s="175">
        <f t="shared" si="129"/>
        <v>0</v>
      </c>
      <c r="F23" s="175">
        <f t="shared" si="129"/>
        <v>2</v>
      </c>
      <c r="G23" s="175">
        <f t="shared" si="129"/>
        <v>1</v>
      </c>
      <c r="H23" s="176">
        <f t="shared" si="129"/>
        <v>2</v>
      </c>
      <c r="I23" s="177">
        <f t="shared" si="129"/>
        <v>2</v>
      </c>
      <c r="J23" s="178">
        <f t="shared" si="129"/>
        <v>0</v>
      </c>
      <c r="K23" s="179">
        <f t="shared" si="129"/>
        <v>1</v>
      </c>
      <c r="L23" s="179">
        <f t="shared" si="129"/>
        <v>2</v>
      </c>
      <c r="M23" s="180">
        <f t="shared" ref="M23:M28" si="136">SUM(N23:T23)</f>
        <v>36</v>
      </c>
      <c r="N23" s="175">
        <f t="shared" ref="N23:T23" si="130">RANDBETWEEN(0,10)</f>
        <v>0</v>
      </c>
      <c r="O23" s="175">
        <f t="shared" si="130"/>
        <v>10</v>
      </c>
      <c r="P23" s="175">
        <f t="shared" si="130"/>
        <v>6</v>
      </c>
      <c r="Q23" s="175">
        <f t="shared" si="130"/>
        <v>8</v>
      </c>
      <c r="R23" s="175">
        <f t="shared" si="130"/>
        <v>0</v>
      </c>
      <c r="S23" s="175">
        <f t="shared" si="130"/>
        <v>9</v>
      </c>
      <c r="T23" s="175">
        <f t="shared" si="130"/>
        <v>3</v>
      </c>
      <c r="U23" s="181">
        <f t="shared" ref="U23:U27" si="138">RANDBETWEEN(10,30)</f>
        <v>14</v>
      </c>
      <c r="V23" s="182">
        <f t="shared" si="47"/>
        <v>2</v>
      </c>
      <c r="W23" s="175">
        <f t="shared" ref="W23:Y23" si="131">RANDBETWEEN(0,2)</f>
        <v>0</v>
      </c>
      <c r="X23" s="175">
        <f t="shared" si="131"/>
        <v>2</v>
      </c>
      <c r="Y23" s="175">
        <f t="shared" si="131"/>
        <v>0</v>
      </c>
      <c r="Z23" s="183">
        <f t="shared" si="56"/>
        <v>1</v>
      </c>
      <c r="AA23" s="198">
        <f t="shared" ref="AA23:AF23" si="132">RANDBETWEEN(0,2)</f>
        <v>1</v>
      </c>
      <c r="AB23" s="198">
        <f t="shared" si="132"/>
        <v>0</v>
      </c>
      <c r="AC23" s="199">
        <f t="shared" si="132"/>
        <v>1</v>
      </c>
      <c r="AD23" s="200">
        <f t="shared" si="132"/>
        <v>2</v>
      </c>
      <c r="AE23" s="200">
        <f t="shared" si="132"/>
        <v>2</v>
      </c>
      <c r="AF23" s="200">
        <f t="shared" si="132"/>
        <v>1</v>
      </c>
      <c r="AG23" s="187">
        <f t="shared" si="17"/>
        <v>6</v>
      </c>
      <c r="AH23" s="199">
        <f t="shared" ref="AH23:AJ23" si="133">RANDBETWEEN(1,10)</f>
        <v>10</v>
      </c>
      <c r="AI23" s="200">
        <f t="shared" si="133"/>
        <v>7</v>
      </c>
      <c r="AJ23" s="200">
        <f t="shared" si="133"/>
        <v>5</v>
      </c>
      <c r="AK23" s="188">
        <f t="shared" si="19"/>
        <v>22</v>
      </c>
      <c r="AL23" s="199"/>
      <c r="AM23" s="200"/>
      <c r="AN23" s="200"/>
      <c r="AO23" s="200"/>
      <c r="AP23" s="189"/>
      <c r="AQ23" s="199"/>
      <c r="AR23" s="200"/>
      <c r="AS23" s="200"/>
      <c r="AT23" s="190"/>
      <c r="AU23" s="199"/>
      <c r="AV23" s="200"/>
      <c r="AW23" s="200"/>
      <c r="AX23" s="191"/>
      <c r="AY23" s="92">
        <f t="shared" ref="AY23:AZ23" si="134">RANDBETWEEN(1,10)/10</f>
        <v>0.4</v>
      </c>
      <c r="AZ23" s="92">
        <f t="shared" si="134"/>
        <v>0.4</v>
      </c>
      <c r="BA23" s="93">
        <v>0.0</v>
      </c>
      <c r="BB23" s="93">
        <v>0.0</v>
      </c>
      <c r="BC23" s="94">
        <v>1200.0</v>
      </c>
      <c r="BD23" s="94">
        <v>1200.0</v>
      </c>
      <c r="BE23" s="186"/>
      <c r="BF23" s="186"/>
    </row>
    <row r="24" ht="15.75" customHeight="1">
      <c r="A24" s="67">
        <f t="shared" si="7"/>
        <v>46254</v>
      </c>
      <c r="B24" s="195" t="s">
        <v>53</v>
      </c>
      <c r="C24" s="157">
        <f t="shared" si="8"/>
        <v>2</v>
      </c>
      <c r="D24" s="97">
        <f t="shared" ref="D24:L24" si="135">RANDBETWEEN(0,2)</f>
        <v>2</v>
      </c>
      <c r="E24" s="97">
        <f t="shared" si="135"/>
        <v>2</v>
      </c>
      <c r="F24" s="97">
        <f t="shared" si="135"/>
        <v>0</v>
      </c>
      <c r="G24" s="97">
        <f t="shared" si="135"/>
        <v>0</v>
      </c>
      <c r="H24" s="98">
        <f t="shared" si="135"/>
        <v>1</v>
      </c>
      <c r="I24" s="99">
        <f t="shared" si="135"/>
        <v>0</v>
      </c>
      <c r="J24" s="100">
        <f t="shared" si="135"/>
        <v>2</v>
      </c>
      <c r="K24" s="101">
        <f t="shared" si="135"/>
        <v>2</v>
      </c>
      <c r="L24" s="101">
        <f t="shared" si="135"/>
        <v>0</v>
      </c>
      <c r="M24" s="140">
        <f t="shared" si="136"/>
        <v>34</v>
      </c>
      <c r="N24" s="97">
        <f t="shared" ref="N24:T24" si="137">RANDBETWEEN(0,10)</f>
        <v>9</v>
      </c>
      <c r="O24" s="97">
        <f t="shared" si="137"/>
        <v>5</v>
      </c>
      <c r="P24" s="97">
        <f t="shared" si="137"/>
        <v>6</v>
      </c>
      <c r="Q24" s="97">
        <f t="shared" si="137"/>
        <v>2</v>
      </c>
      <c r="R24" s="97">
        <f t="shared" si="137"/>
        <v>1</v>
      </c>
      <c r="S24" s="97">
        <f t="shared" si="137"/>
        <v>1</v>
      </c>
      <c r="T24" s="97">
        <f t="shared" si="137"/>
        <v>10</v>
      </c>
      <c r="U24" s="103">
        <f t="shared" si="138"/>
        <v>23</v>
      </c>
      <c r="V24" s="158">
        <f t="shared" si="47"/>
        <v>4</v>
      </c>
      <c r="W24" s="97">
        <f t="shared" ref="W24:Y24" si="139">RANDBETWEEN(0,2)</f>
        <v>1</v>
      </c>
      <c r="X24" s="97">
        <f t="shared" si="139"/>
        <v>2</v>
      </c>
      <c r="Y24" s="97">
        <f t="shared" si="139"/>
        <v>1</v>
      </c>
      <c r="Z24" s="105">
        <f t="shared" si="56"/>
        <v>3</v>
      </c>
      <c r="AA24" s="106">
        <f t="shared" ref="AA24:AF24" si="140">RANDBETWEEN(0,2)</f>
        <v>2</v>
      </c>
      <c r="AB24" s="106">
        <f t="shared" si="140"/>
        <v>1</v>
      </c>
      <c r="AC24" s="107">
        <f t="shared" si="140"/>
        <v>1</v>
      </c>
      <c r="AD24" s="108">
        <f t="shared" si="140"/>
        <v>2</v>
      </c>
      <c r="AE24" s="108">
        <f t="shared" si="140"/>
        <v>0</v>
      </c>
      <c r="AF24" s="108">
        <f t="shared" si="140"/>
        <v>0</v>
      </c>
      <c r="AG24" s="86">
        <f t="shared" si="17"/>
        <v>3</v>
      </c>
      <c r="AH24" s="107">
        <f t="shared" ref="AH24:AJ24" si="141">RANDBETWEEN(1,10)</f>
        <v>4</v>
      </c>
      <c r="AI24" s="108">
        <f t="shared" si="141"/>
        <v>9</v>
      </c>
      <c r="AJ24" s="108">
        <f t="shared" si="141"/>
        <v>3</v>
      </c>
      <c r="AK24" s="192">
        <f t="shared" si="19"/>
        <v>16</v>
      </c>
      <c r="AL24" s="107"/>
      <c r="AM24" s="108"/>
      <c r="AN24" s="108"/>
      <c r="AO24" s="108"/>
      <c r="AP24" s="89"/>
      <c r="AQ24" s="107"/>
      <c r="AR24" s="108"/>
      <c r="AS24" s="108"/>
      <c r="AT24" s="193"/>
      <c r="AU24" s="107"/>
      <c r="AV24" s="108"/>
      <c r="AW24" s="108"/>
      <c r="AX24" s="194"/>
      <c r="AY24" s="92">
        <f t="shared" ref="AY24:AZ24" si="142">RANDBETWEEN(1,10)/10</f>
        <v>0.3</v>
      </c>
      <c r="AZ24" s="92">
        <f t="shared" si="142"/>
        <v>0.7</v>
      </c>
      <c r="BA24" s="93">
        <v>0.0</v>
      </c>
      <c r="BB24" s="93">
        <v>0.0</v>
      </c>
      <c r="BC24" s="94">
        <v>1200.0</v>
      </c>
      <c r="BD24" s="94">
        <v>1200.0</v>
      </c>
      <c r="BE24" s="108"/>
      <c r="BF24" s="108"/>
    </row>
    <row r="25" ht="15.75" customHeight="1">
      <c r="A25" s="67">
        <f t="shared" si="7"/>
        <v>46254</v>
      </c>
      <c r="B25" s="138" t="s">
        <v>57</v>
      </c>
      <c r="C25" s="157">
        <f t="shared" si="8"/>
        <v>0</v>
      </c>
      <c r="D25" s="97">
        <f t="shared" ref="D25:L25" si="143">RANDBETWEEN(0,2)</f>
        <v>0</v>
      </c>
      <c r="E25" s="97">
        <f t="shared" si="143"/>
        <v>2</v>
      </c>
      <c r="F25" s="97">
        <f t="shared" si="143"/>
        <v>0</v>
      </c>
      <c r="G25" s="97">
        <f t="shared" si="143"/>
        <v>0</v>
      </c>
      <c r="H25" s="98">
        <f t="shared" si="143"/>
        <v>2</v>
      </c>
      <c r="I25" s="99">
        <f t="shared" si="143"/>
        <v>1</v>
      </c>
      <c r="J25" s="100">
        <f t="shared" si="143"/>
        <v>0</v>
      </c>
      <c r="K25" s="101">
        <f t="shared" si="143"/>
        <v>1</v>
      </c>
      <c r="L25" s="101">
        <f t="shared" si="143"/>
        <v>1</v>
      </c>
      <c r="M25" s="140">
        <f t="shared" si="136"/>
        <v>40</v>
      </c>
      <c r="N25" s="97">
        <f t="shared" ref="N25:T25" si="144">RANDBETWEEN(0,10)</f>
        <v>8</v>
      </c>
      <c r="O25" s="97">
        <f t="shared" si="144"/>
        <v>6</v>
      </c>
      <c r="P25" s="97">
        <f t="shared" si="144"/>
        <v>2</v>
      </c>
      <c r="Q25" s="97">
        <f t="shared" si="144"/>
        <v>3</v>
      </c>
      <c r="R25" s="97">
        <f t="shared" si="144"/>
        <v>7</v>
      </c>
      <c r="S25" s="97">
        <f t="shared" si="144"/>
        <v>9</v>
      </c>
      <c r="T25" s="97">
        <f t="shared" si="144"/>
        <v>5</v>
      </c>
      <c r="U25" s="103">
        <f t="shared" si="138"/>
        <v>20</v>
      </c>
      <c r="V25" s="158">
        <f t="shared" si="47"/>
        <v>2</v>
      </c>
      <c r="W25" s="97">
        <f t="shared" ref="W25:Y25" si="145">RANDBETWEEN(0,2)</f>
        <v>1</v>
      </c>
      <c r="X25" s="97">
        <f t="shared" si="145"/>
        <v>1</v>
      </c>
      <c r="Y25" s="97">
        <f t="shared" si="145"/>
        <v>0</v>
      </c>
      <c r="Z25" s="105">
        <f t="shared" si="56"/>
        <v>2</v>
      </c>
      <c r="AA25" s="143">
        <f t="shared" ref="AA25:AF25" si="146">RANDBETWEEN(0,2)</f>
        <v>1</v>
      </c>
      <c r="AB25" s="143">
        <f t="shared" si="146"/>
        <v>1</v>
      </c>
      <c r="AC25" s="144">
        <f t="shared" si="146"/>
        <v>0</v>
      </c>
      <c r="AD25" s="145">
        <f t="shared" si="146"/>
        <v>1</v>
      </c>
      <c r="AE25" s="145">
        <f t="shared" si="146"/>
        <v>1</v>
      </c>
      <c r="AF25" s="145">
        <f t="shared" si="146"/>
        <v>0</v>
      </c>
      <c r="AG25" s="86">
        <f t="shared" si="17"/>
        <v>2</v>
      </c>
      <c r="AH25" s="144">
        <f t="shared" ref="AH25:AJ25" si="147">RANDBETWEEN(1,10)</f>
        <v>4</v>
      </c>
      <c r="AI25" s="145">
        <f t="shared" si="147"/>
        <v>10</v>
      </c>
      <c r="AJ25" s="145">
        <f t="shared" si="147"/>
        <v>1</v>
      </c>
      <c r="AK25" s="192">
        <f t="shared" si="19"/>
        <v>15</v>
      </c>
      <c r="AL25" s="144"/>
      <c r="AM25" s="145"/>
      <c r="AN25" s="145"/>
      <c r="AO25" s="145"/>
      <c r="AP25" s="89"/>
      <c r="AQ25" s="144"/>
      <c r="AR25" s="145"/>
      <c r="AS25" s="145"/>
      <c r="AT25" s="193"/>
      <c r="AU25" s="144"/>
      <c r="AV25" s="145"/>
      <c r="AW25" s="145"/>
      <c r="AX25" s="194"/>
      <c r="AY25" s="92">
        <f t="shared" ref="AY25:AZ25" si="148">RANDBETWEEN(1,10)/10</f>
        <v>0.3</v>
      </c>
      <c r="AZ25" s="92">
        <f t="shared" si="148"/>
        <v>0.2</v>
      </c>
      <c r="BA25" s="93">
        <v>0.0</v>
      </c>
      <c r="BB25" s="93">
        <v>0.0</v>
      </c>
      <c r="BC25" s="94">
        <v>1200.0</v>
      </c>
      <c r="BD25" s="94">
        <v>1200.0</v>
      </c>
      <c r="BE25" s="108"/>
      <c r="BF25" s="108"/>
    </row>
    <row r="26" ht="15.75" customHeight="1">
      <c r="A26" s="67">
        <f t="shared" si="7"/>
        <v>46254</v>
      </c>
      <c r="B26" s="138" t="s">
        <v>60</v>
      </c>
      <c r="C26" s="157">
        <f t="shared" si="8"/>
        <v>1</v>
      </c>
      <c r="D26" s="97">
        <f t="shared" ref="D26:L26" si="149">RANDBETWEEN(0,2)</f>
        <v>1</v>
      </c>
      <c r="E26" s="97">
        <f t="shared" si="149"/>
        <v>0</v>
      </c>
      <c r="F26" s="97">
        <f t="shared" si="149"/>
        <v>0</v>
      </c>
      <c r="G26" s="97">
        <f t="shared" si="149"/>
        <v>0</v>
      </c>
      <c r="H26" s="98">
        <f t="shared" si="149"/>
        <v>2</v>
      </c>
      <c r="I26" s="99">
        <f t="shared" si="149"/>
        <v>1</v>
      </c>
      <c r="J26" s="100">
        <f t="shared" si="149"/>
        <v>2</v>
      </c>
      <c r="K26" s="101">
        <f t="shared" si="149"/>
        <v>2</v>
      </c>
      <c r="L26" s="101">
        <f t="shared" si="149"/>
        <v>1</v>
      </c>
      <c r="M26" s="140">
        <f t="shared" si="136"/>
        <v>49</v>
      </c>
      <c r="N26" s="97">
        <f t="shared" ref="N26:T26" si="150">RANDBETWEEN(0,10)</f>
        <v>7</v>
      </c>
      <c r="O26" s="97">
        <f t="shared" si="150"/>
        <v>8</v>
      </c>
      <c r="P26" s="97">
        <f t="shared" si="150"/>
        <v>9</v>
      </c>
      <c r="Q26" s="97">
        <f t="shared" si="150"/>
        <v>10</v>
      </c>
      <c r="R26" s="97">
        <f t="shared" si="150"/>
        <v>2</v>
      </c>
      <c r="S26" s="97">
        <f t="shared" si="150"/>
        <v>8</v>
      </c>
      <c r="T26" s="97">
        <f t="shared" si="150"/>
        <v>5</v>
      </c>
      <c r="U26" s="103">
        <f t="shared" si="138"/>
        <v>10</v>
      </c>
      <c r="V26" s="158">
        <f t="shared" si="47"/>
        <v>3</v>
      </c>
      <c r="W26" s="97">
        <f t="shared" ref="W26:Y26" si="151">RANDBETWEEN(0,2)</f>
        <v>1</v>
      </c>
      <c r="X26" s="97">
        <f t="shared" si="151"/>
        <v>2</v>
      </c>
      <c r="Y26" s="97">
        <f t="shared" si="151"/>
        <v>0</v>
      </c>
      <c r="Z26" s="105">
        <f t="shared" si="56"/>
        <v>4</v>
      </c>
      <c r="AA26" s="106">
        <f t="shared" ref="AA26:AF26" si="152">RANDBETWEEN(0,2)</f>
        <v>2</v>
      </c>
      <c r="AB26" s="106">
        <f t="shared" si="152"/>
        <v>2</v>
      </c>
      <c r="AC26" s="107">
        <f t="shared" si="152"/>
        <v>1</v>
      </c>
      <c r="AD26" s="108">
        <f t="shared" si="152"/>
        <v>0</v>
      </c>
      <c r="AE26" s="108">
        <f t="shared" si="152"/>
        <v>1</v>
      </c>
      <c r="AF26" s="108">
        <f t="shared" si="152"/>
        <v>0</v>
      </c>
      <c r="AG26" s="86">
        <f t="shared" si="17"/>
        <v>2</v>
      </c>
      <c r="AH26" s="107">
        <f t="shared" ref="AH26:AJ26" si="153">RANDBETWEEN(1,10)</f>
        <v>9</v>
      </c>
      <c r="AI26" s="108">
        <f t="shared" si="153"/>
        <v>4</v>
      </c>
      <c r="AJ26" s="108">
        <f t="shared" si="153"/>
        <v>9</v>
      </c>
      <c r="AK26" s="192">
        <f t="shared" si="19"/>
        <v>22</v>
      </c>
      <c r="AL26" s="107"/>
      <c r="AM26" s="108"/>
      <c r="AN26" s="108"/>
      <c r="AO26" s="108"/>
      <c r="AP26" s="89"/>
      <c r="AQ26" s="107"/>
      <c r="AR26" s="108"/>
      <c r="AS26" s="108"/>
      <c r="AT26" s="193"/>
      <c r="AU26" s="107"/>
      <c r="AV26" s="108"/>
      <c r="AW26" s="108"/>
      <c r="AX26" s="194"/>
      <c r="AY26" s="92">
        <f t="shared" ref="AY26:AZ26" si="154">RANDBETWEEN(1,10)/10</f>
        <v>0.3</v>
      </c>
      <c r="AZ26" s="92">
        <f t="shared" si="154"/>
        <v>0.1</v>
      </c>
      <c r="BA26" s="93">
        <v>0.0</v>
      </c>
      <c r="BB26" s="93">
        <v>0.0</v>
      </c>
      <c r="BC26" s="94">
        <v>1200.0</v>
      </c>
      <c r="BD26" s="94">
        <v>1200.0</v>
      </c>
      <c r="BE26" s="108"/>
      <c r="BF26" s="108"/>
    </row>
    <row r="27" ht="15.75" customHeight="1">
      <c r="A27" s="67">
        <f t="shared" si="7"/>
        <v>46254</v>
      </c>
      <c r="B27" s="195" t="s">
        <v>64</v>
      </c>
      <c r="C27" s="157">
        <f t="shared" si="8"/>
        <v>1</v>
      </c>
      <c r="D27" s="97">
        <f t="shared" ref="D27:L27" si="155">RANDBETWEEN(0,2)</f>
        <v>1</v>
      </c>
      <c r="E27" s="97">
        <f t="shared" si="155"/>
        <v>2</v>
      </c>
      <c r="F27" s="97">
        <f t="shared" si="155"/>
        <v>0</v>
      </c>
      <c r="G27" s="97">
        <f t="shared" si="155"/>
        <v>1</v>
      </c>
      <c r="H27" s="98">
        <f t="shared" si="155"/>
        <v>0</v>
      </c>
      <c r="I27" s="99">
        <f t="shared" si="155"/>
        <v>2</v>
      </c>
      <c r="J27" s="100">
        <f t="shared" si="155"/>
        <v>2</v>
      </c>
      <c r="K27" s="101">
        <f t="shared" si="155"/>
        <v>1</v>
      </c>
      <c r="L27" s="101">
        <f t="shared" si="155"/>
        <v>2</v>
      </c>
      <c r="M27" s="140">
        <f t="shared" si="136"/>
        <v>29</v>
      </c>
      <c r="N27" s="97">
        <f t="shared" ref="N27:T27" si="156">RANDBETWEEN(0,10)</f>
        <v>0</v>
      </c>
      <c r="O27" s="97">
        <f t="shared" si="156"/>
        <v>8</v>
      </c>
      <c r="P27" s="97">
        <f t="shared" si="156"/>
        <v>0</v>
      </c>
      <c r="Q27" s="97">
        <f t="shared" si="156"/>
        <v>4</v>
      </c>
      <c r="R27" s="97">
        <f t="shared" si="156"/>
        <v>4</v>
      </c>
      <c r="S27" s="97">
        <f t="shared" si="156"/>
        <v>9</v>
      </c>
      <c r="T27" s="97">
        <f t="shared" si="156"/>
        <v>4</v>
      </c>
      <c r="U27" s="103">
        <f t="shared" si="138"/>
        <v>14</v>
      </c>
      <c r="V27" s="158">
        <f t="shared" si="47"/>
        <v>2</v>
      </c>
      <c r="W27" s="97">
        <f t="shared" ref="W27:Y27" si="157">RANDBETWEEN(0,2)</f>
        <v>1</v>
      </c>
      <c r="X27" s="97">
        <f t="shared" si="157"/>
        <v>1</v>
      </c>
      <c r="Y27" s="97">
        <f t="shared" si="157"/>
        <v>0</v>
      </c>
      <c r="Z27" s="105">
        <f t="shared" si="56"/>
        <v>1</v>
      </c>
      <c r="AA27" s="143">
        <f t="shared" ref="AA27:AF27" si="158">RANDBETWEEN(0,2)</f>
        <v>1</v>
      </c>
      <c r="AB27" s="143">
        <f t="shared" si="158"/>
        <v>0</v>
      </c>
      <c r="AC27" s="144">
        <f t="shared" si="158"/>
        <v>0</v>
      </c>
      <c r="AD27" s="145">
        <f t="shared" si="158"/>
        <v>1</v>
      </c>
      <c r="AE27" s="145">
        <f t="shared" si="158"/>
        <v>2</v>
      </c>
      <c r="AF27" s="145">
        <f t="shared" si="158"/>
        <v>1</v>
      </c>
      <c r="AG27" s="86">
        <f t="shared" si="17"/>
        <v>4</v>
      </c>
      <c r="AH27" s="144">
        <f t="shared" ref="AH27:AJ27" si="159">RANDBETWEEN(1,10)</f>
        <v>6</v>
      </c>
      <c r="AI27" s="145">
        <f t="shared" si="159"/>
        <v>10</v>
      </c>
      <c r="AJ27" s="145">
        <f t="shared" si="159"/>
        <v>1</v>
      </c>
      <c r="AK27" s="192">
        <f t="shared" si="19"/>
        <v>17</v>
      </c>
      <c r="AL27" s="144"/>
      <c r="AM27" s="145"/>
      <c r="AN27" s="145"/>
      <c r="AO27" s="145"/>
      <c r="AP27" s="89"/>
      <c r="AQ27" s="144"/>
      <c r="AR27" s="145"/>
      <c r="AS27" s="145"/>
      <c r="AT27" s="193"/>
      <c r="AU27" s="144"/>
      <c r="AV27" s="145"/>
      <c r="AW27" s="145"/>
      <c r="AX27" s="194"/>
      <c r="AY27" s="92">
        <f t="shared" ref="AY27:AZ27" si="160">RANDBETWEEN(1,10)/10</f>
        <v>0.6</v>
      </c>
      <c r="AZ27" s="92">
        <f t="shared" si="160"/>
        <v>0.8</v>
      </c>
      <c r="BA27" s="93">
        <v>0.0</v>
      </c>
      <c r="BB27" s="93">
        <v>0.0</v>
      </c>
      <c r="BC27" s="94">
        <v>1200.0</v>
      </c>
      <c r="BD27" s="94">
        <v>1200.0</v>
      </c>
      <c r="BE27" s="108"/>
      <c r="BF27" s="108"/>
    </row>
    <row r="28" ht="15.75" customHeight="1">
      <c r="A28" s="67">
        <f t="shared" si="7"/>
        <v>46254</v>
      </c>
      <c r="B28" s="201" t="s">
        <v>67</v>
      </c>
      <c r="C28" s="164">
        <f t="shared" si="8"/>
        <v>6</v>
      </c>
      <c r="D28" s="164">
        <f t="shared" ref="D28:L28" si="161">SUM(D23:D27)</f>
        <v>4</v>
      </c>
      <c r="E28" s="165">
        <f t="shared" si="161"/>
        <v>6</v>
      </c>
      <c r="F28" s="165">
        <f t="shared" si="161"/>
        <v>2</v>
      </c>
      <c r="G28" s="165">
        <f t="shared" si="161"/>
        <v>2</v>
      </c>
      <c r="H28" s="165">
        <f t="shared" si="161"/>
        <v>7</v>
      </c>
      <c r="I28" s="165">
        <f t="shared" si="161"/>
        <v>6</v>
      </c>
      <c r="J28" s="165">
        <f t="shared" si="161"/>
        <v>6</v>
      </c>
      <c r="K28" s="165">
        <f t="shared" si="161"/>
        <v>7</v>
      </c>
      <c r="L28" s="165">
        <f t="shared" si="161"/>
        <v>6</v>
      </c>
      <c r="M28" s="164">
        <f t="shared" si="136"/>
        <v>188</v>
      </c>
      <c r="N28" s="164">
        <f t="shared" ref="N28:U28" si="162">SUM(N23:N27)</f>
        <v>24</v>
      </c>
      <c r="O28" s="165">
        <f t="shared" si="162"/>
        <v>37</v>
      </c>
      <c r="P28" s="165">
        <f t="shared" si="162"/>
        <v>23</v>
      </c>
      <c r="Q28" s="165">
        <f t="shared" si="162"/>
        <v>27</v>
      </c>
      <c r="R28" s="165">
        <f t="shared" si="162"/>
        <v>14</v>
      </c>
      <c r="S28" s="165">
        <f t="shared" si="162"/>
        <v>36</v>
      </c>
      <c r="T28" s="165">
        <f t="shared" si="162"/>
        <v>27</v>
      </c>
      <c r="U28" s="164">
        <f t="shared" si="162"/>
        <v>81</v>
      </c>
      <c r="V28" s="164">
        <f t="shared" si="47"/>
        <v>13</v>
      </c>
      <c r="W28" s="165">
        <f t="shared" ref="W28:Y28" si="163">SUM(W23:W27)</f>
        <v>4</v>
      </c>
      <c r="X28" s="165">
        <f t="shared" si="163"/>
        <v>8</v>
      </c>
      <c r="Y28" s="165">
        <f t="shared" si="163"/>
        <v>1</v>
      </c>
      <c r="Z28" s="164">
        <f>SUM(AA28:AB28)</f>
        <v>11</v>
      </c>
      <c r="AA28" s="164">
        <f t="shared" ref="AA28:AF28" si="164">SUM(AA23:AA27)</f>
        <v>7</v>
      </c>
      <c r="AB28" s="165">
        <f t="shared" si="164"/>
        <v>4</v>
      </c>
      <c r="AC28" s="166">
        <f t="shared" si="164"/>
        <v>3</v>
      </c>
      <c r="AD28" s="166">
        <f t="shared" si="164"/>
        <v>6</v>
      </c>
      <c r="AE28" s="166">
        <f t="shared" si="164"/>
        <v>6</v>
      </c>
      <c r="AF28" s="166">
        <f t="shared" si="164"/>
        <v>2</v>
      </c>
      <c r="AG28" s="168">
        <f t="shared" si="17"/>
        <v>17</v>
      </c>
      <c r="AH28" s="166">
        <f t="shared" ref="AH28:AJ28" si="165">SUM(AH23:AH27)</f>
        <v>33</v>
      </c>
      <c r="AI28" s="167">
        <f t="shared" si="165"/>
        <v>40</v>
      </c>
      <c r="AJ28" s="167">
        <f t="shared" si="165"/>
        <v>19</v>
      </c>
      <c r="AK28" s="168">
        <f t="shared" si="19"/>
        <v>92</v>
      </c>
      <c r="AL28" s="166"/>
      <c r="AM28" s="166"/>
      <c r="AN28" s="166"/>
      <c r="AO28" s="166"/>
      <c r="AP28" s="169"/>
      <c r="AQ28" s="166"/>
      <c r="AR28" s="167"/>
      <c r="AS28" s="167"/>
      <c r="AT28" s="170"/>
      <c r="AU28" s="166"/>
      <c r="AV28" s="167"/>
      <c r="AW28" s="167"/>
      <c r="AX28" s="171"/>
      <c r="AY28" s="196">
        <f t="shared" ref="AY28:BD28" si="166">SUM(AY23:AY27)</f>
        <v>1.9</v>
      </c>
      <c r="AZ28" s="196">
        <f t="shared" si="166"/>
        <v>2.2</v>
      </c>
      <c r="BA28" s="167">
        <f t="shared" si="166"/>
        <v>0</v>
      </c>
      <c r="BB28" s="167">
        <f t="shared" si="166"/>
        <v>0</v>
      </c>
      <c r="BC28" s="197">
        <f t="shared" si="166"/>
        <v>6000</v>
      </c>
      <c r="BD28" s="197">
        <f t="shared" si="166"/>
        <v>6000</v>
      </c>
      <c r="BE28" s="154" t="str">
        <f t="shared" ref="BE28:BF28" si="167">TEXTJOIN(", ",TRUE,BE23:BE27)</f>
        <v/>
      </c>
      <c r="BF28" s="154" t="str">
        <f t="shared" si="167"/>
        <v/>
      </c>
    </row>
    <row r="29" ht="15.75" customHeight="1">
      <c r="A29" s="67">
        <f t="shared" si="7"/>
        <v>46254</v>
      </c>
      <c r="B29" s="202" t="s">
        <v>72</v>
      </c>
      <c r="C29" s="203">
        <f t="shared" ref="C29:AK29" si="168">SUM(C3+C4+C5+C9,C8,C15,C22,C28)</f>
        <v>49</v>
      </c>
      <c r="D29" s="203">
        <f t="shared" si="168"/>
        <v>30</v>
      </c>
      <c r="E29" s="203">
        <f t="shared" si="168"/>
        <v>16</v>
      </c>
      <c r="F29" s="203">
        <f t="shared" si="168"/>
        <v>19</v>
      </c>
      <c r="G29" s="203">
        <f t="shared" si="168"/>
        <v>18</v>
      </c>
      <c r="H29" s="203">
        <f t="shared" si="168"/>
        <v>20</v>
      </c>
      <c r="I29" s="203">
        <f t="shared" si="168"/>
        <v>20</v>
      </c>
      <c r="J29" s="203">
        <f t="shared" si="168"/>
        <v>22</v>
      </c>
      <c r="K29" s="203">
        <f t="shared" si="168"/>
        <v>24</v>
      </c>
      <c r="L29" s="203">
        <f t="shared" si="168"/>
        <v>22</v>
      </c>
      <c r="M29" s="203">
        <f t="shared" si="168"/>
        <v>771</v>
      </c>
      <c r="N29" s="203">
        <f t="shared" si="168"/>
        <v>121</v>
      </c>
      <c r="O29" s="203">
        <f t="shared" si="168"/>
        <v>113</v>
      </c>
      <c r="P29" s="203">
        <f t="shared" si="168"/>
        <v>93</v>
      </c>
      <c r="Q29" s="203">
        <f t="shared" si="168"/>
        <v>118</v>
      </c>
      <c r="R29" s="203">
        <f t="shared" si="168"/>
        <v>68</v>
      </c>
      <c r="S29" s="203">
        <f t="shared" si="168"/>
        <v>126</v>
      </c>
      <c r="T29" s="203">
        <f t="shared" si="168"/>
        <v>132</v>
      </c>
      <c r="U29" s="203">
        <f t="shared" si="168"/>
        <v>393</v>
      </c>
      <c r="V29" s="203">
        <f t="shared" si="168"/>
        <v>59</v>
      </c>
      <c r="W29" s="203">
        <f t="shared" si="168"/>
        <v>22</v>
      </c>
      <c r="X29" s="203">
        <f t="shared" si="168"/>
        <v>22</v>
      </c>
      <c r="Y29" s="203">
        <f t="shared" si="168"/>
        <v>15</v>
      </c>
      <c r="Z29" s="203">
        <f t="shared" si="168"/>
        <v>37</v>
      </c>
      <c r="AA29" s="203">
        <f t="shared" si="168"/>
        <v>22</v>
      </c>
      <c r="AB29" s="203">
        <f t="shared" si="168"/>
        <v>15</v>
      </c>
      <c r="AC29" s="204">
        <f t="shared" si="168"/>
        <v>15</v>
      </c>
      <c r="AD29" s="204">
        <f t="shared" si="168"/>
        <v>19</v>
      </c>
      <c r="AE29" s="204">
        <f t="shared" si="168"/>
        <v>21</v>
      </c>
      <c r="AF29" s="204">
        <f t="shared" si="168"/>
        <v>13</v>
      </c>
      <c r="AG29" s="204">
        <f t="shared" si="168"/>
        <v>68</v>
      </c>
      <c r="AH29" s="204">
        <f t="shared" si="168"/>
        <v>122</v>
      </c>
      <c r="AI29" s="204">
        <f t="shared" si="168"/>
        <v>114</v>
      </c>
      <c r="AJ29" s="204">
        <f t="shared" si="168"/>
        <v>105</v>
      </c>
      <c r="AK29" s="204">
        <f t="shared" si="168"/>
        <v>341</v>
      </c>
      <c r="AL29" s="204"/>
      <c r="AM29" s="204"/>
      <c r="AN29" s="204"/>
      <c r="AO29" s="204"/>
      <c r="AP29" s="151"/>
      <c r="AQ29" s="204"/>
      <c r="AR29" s="204"/>
      <c r="AS29" s="204"/>
      <c r="AT29" s="152"/>
      <c r="AU29" s="204"/>
      <c r="AV29" s="204"/>
      <c r="AW29" s="204"/>
      <c r="AX29" s="153"/>
      <c r="AY29" s="205">
        <f t="shared" ref="AY29:BD29" si="169">SUM(AY3+AY4+AY5+AY9,AY8,AY15,AY22,AY28)</f>
        <v>17.1</v>
      </c>
      <c r="AZ29" s="205">
        <f t="shared" si="169"/>
        <v>19.86</v>
      </c>
      <c r="BA29" s="206">
        <f t="shared" si="169"/>
        <v>5</v>
      </c>
      <c r="BB29" s="206">
        <f t="shared" si="169"/>
        <v>3</v>
      </c>
      <c r="BC29" s="207">
        <f t="shared" si="169"/>
        <v>26400</v>
      </c>
      <c r="BD29" s="207">
        <f t="shared" si="169"/>
        <v>26400</v>
      </c>
      <c r="BE29" s="154" t="str">
        <f t="shared" ref="BE29:BF29" si="170">TEXTJOIN(", ",TRUE,BE28,BE22,BE15,BE9,BE8,BE5,BE4,BE3)</f>
        <v>Олександівка, Пантелеймонівка, Миколаївка, Курськ, Рильск</v>
      </c>
      <c r="BF29" s="154" t="str">
        <f t="shared" si="170"/>
        <v>Загреблі, Верхні води, Ступочки</v>
      </c>
    </row>
    <row r="30" ht="15.75" customHeight="1">
      <c r="A30" s="55">
        <f>A29+1</f>
        <v>46255</v>
      </c>
      <c r="B30" s="56"/>
      <c r="C30" s="57"/>
      <c r="D30" s="58"/>
      <c r="E30" s="59"/>
      <c r="F30" s="58"/>
      <c r="G30" s="59"/>
      <c r="H30" s="57"/>
      <c r="I30" s="60"/>
      <c r="J30" s="57"/>
      <c r="K30" s="57"/>
      <c r="L30" s="57"/>
      <c r="M30" s="57"/>
      <c r="N30" s="60"/>
      <c r="O30" s="60"/>
      <c r="P30" s="60"/>
      <c r="Q30" s="60"/>
      <c r="R30" s="60"/>
      <c r="S30" s="60"/>
      <c r="T30" s="60"/>
      <c r="U30" s="57"/>
      <c r="V30" s="58"/>
      <c r="W30" s="61"/>
      <c r="X30" s="61"/>
      <c r="Y30" s="61"/>
      <c r="Z30" s="57"/>
      <c r="AA30" s="60"/>
      <c r="AB30" s="60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4"/>
      <c r="AQ30" s="62"/>
      <c r="AR30" s="62"/>
      <c r="AS30" s="62"/>
      <c r="AT30" s="65"/>
      <c r="AU30" s="62"/>
      <c r="AV30" s="62"/>
      <c r="AW30" s="62"/>
      <c r="AX30" s="66"/>
      <c r="AY30" s="208"/>
      <c r="AZ30" s="208"/>
      <c r="BA30" s="62"/>
      <c r="BB30" s="62"/>
      <c r="BC30" s="209"/>
      <c r="BD30" s="209"/>
      <c r="BE30" s="62"/>
      <c r="BF30" s="62"/>
    </row>
    <row r="31" ht="15.75" customHeight="1">
      <c r="A31" s="67">
        <f t="shared" ref="A31:A57" si="177">A30</f>
        <v>46255</v>
      </c>
      <c r="B31" s="70" t="s">
        <v>8</v>
      </c>
      <c r="C31" s="72">
        <f t="shared" ref="C31:C56" si="178">SUM(D31,F31)</f>
        <v>1</v>
      </c>
      <c r="D31" s="74">
        <f t="shared" ref="D31:L31" si="171">RANDBETWEEN(0,2)</f>
        <v>1</v>
      </c>
      <c r="E31" s="74">
        <f t="shared" si="171"/>
        <v>0</v>
      </c>
      <c r="F31" s="74">
        <f t="shared" si="171"/>
        <v>0</v>
      </c>
      <c r="G31" s="74">
        <f t="shared" si="171"/>
        <v>0</v>
      </c>
      <c r="H31" s="75">
        <f t="shared" si="171"/>
        <v>2</v>
      </c>
      <c r="I31" s="76">
        <f t="shared" si="171"/>
        <v>1</v>
      </c>
      <c r="J31" s="77">
        <f t="shared" si="171"/>
        <v>2</v>
      </c>
      <c r="K31" s="78">
        <f t="shared" si="171"/>
        <v>2</v>
      </c>
      <c r="L31" s="78">
        <f t="shared" si="171"/>
        <v>1</v>
      </c>
      <c r="M31" s="79">
        <f t="shared" ref="M31:M49" si="180">SUM(N31:T31)</f>
        <v>30</v>
      </c>
      <c r="N31" s="74">
        <f t="shared" ref="N31:T31" si="172">RANDBETWEEN(0,10)</f>
        <v>3</v>
      </c>
      <c r="O31" s="74">
        <f t="shared" si="172"/>
        <v>10</v>
      </c>
      <c r="P31" s="74">
        <f t="shared" si="172"/>
        <v>7</v>
      </c>
      <c r="Q31" s="74">
        <f t="shared" si="172"/>
        <v>1</v>
      </c>
      <c r="R31" s="74">
        <f t="shared" si="172"/>
        <v>2</v>
      </c>
      <c r="S31" s="74">
        <f t="shared" si="172"/>
        <v>0</v>
      </c>
      <c r="T31" s="74">
        <f t="shared" si="172"/>
        <v>7</v>
      </c>
      <c r="U31" s="81">
        <f t="shared" ref="U31:U32" si="182">RANDBETWEEN(10,30)</f>
        <v>18</v>
      </c>
      <c r="V31" s="82">
        <f t="shared" ref="V31:V36" si="183">SUM(W31:Y31)</f>
        <v>4</v>
      </c>
      <c r="W31" s="74">
        <f t="shared" ref="W31:Y31" si="173">RANDBETWEEN(0,2)</f>
        <v>2</v>
      </c>
      <c r="X31" s="74">
        <f t="shared" si="173"/>
        <v>1</v>
      </c>
      <c r="Y31" s="74">
        <f t="shared" si="173"/>
        <v>1</v>
      </c>
      <c r="Z31" s="83">
        <f t="shared" ref="Z31:Z33" si="185">AA31+AB31</f>
        <v>1</v>
      </c>
      <c r="AA31" s="84">
        <f t="shared" ref="AA31:AF31" si="174">RANDBETWEEN(0,2)</f>
        <v>0</v>
      </c>
      <c r="AB31" s="84">
        <f t="shared" si="174"/>
        <v>1</v>
      </c>
      <c r="AC31" s="85">
        <f t="shared" si="174"/>
        <v>2</v>
      </c>
      <c r="AD31" s="85">
        <f t="shared" si="174"/>
        <v>2</v>
      </c>
      <c r="AE31" s="85">
        <f t="shared" si="174"/>
        <v>1</v>
      </c>
      <c r="AF31" s="85">
        <f t="shared" si="174"/>
        <v>2</v>
      </c>
      <c r="AG31" s="86">
        <f t="shared" ref="AG31:AG56" si="187">SUM(AC31:AF31)</f>
        <v>7</v>
      </c>
      <c r="AH31" s="87">
        <f t="shared" ref="AH31:AJ31" si="175">RANDBETWEEN(1,10)</f>
        <v>2</v>
      </c>
      <c r="AI31" s="85">
        <f t="shared" si="175"/>
        <v>7</v>
      </c>
      <c r="AJ31" s="85">
        <f t="shared" si="175"/>
        <v>7</v>
      </c>
      <c r="AK31" s="88">
        <f t="shared" ref="AK31:AK56" si="189">SUM(AH31:AJ31)</f>
        <v>16</v>
      </c>
      <c r="AL31" s="85"/>
      <c r="AM31" s="85"/>
      <c r="AN31" s="85"/>
      <c r="AO31" s="85"/>
      <c r="AP31" s="89"/>
      <c r="AQ31" s="87"/>
      <c r="AR31" s="85"/>
      <c r="AS31" s="85"/>
      <c r="AT31" s="90"/>
      <c r="AU31" s="87"/>
      <c r="AV31" s="85"/>
      <c r="AW31" s="85"/>
      <c r="AX31" s="91"/>
      <c r="AY31" s="92">
        <f t="shared" ref="AY31:AZ31" si="176">RANDBETWEEN(1,10)/10</f>
        <v>0.8</v>
      </c>
      <c r="AZ31" s="92">
        <f t="shared" si="176"/>
        <v>0.7</v>
      </c>
      <c r="BA31" s="93">
        <v>0.0</v>
      </c>
      <c r="BB31" s="93">
        <v>0.0</v>
      </c>
      <c r="BC31" s="94">
        <f>SUM(BC3,'ГОЧ'!$AY31)</f>
        <v>1200.8</v>
      </c>
      <c r="BD31" s="94">
        <f>SUM(BD3,'ГОЧ'!$AZ31)</f>
        <v>1200.7</v>
      </c>
      <c r="BE31" s="85"/>
      <c r="BF31" s="85"/>
    </row>
    <row r="32" ht="15.75" customHeight="1">
      <c r="A32" s="67">
        <f t="shared" si="177"/>
        <v>46255</v>
      </c>
      <c r="B32" s="95" t="s">
        <v>10</v>
      </c>
      <c r="C32" s="96">
        <f t="shared" si="178"/>
        <v>0</v>
      </c>
      <c r="D32" s="97">
        <f t="shared" ref="D32:L32" si="179">RANDBETWEEN(0,2)</f>
        <v>0</v>
      </c>
      <c r="E32" s="97">
        <f t="shared" si="179"/>
        <v>0</v>
      </c>
      <c r="F32" s="97">
        <f t="shared" si="179"/>
        <v>0</v>
      </c>
      <c r="G32" s="97">
        <f t="shared" si="179"/>
        <v>2</v>
      </c>
      <c r="H32" s="98">
        <f t="shared" si="179"/>
        <v>1</v>
      </c>
      <c r="I32" s="99">
        <f t="shared" si="179"/>
        <v>1</v>
      </c>
      <c r="J32" s="100">
        <f t="shared" si="179"/>
        <v>0</v>
      </c>
      <c r="K32" s="101">
        <f t="shared" si="179"/>
        <v>2</v>
      </c>
      <c r="L32" s="101">
        <f t="shared" si="179"/>
        <v>1</v>
      </c>
      <c r="M32" s="102">
        <f t="shared" si="180"/>
        <v>40</v>
      </c>
      <c r="N32" s="97">
        <f t="shared" ref="N32:T32" si="181">RANDBETWEEN(0,10)</f>
        <v>4</v>
      </c>
      <c r="O32" s="97">
        <f t="shared" si="181"/>
        <v>1</v>
      </c>
      <c r="P32" s="97">
        <f t="shared" si="181"/>
        <v>5</v>
      </c>
      <c r="Q32" s="97">
        <f t="shared" si="181"/>
        <v>10</v>
      </c>
      <c r="R32" s="97">
        <f t="shared" si="181"/>
        <v>5</v>
      </c>
      <c r="S32" s="97">
        <f t="shared" si="181"/>
        <v>6</v>
      </c>
      <c r="T32" s="97">
        <f t="shared" si="181"/>
        <v>9</v>
      </c>
      <c r="U32" s="103">
        <f t="shared" si="182"/>
        <v>13</v>
      </c>
      <c r="V32" s="104">
        <f t="shared" si="183"/>
        <v>4</v>
      </c>
      <c r="W32" s="97">
        <f t="shared" ref="W32:Y32" si="184">RANDBETWEEN(0,2)</f>
        <v>1</v>
      </c>
      <c r="X32" s="97">
        <f t="shared" si="184"/>
        <v>2</v>
      </c>
      <c r="Y32" s="97">
        <f t="shared" si="184"/>
        <v>1</v>
      </c>
      <c r="Z32" s="105">
        <f t="shared" si="185"/>
        <v>1</v>
      </c>
      <c r="AA32" s="106">
        <f t="shared" ref="AA32:AF32" si="186">RANDBETWEEN(0,2)</f>
        <v>1</v>
      </c>
      <c r="AB32" s="106">
        <f t="shared" si="186"/>
        <v>0</v>
      </c>
      <c r="AC32" s="107">
        <f t="shared" si="186"/>
        <v>0</v>
      </c>
      <c r="AD32" s="108">
        <f t="shared" si="186"/>
        <v>1</v>
      </c>
      <c r="AE32" s="108">
        <f t="shared" si="186"/>
        <v>1</v>
      </c>
      <c r="AF32" s="108">
        <f t="shared" si="186"/>
        <v>2</v>
      </c>
      <c r="AG32" s="109">
        <f t="shared" si="187"/>
        <v>4</v>
      </c>
      <c r="AH32" s="107">
        <f t="shared" ref="AH32:AJ32" si="188">RANDBETWEEN(1,10)</f>
        <v>9</v>
      </c>
      <c r="AI32" s="108">
        <f t="shared" si="188"/>
        <v>8</v>
      </c>
      <c r="AJ32" s="108">
        <f t="shared" si="188"/>
        <v>1</v>
      </c>
      <c r="AK32" s="110">
        <f t="shared" si="189"/>
        <v>18</v>
      </c>
      <c r="AL32" s="107"/>
      <c r="AM32" s="108"/>
      <c r="AN32" s="108"/>
      <c r="AO32" s="108"/>
      <c r="AP32" s="111"/>
      <c r="AQ32" s="107"/>
      <c r="AR32" s="108"/>
      <c r="AS32" s="108"/>
      <c r="AT32" s="112"/>
      <c r="AU32" s="107"/>
      <c r="AV32" s="108"/>
      <c r="AW32" s="108"/>
      <c r="AX32" s="113"/>
      <c r="AY32" s="92">
        <f t="shared" ref="AY32:AZ32" si="190">RANDBETWEEN(1,10)/10</f>
        <v>0.4</v>
      </c>
      <c r="AZ32" s="92">
        <f t="shared" si="190"/>
        <v>1</v>
      </c>
      <c r="BA32" s="93">
        <v>0.0</v>
      </c>
      <c r="BB32" s="93">
        <v>0.0</v>
      </c>
      <c r="BC32" s="94">
        <f>SUM(BC4,'ГОЧ'!$AY32)</f>
        <v>1200.4</v>
      </c>
      <c r="BD32" s="94">
        <f>SUM(BD4,'ГОЧ'!$AZ32)</f>
        <v>1201</v>
      </c>
      <c r="BE32" s="108"/>
      <c r="BF32" s="108"/>
    </row>
    <row r="33" ht="15.75" customHeight="1">
      <c r="A33" s="67">
        <f t="shared" si="177"/>
        <v>46255</v>
      </c>
      <c r="B33" s="114" t="s">
        <v>12</v>
      </c>
      <c r="C33" s="115">
        <f t="shared" si="178"/>
        <v>0</v>
      </c>
      <c r="D33" s="115">
        <v>0.0</v>
      </c>
      <c r="E33" s="116">
        <v>0.0</v>
      </c>
      <c r="F33" s="116">
        <v>0.0</v>
      </c>
      <c r="G33" s="116">
        <v>0.0</v>
      </c>
      <c r="H33" s="115">
        <v>0.0</v>
      </c>
      <c r="I33" s="116">
        <v>0.0</v>
      </c>
      <c r="J33" s="115">
        <v>0.0</v>
      </c>
      <c r="K33" s="116">
        <v>0.0</v>
      </c>
      <c r="L33" s="116">
        <v>0.0</v>
      </c>
      <c r="M33" s="115">
        <f t="shared" si="180"/>
        <v>0</v>
      </c>
      <c r="N33" s="115">
        <v>0.0</v>
      </c>
      <c r="O33" s="116">
        <v>0.0</v>
      </c>
      <c r="P33" s="116">
        <v>0.0</v>
      </c>
      <c r="Q33" s="116">
        <v>0.0</v>
      </c>
      <c r="R33" s="116">
        <v>0.0</v>
      </c>
      <c r="S33" s="116">
        <v>0.0</v>
      </c>
      <c r="T33" s="116">
        <v>0.0</v>
      </c>
      <c r="U33" s="115">
        <v>0.0</v>
      </c>
      <c r="V33" s="115">
        <f t="shared" si="183"/>
        <v>0</v>
      </c>
      <c r="W33" s="116">
        <v>0.0</v>
      </c>
      <c r="X33" s="116">
        <v>0.0</v>
      </c>
      <c r="Y33" s="116">
        <v>0.0</v>
      </c>
      <c r="Z33" s="116">
        <f t="shared" si="185"/>
        <v>0</v>
      </c>
      <c r="AA33" s="116">
        <v>0.0</v>
      </c>
      <c r="AB33" s="116">
        <v>0.0</v>
      </c>
      <c r="AC33" s="117">
        <v>0.0</v>
      </c>
      <c r="AD33" s="118">
        <v>0.0</v>
      </c>
      <c r="AE33" s="118">
        <v>0.0</v>
      </c>
      <c r="AF33" s="118">
        <v>0.0</v>
      </c>
      <c r="AG33" s="119">
        <f t="shared" si="187"/>
        <v>0</v>
      </c>
      <c r="AH33" s="117">
        <v>0.0</v>
      </c>
      <c r="AI33" s="118">
        <v>0.0</v>
      </c>
      <c r="AJ33" s="118">
        <v>0.0</v>
      </c>
      <c r="AK33" s="119">
        <f t="shared" si="189"/>
        <v>0</v>
      </c>
      <c r="AL33" s="117"/>
      <c r="AM33" s="118"/>
      <c r="AN33" s="118"/>
      <c r="AO33" s="118"/>
      <c r="AP33" s="111"/>
      <c r="AQ33" s="117"/>
      <c r="AR33" s="118"/>
      <c r="AS33" s="118"/>
      <c r="AT33" s="120"/>
      <c r="AU33" s="117"/>
      <c r="AV33" s="118"/>
      <c r="AW33" s="118"/>
      <c r="AX33" s="121"/>
      <c r="AY33" s="122">
        <f t="shared" ref="AY33:BD33" si="191">SUM(AY31:AY32)</f>
        <v>1.2</v>
      </c>
      <c r="AZ33" s="122">
        <f t="shared" si="191"/>
        <v>1.7</v>
      </c>
      <c r="BA33" s="118">
        <f t="shared" si="191"/>
        <v>0</v>
      </c>
      <c r="BB33" s="118">
        <f t="shared" si="191"/>
        <v>0</v>
      </c>
      <c r="BC33" s="123">
        <f t="shared" si="191"/>
        <v>2401.2</v>
      </c>
      <c r="BD33" s="123">
        <f t="shared" si="191"/>
        <v>2401.7</v>
      </c>
      <c r="BE33" s="118"/>
      <c r="BF33" s="118"/>
    </row>
    <row r="34" ht="15.75" customHeight="1">
      <c r="A34" s="67">
        <f t="shared" si="177"/>
        <v>46255</v>
      </c>
      <c r="B34" s="124" t="s">
        <v>14</v>
      </c>
      <c r="C34" s="96">
        <f t="shared" si="178"/>
        <v>1</v>
      </c>
      <c r="D34" s="125">
        <f t="shared" ref="D34:L34" si="192">RANDBETWEEN(0,2)</f>
        <v>1</v>
      </c>
      <c r="E34" s="125">
        <f t="shared" si="192"/>
        <v>2</v>
      </c>
      <c r="F34" s="125">
        <f t="shared" si="192"/>
        <v>0</v>
      </c>
      <c r="G34" s="125">
        <f t="shared" si="192"/>
        <v>0</v>
      </c>
      <c r="H34" s="126">
        <f t="shared" si="192"/>
        <v>1</v>
      </c>
      <c r="I34" s="127">
        <f t="shared" si="192"/>
        <v>1</v>
      </c>
      <c r="J34" s="128">
        <f t="shared" si="192"/>
        <v>1</v>
      </c>
      <c r="K34" s="130">
        <f t="shared" si="192"/>
        <v>1</v>
      </c>
      <c r="L34" s="130">
        <f t="shared" si="192"/>
        <v>0</v>
      </c>
      <c r="M34" s="102">
        <f t="shared" si="180"/>
        <v>33</v>
      </c>
      <c r="N34" s="125">
        <f t="shared" ref="N34:T34" si="193">RANDBETWEEN(0,10)</f>
        <v>5</v>
      </c>
      <c r="O34" s="125">
        <f t="shared" si="193"/>
        <v>7</v>
      </c>
      <c r="P34" s="125">
        <f t="shared" si="193"/>
        <v>3</v>
      </c>
      <c r="Q34" s="125">
        <f t="shared" si="193"/>
        <v>8</v>
      </c>
      <c r="R34" s="125">
        <f t="shared" si="193"/>
        <v>2</v>
      </c>
      <c r="S34" s="125">
        <f t="shared" si="193"/>
        <v>6</v>
      </c>
      <c r="T34" s="125">
        <f t="shared" si="193"/>
        <v>2</v>
      </c>
      <c r="U34" s="103">
        <f t="shared" ref="U34:U35" si="200">RANDBETWEEN(10,30)</f>
        <v>20</v>
      </c>
      <c r="V34" s="131">
        <f t="shared" si="183"/>
        <v>3</v>
      </c>
      <c r="W34" s="125">
        <f t="shared" ref="W34:Y34" si="194">RANDBETWEEN(0,2)</f>
        <v>1</v>
      </c>
      <c r="X34" s="125">
        <f t="shared" si="194"/>
        <v>1</v>
      </c>
      <c r="Y34" s="125">
        <f t="shared" si="194"/>
        <v>1</v>
      </c>
      <c r="Z34" s="132">
        <f t="shared" ref="Z34:Z37" si="202">SUM(AA34:AB34)</f>
        <v>3</v>
      </c>
      <c r="AA34" s="133">
        <f t="shared" ref="AA34:AF34" si="195">RANDBETWEEN(0,2)</f>
        <v>1</v>
      </c>
      <c r="AB34" s="133">
        <f t="shared" si="195"/>
        <v>2</v>
      </c>
      <c r="AC34" s="134">
        <f t="shared" si="195"/>
        <v>1</v>
      </c>
      <c r="AD34" s="134">
        <f t="shared" si="195"/>
        <v>1</v>
      </c>
      <c r="AE34" s="134">
        <f t="shared" si="195"/>
        <v>2</v>
      </c>
      <c r="AF34" s="134">
        <f t="shared" si="195"/>
        <v>2</v>
      </c>
      <c r="AG34" s="135">
        <f t="shared" si="187"/>
        <v>6</v>
      </c>
      <c r="AH34" s="136">
        <f t="shared" ref="AH34:AJ34" si="196">RANDBETWEEN(1,10)</f>
        <v>9</v>
      </c>
      <c r="AI34" s="134">
        <f t="shared" si="196"/>
        <v>1</v>
      </c>
      <c r="AJ34" s="134">
        <f t="shared" si="196"/>
        <v>4</v>
      </c>
      <c r="AK34" s="137">
        <f t="shared" si="189"/>
        <v>14</v>
      </c>
      <c r="AL34" s="134"/>
      <c r="AM34" s="134"/>
      <c r="AN34" s="134"/>
      <c r="AO34" s="134"/>
      <c r="AP34" s="111"/>
      <c r="AQ34" s="136"/>
      <c r="AR34" s="134"/>
      <c r="AS34" s="134"/>
      <c r="AT34" s="120"/>
      <c r="AU34" s="136"/>
      <c r="AV34" s="134"/>
      <c r="AW34" s="134"/>
      <c r="AX34" s="121"/>
      <c r="AY34" s="92">
        <f t="shared" ref="AY34:AZ34" si="197">RANDBETWEEN(1,10)/10</f>
        <v>0.5</v>
      </c>
      <c r="AZ34" s="92">
        <f t="shared" si="197"/>
        <v>0.2</v>
      </c>
      <c r="BA34" s="93">
        <v>0.0</v>
      </c>
      <c r="BB34" s="93">
        <v>0.0</v>
      </c>
      <c r="BC34" s="94">
        <f>SUM(BC6,'ГОЧ'!$AY34)</f>
        <v>1200.5</v>
      </c>
      <c r="BD34" s="94">
        <f>SUM(BD6,'ГОЧ'!$AZ34)</f>
        <v>1200.2</v>
      </c>
      <c r="BE34" s="108"/>
      <c r="BF34" s="108"/>
    </row>
    <row r="35" ht="15.75" customHeight="1">
      <c r="A35" s="67">
        <f t="shared" si="177"/>
        <v>46255</v>
      </c>
      <c r="B35" s="138" t="s">
        <v>16</v>
      </c>
      <c r="C35" s="139">
        <f t="shared" si="178"/>
        <v>1</v>
      </c>
      <c r="D35" s="97">
        <f t="shared" ref="D35:L35" si="198">RANDBETWEEN(0,2)</f>
        <v>0</v>
      </c>
      <c r="E35" s="97">
        <f t="shared" si="198"/>
        <v>1</v>
      </c>
      <c r="F35" s="97">
        <f t="shared" si="198"/>
        <v>1</v>
      </c>
      <c r="G35" s="97">
        <f t="shared" si="198"/>
        <v>2</v>
      </c>
      <c r="H35" s="98">
        <f t="shared" si="198"/>
        <v>2</v>
      </c>
      <c r="I35" s="99">
        <f t="shared" si="198"/>
        <v>1</v>
      </c>
      <c r="J35" s="100">
        <f t="shared" si="198"/>
        <v>1</v>
      </c>
      <c r="K35" s="101">
        <f t="shared" si="198"/>
        <v>2</v>
      </c>
      <c r="L35" s="101">
        <f t="shared" si="198"/>
        <v>2</v>
      </c>
      <c r="M35" s="140">
        <f t="shared" si="180"/>
        <v>39</v>
      </c>
      <c r="N35" s="97">
        <f t="shared" ref="N35:T35" si="199">RANDBETWEEN(0,10)</f>
        <v>6</v>
      </c>
      <c r="O35" s="97">
        <f t="shared" si="199"/>
        <v>5</v>
      </c>
      <c r="P35" s="97">
        <f t="shared" si="199"/>
        <v>5</v>
      </c>
      <c r="Q35" s="97">
        <f t="shared" si="199"/>
        <v>10</v>
      </c>
      <c r="R35" s="97">
        <f t="shared" si="199"/>
        <v>8</v>
      </c>
      <c r="S35" s="97">
        <f t="shared" si="199"/>
        <v>2</v>
      </c>
      <c r="T35" s="97">
        <f t="shared" si="199"/>
        <v>3</v>
      </c>
      <c r="U35" s="103">
        <f t="shared" si="200"/>
        <v>30</v>
      </c>
      <c r="V35" s="141">
        <f t="shared" si="183"/>
        <v>2</v>
      </c>
      <c r="W35" s="97">
        <f t="shared" ref="W35:Y35" si="201">RANDBETWEEN(0,2)</f>
        <v>2</v>
      </c>
      <c r="X35" s="97">
        <f t="shared" si="201"/>
        <v>0</v>
      </c>
      <c r="Y35" s="97">
        <f t="shared" si="201"/>
        <v>0</v>
      </c>
      <c r="Z35" s="142">
        <f t="shared" si="202"/>
        <v>2</v>
      </c>
      <c r="AA35" s="143">
        <f t="shared" ref="AA35:AF35" si="203">RANDBETWEEN(0,2)</f>
        <v>2</v>
      </c>
      <c r="AB35" s="143">
        <f t="shared" si="203"/>
        <v>0</v>
      </c>
      <c r="AC35" s="144">
        <f t="shared" si="203"/>
        <v>1</v>
      </c>
      <c r="AD35" s="145">
        <f t="shared" si="203"/>
        <v>1</v>
      </c>
      <c r="AE35" s="145">
        <f t="shared" si="203"/>
        <v>2</v>
      </c>
      <c r="AF35" s="145">
        <f t="shared" si="203"/>
        <v>1</v>
      </c>
      <c r="AG35" s="146">
        <f t="shared" si="187"/>
        <v>5</v>
      </c>
      <c r="AH35" s="144">
        <f t="shared" ref="AH35:AJ35" si="204">RANDBETWEEN(1,10)</f>
        <v>5</v>
      </c>
      <c r="AI35" s="145">
        <f t="shared" si="204"/>
        <v>6</v>
      </c>
      <c r="AJ35" s="145">
        <f t="shared" si="204"/>
        <v>4</v>
      </c>
      <c r="AK35" s="147">
        <f t="shared" si="189"/>
        <v>15</v>
      </c>
      <c r="AL35" s="144"/>
      <c r="AM35" s="145"/>
      <c r="AN35" s="145"/>
      <c r="AO35" s="145"/>
      <c r="AP35" s="148"/>
      <c r="AQ35" s="144"/>
      <c r="AR35" s="145"/>
      <c r="AS35" s="145"/>
      <c r="AT35" s="149"/>
      <c r="AU35" s="144"/>
      <c r="AV35" s="145"/>
      <c r="AW35" s="145"/>
      <c r="AX35" s="150"/>
      <c r="AY35" s="92">
        <f t="shared" ref="AY35:AZ35" si="205">RANDBETWEEN(1,10)/10</f>
        <v>0.3</v>
      </c>
      <c r="AZ35" s="92">
        <f t="shared" si="205"/>
        <v>0.7</v>
      </c>
      <c r="BA35" s="93">
        <v>0.0</v>
      </c>
      <c r="BB35" s="93">
        <v>0.0</v>
      </c>
      <c r="BC35" s="94">
        <f>SUM(BC7,'ГОЧ'!$AY35)</f>
        <v>1200.3</v>
      </c>
      <c r="BD35" s="94">
        <f>SUM(BD7,'ГОЧ'!$AZ35)</f>
        <v>1200.7</v>
      </c>
      <c r="BE35" s="108"/>
      <c r="BF35" s="108"/>
    </row>
    <row r="36" ht="15.75" customHeight="1">
      <c r="A36" s="67">
        <f t="shared" si="177"/>
        <v>46255</v>
      </c>
      <c r="B36" s="114" t="s">
        <v>18</v>
      </c>
      <c r="C36" s="115">
        <f t="shared" si="178"/>
        <v>2</v>
      </c>
      <c r="D36" s="115">
        <f t="shared" ref="D36:L36" si="206">SUM(D34:D35)</f>
        <v>1</v>
      </c>
      <c r="E36" s="116">
        <f t="shared" si="206"/>
        <v>3</v>
      </c>
      <c r="F36" s="116">
        <f t="shared" si="206"/>
        <v>1</v>
      </c>
      <c r="G36" s="116">
        <f t="shared" si="206"/>
        <v>2</v>
      </c>
      <c r="H36" s="115">
        <f t="shared" si="206"/>
        <v>3</v>
      </c>
      <c r="I36" s="116">
        <f t="shared" si="206"/>
        <v>2</v>
      </c>
      <c r="J36" s="115">
        <f t="shared" si="206"/>
        <v>2</v>
      </c>
      <c r="K36" s="116">
        <f t="shared" si="206"/>
        <v>3</v>
      </c>
      <c r="L36" s="116">
        <f t="shared" si="206"/>
        <v>2</v>
      </c>
      <c r="M36" s="115">
        <f t="shared" si="180"/>
        <v>62</v>
      </c>
      <c r="N36" s="115">
        <f t="shared" ref="N36:Q36" si="207">SUM(N34:N35)</f>
        <v>11</v>
      </c>
      <c r="O36" s="116">
        <f t="shared" si="207"/>
        <v>12</v>
      </c>
      <c r="P36" s="116">
        <f t="shared" si="207"/>
        <v>8</v>
      </c>
      <c r="Q36" s="116">
        <f t="shared" si="207"/>
        <v>18</v>
      </c>
      <c r="R36" s="116">
        <v>0.0</v>
      </c>
      <c r="S36" s="116">
        <f t="shared" ref="S36:U36" si="208">SUM(S34:S35)</f>
        <v>8</v>
      </c>
      <c r="T36" s="116">
        <f t="shared" si="208"/>
        <v>5</v>
      </c>
      <c r="U36" s="115">
        <f t="shared" si="208"/>
        <v>50</v>
      </c>
      <c r="V36" s="115">
        <f t="shared" si="183"/>
        <v>5</v>
      </c>
      <c r="W36" s="116">
        <f t="shared" ref="W36:Y36" si="209">SUM(W34:W35)</f>
        <v>3</v>
      </c>
      <c r="X36" s="116">
        <f t="shared" si="209"/>
        <v>1</v>
      </c>
      <c r="Y36" s="116">
        <f t="shared" si="209"/>
        <v>1</v>
      </c>
      <c r="Z36" s="116">
        <f t="shared" si="202"/>
        <v>5</v>
      </c>
      <c r="AA36" s="116">
        <f t="shared" ref="AA36:AF36" si="210">SUM(AA34:AA35)</f>
        <v>3</v>
      </c>
      <c r="AB36" s="116">
        <f t="shared" si="210"/>
        <v>2</v>
      </c>
      <c r="AC36" s="118">
        <f t="shared" si="210"/>
        <v>2</v>
      </c>
      <c r="AD36" s="118">
        <f t="shared" si="210"/>
        <v>2</v>
      </c>
      <c r="AE36" s="118">
        <f t="shared" si="210"/>
        <v>4</v>
      </c>
      <c r="AF36" s="118">
        <f t="shared" si="210"/>
        <v>3</v>
      </c>
      <c r="AG36" s="117">
        <f t="shared" si="187"/>
        <v>11</v>
      </c>
      <c r="AH36" s="117">
        <f t="shared" ref="AH36:AJ36" si="211">SUM(AH34:AH35)</f>
        <v>14</v>
      </c>
      <c r="AI36" s="118">
        <f t="shared" si="211"/>
        <v>7</v>
      </c>
      <c r="AJ36" s="118">
        <f t="shared" si="211"/>
        <v>8</v>
      </c>
      <c r="AK36" s="117">
        <f t="shared" si="189"/>
        <v>29</v>
      </c>
      <c r="AL36" s="118"/>
      <c r="AM36" s="118"/>
      <c r="AN36" s="118"/>
      <c r="AO36" s="118"/>
      <c r="AP36" s="151"/>
      <c r="AQ36" s="117"/>
      <c r="AR36" s="118"/>
      <c r="AS36" s="118"/>
      <c r="AT36" s="152"/>
      <c r="AU36" s="117"/>
      <c r="AV36" s="118"/>
      <c r="AW36" s="118"/>
      <c r="AX36" s="153"/>
      <c r="AY36" s="122">
        <f t="shared" ref="AY36:BD36" si="212">SUM(AY34:AY35)</f>
        <v>0.8</v>
      </c>
      <c r="AZ36" s="122">
        <f t="shared" si="212"/>
        <v>0.9</v>
      </c>
      <c r="BA36" s="118">
        <f t="shared" si="212"/>
        <v>0</v>
      </c>
      <c r="BB36" s="118">
        <f t="shared" si="212"/>
        <v>0</v>
      </c>
      <c r="BC36" s="123">
        <f t="shared" si="212"/>
        <v>2400.8</v>
      </c>
      <c r="BD36" s="123">
        <f t="shared" si="212"/>
        <v>2400.9</v>
      </c>
      <c r="BE36" s="154" t="str">
        <f t="shared" ref="BE36:BF36" si="213">TEXTJOIN(", ",TRUE,BE34:BE35)</f>
        <v/>
      </c>
      <c r="BF36" s="154" t="str">
        <f t="shared" si="213"/>
        <v/>
      </c>
    </row>
    <row r="37" ht="15.75" customHeight="1">
      <c r="A37" s="67">
        <f t="shared" si="177"/>
        <v>46255</v>
      </c>
      <c r="B37" s="114" t="s">
        <v>20</v>
      </c>
      <c r="C37" s="115">
        <f t="shared" si="178"/>
        <v>5</v>
      </c>
      <c r="D37" s="115">
        <v>3.0</v>
      </c>
      <c r="E37" s="116">
        <v>0.0</v>
      </c>
      <c r="F37" s="116">
        <v>2.0</v>
      </c>
      <c r="G37" s="116">
        <v>2.0</v>
      </c>
      <c r="H37" s="115">
        <v>0.0</v>
      </c>
      <c r="I37" s="116">
        <v>0.0</v>
      </c>
      <c r="J37" s="115">
        <v>1.0</v>
      </c>
      <c r="K37" s="116">
        <v>1.0</v>
      </c>
      <c r="L37" s="116">
        <v>0.0</v>
      </c>
      <c r="M37" s="115">
        <f t="shared" si="180"/>
        <v>38</v>
      </c>
      <c r="N37" s="115">
        <v>0.0</v>
      </c>
      <c r="O37" s="116">
        <v>0.0</v>
      </c>
      <c r="P37" s="116">
        <v>0.0</v>
      </c>
      <c r="Q37" s="116">
        <v>9.0</v>
      </c>
      <c r="R37" s="116">
        <v>0.0</v>
      </c>
      <c r="S37" s="116">
        <v>0.0</v>
      </c>
      <c r="T37" s="116">
        <v>29.0</v>
      </c>
      <c r="U37" s="115">
        <v>7.0</v>
      </c>
      <c r="V37" s="115">
        <f t="shared" ref="V37:V56" si="217">W37+X37+Y37</f>
        <v>0</v>
      </c>
      <c r="W37" s="116">
        <v>0.0</v>
      </c>
      <c r="X37" s="116">
        <v>0.0</v>
      </c>
      <c r="Y37" s="116">
        <v>0.0</v>
      </c>
      <c r="Z37" s="116">
        <f t="shared" si="202"/>
        <v>0</v>
      </c>
      <c r="AA37" s="116">
        <v>0.0</v>
      </c>
      <c r="AB37" s="116">
        <v>0.0</v>
      </c>
      <c r="AC37" s="117">
        <v>0.0</v>
      </c>
      <c r="AD37" s="118">
        <v>1.0</v>
      </c>
      <c r="AE37" s="118">
        <v>0.0</v>
      </c>
      <c r="AF37" s="118">
        <v>0.0</v>
      </c>
      <c r="AG37" s="119">
        <f t="shared" si="187"/>
        <v>1</v>
      </c>
      <c r="AH37" s="117">
        <v>6.0</v>
      </c>
      <c r="AI37" s="118">
        <v>5.0</v>
      </c>
      <c r="AJ37" s="118">
        <v>0.0</v>
      </c>
      <c r="AK37" s="119">
        <f t="shared" si="189"/>
        <v>11</v>
      </c>
      <c r="AL37" s="117"/>
      <c r="AM37" s="118"/>
      <c r="AN37" s="118"/>
      <c r="AO37" s="118"/>
      <c r="AP37" s="111"/>
      <c r="AQ37" s="117"/>
      <c r="AR37" s="118"/>
      <c r="AS37" s="118"/>
      <c r="AT37" s="120"/>
      <c r="AU37" s="117"/>
      <c r="AV37" s="118"/>
      <c r="AW37" s="118"/>
      <c r="AX37" s="121"/>
      <c r="AY37" s="122">
        <f t="shared" ref="AY37:AZ37" si="214">RANDBETWEEN(1,10)</f>
        <v>5</v>
      </c>
      <c r="AZ37" s="122">
        <f t="shared" si="214"/>
        <v>2</v>
      </c>
      <c r="BA37" s="118">
        <v>2.0</v>
      </c>
      <c r="BB37" s="118">
        <v>0.0</v>
      </c>
      <c r="BC37" s="123">
        <v>1.0</v>
      </c>
      <c r="BD37" s="123">
        <v>2.0</v>
      </c>
      <c r="BE37" s="118" t="s">
        <v>157</v>
      </c>
      <c r="BF37" s="118"/>
    </row>
    <row r="38" ht="15.75" customHeight="1">
      <c r="A38" s="67">
        <f t="shared" si="177"/>
        <v>46255</v>
      </c>
      <c r="B38" s="124" t="s">
        <v>21</v>
      </c>
      <c r="C38" s="155">
        <f t="shared" si="178"/>
        <v>1</v>
      </c>
      <c r="D38" s="125">
        <f t="shared" ref="D38:L38" si="215">RANDBETWEEN(0,2)</f>
        <v>1</v>
      </c>
      <c r="E38" s="125">
        <f t="shared" si="215"/>
        <v>2</v>
      </c>
      <c r="F38" s="125">
        <f t="shared" si="215"/>
        <v>0</v>
      </c>
      <c r="G38" s="125">
        <f t="shared" si="215"/>
        <v>0</v>
      </c>
      <c r="H38" s="126">
        <f t="shared" si="215"/>
        <v>1</v>
      </c>
      <c r="I38" s="127">
        <f t="shared" si="215"/>
        <v>1</v>
      </c>
      <c r="J38" s="128">
        <f t="shared" si="215"/>
        <v>1</v>
      </c>
      <c r="K38" s="130">
        <f t="shared" si="215"/>
        <v>1</v>
      </c>
      <c r="L38" s="130">
        <f t="shared" si="215"/>
        <v>1</v>
      </c>
      <c r="M38" s="102">
        <f t="shared" si="180"/>
        <v>42</v>
      </c>
      <c r="N38" s="125">
        <f t="shared" ref="N38:T38" si="216">RANDBETWEEN(0,10)</f>
        <v>9</v>
      </c>
      <c r="O38" s="125">
        <f t="shared" si="216"/>
        <v>9</v>
      </c>
      <c r="P38" s="125">
        <f t="shared" si="216"/>
        <v>4</v>
      </c>
      <c r="Q38" s="125">
        <f t="shared" si="216"/>
        <v>4</v>
      </c>
      <c r="R38" s="125">
        <f t="shared" si="216"/>
        <v>5</v>
      </c>
      <c r="S38" s="125">
        <f t="shared" si="216"/>
        <v>2</v>
      </c>
      <c r="T38" s="125">
        <f t="shared" si="216"/>
        <v>9</v>
      </c>
      <c r="U38" s="103">
        <f t="shared" ref="U38:U42" si="224">RANDBETWEEN(10,30)</f>
        <v>28</v>
      </c>
      <c r="V38" s="104">
        <f t="shared" si="217"/>
        <v>3</v>
      </c>
      <c r="W38" s="125">
        <f t="shared" ref="W38:Y38" si="218">RANDBETWEEN(0,2)</f>
        <v>1</v>
      </c>
      <c r="X38" s="125">
        <f t="shared" si="218"/>
        <v>1</v>
      </c>
      <c r="Y38" s="125">
        <f t="shared" si="218"/>
        <v>1</v>
      </c>
      <c r="Z38" s="105">
        <f t="shared" ref="Z38:Z55" si="226">AA38+AB38</f>
        <v>4</v>
      </c>
      <c r="AA38" s="133">
        <f t="shared" ref="AA38:AF38" si="219">RANDBETWEEN(0,2)</f>
        <v>2</v>
      </c>
      <c r="AB38" s="133">
        <f t="shared" si="219"/>
        <v>2</v>
      </c>
      <c r="AC38" s="136">
        <f t="shared" si="219"/>
        <v>0</v>
      </c>
      <c r="AD38" s="134">
        <f t="shared" si="219"/>
        <v>2</v>
      </c>
      <c r="AE38" s="134">
        <f t="shared" si="219"/>
        <v>2</v>
      </c>
      <c r="AF38" s="134">
        <f t="shared" si="219"/>
        <v>1</v>
      </c>
      <c r="AG38" s="156">
        <f t="shared" si="187"/>
        <v>5</v>
      </c>
      <c r="AH38" s="136">
        <f t="shared" ref="AH38:AJ38" si="220">RANDBETWEEN(1,10)</f>
        <v>7</v>
      </c>
      <c r="AI38" s="134">
        <f t="shared" si="220"/>
        <v>3</v>
      </c>
      <c r="AJ38" s="134">
        <f t="shared" si="220"/>
        <v>8</v>
      </c>
      <c r="AK38" s="137">
        <f t="shared" si="189"/>
        <v>18</v>
      </c>
      <c r="AL38" s="136"/>
      <c r="AM38" s="134"/>
      <c r="AN38" s="134"/>
      <c r="AO38" s="134"/>
      <c r="AP38" s="111"/>
      <c r="AQ38" s="136"/>
      <c r="AR38" s="134"/>
      <c r="AS38" s="134"/>
      <c r="AT38" s="120"/>
      <c r="AU38" s="136"/>
      <c r="AV38" s="134"/>
      <c r="AW38" s="134"/>
      <c r="AX38" s="121"/>
      <c r="AY38" s="92">
        <f t="shared" ref="AY38:AZ38" si="221">RANDBETWEEN(1,10)/10</f>
        <v>0.9</v>
      </c>
      <c r="AZ38" s="92">
        <f t="shared" si="221"/>
        <v>0.7</v>
      </c>
      <c r="BA38" s="93">
        <v>1.0</v>
      </c>
      <c r="BB38" s="93">
        <v>0.0</v>
      </c>
      <c r="BC38" s="94">
        <f>SUM(BC10,'ГОЧ'!$AY38)</f>
        <v>1200.9</v>
      </c>
      <c r="BD38" s="94">
        <f>SUM(BD10,'ГОЧ'!$AZ38)</f>
        <v>1200.7</v>
      </c>
      <c r="BE38" s="108" t="s">
        <v>162</v>
      </c>
      <c r="BF38" s="108"/>
    </row>
    <row r="39" ht="15.75" customHeight="1">
      <c r="A39" s="67">
        <f t="shared" si="177"/>
        <v>46255</v>
      </c>
      <c r="B39" s="138" t="s">
        <v>23</v>
      </c>
      <c r="C39" s="157">
        <f t="shared" si="178"/>
        <v>4</v>
      </c>
      <c r="D39" s="97">
        <f t="shared" ref="D39:L39" si="222">RANDBETWEEN(0,2)</f>
        <v>2</v>
      </c>
      <c r="E39" s="97">
        <f t="shared" si="222"/>
        <v>1</v>
      </c>
      <c r="F39" s="97">
        <f t="shared" si="222"/>
        <v>2</v>
      </c>
      <c r="G39" s="97">
        <f t="shared" si="222"/>
        <v>1</v>
      </c>
      <c r="H39" s="98">
        <f t="shared" si="222"/>
        <v>2</v>
      </c>
      <c r="I39" s="99">
        <f t="shared" si="222"/>
        <v>2</v>
      </c>
      <c r="J39" s="100">
        <f t="shared" si="222"/>
        <v>2</v>
      </c>
      <c r="K39" s="101">
        <f t="shared" si="222"/>
        <v>0</v>
      </c>
      <c r="L39" s="101">
        <f t="shared" si="222"/>
        <v>2</v>
      </c>
      <c r="M39" s="140">
        <f t="shared" si="180"/>
        <v>38</v>
      </c>
      <c r="N39" s="97">
        <f t="shared" ref="N39:T39" si="223">RANDBETWEEN(0,10)</f>
        <v>10</v>
      </c>
      <c r="O39" s="97">
        <f t="shared" si="223"/>
        <v>5</v>
      </c>
      <c r="P39" s="97">
        <f t="shared" si="223"/>
        <v>4</v>
      </c>
      <c r="Q39" s="97">
        <f t="shared" si="223"/>
        <v>7</v>
      </c>
      <c r="R39" s="97">
        <f t="shared" si="223"/>
        <v>1</v>
      </c>
      <c r="S39" s="97">
        <f t="shared" si="223"/>
        <v>7</v>
      </c>
      <c r="T39" s="97">
        <f t="shared" si="223"/>
        <v>4</v>
      </c>
      <c r="U39" s="103">
        <f t="shared" si="224"/>
        <v>16</v>
      </c>
      <c r="V39" s="158">
        <f t="shared" si="217"/>
        <v>3</v>
      </c>
      <c r="W39" s="97">
        <f t="shared" ref="W39:Y39" si="225">RANDBETWEEN(0,2)</f>
        <v>0</v>
      </c>
      <c r="X39" s="97">
        <f t="shared" si="225"/>
        <v>2</v>
      </c>
      <c r="Y39" s="97">
        <f t="shared" si="225"/>
        <v>1</v>
      </c>
      <c r="Z39" s="159">
        <f t="shared" si="226"/>
        <v>3</v>
      </c>
      <c r="AA39" s="143">
        <f t="shared" ref="AA39:AF39" si="227">RANDBETWEEN(0,2)</f>
        <v>1</v>
      </c>
      <c r="AB39" s="143">
        <f t="shared" si="227"/>
        <v>2</v>
      </c>
      <c r="AC39" s="144">
        <f t="shared" si="227"/>
        <v>0</v>
      </c>
      <c r="AD39" s="145">
        <f t="shared" si="227"/>
        <v>2</v>
      </c>
      <c r="AE39" s="145">
        <f t="shared" si="227"/>
        <v>1</v>
      </c>
      <c r="AF39" s="145">
        <f t="shared" si="227"/>
        <v>0</v>
      </c>
      <c r="AG39" s="160">
        <f t="shared" si="187"/>
        <v>3</v>
      </c>
      <c r="AH39" s="144">
        <f t="shared" ref="AH39:AJ39" si="228">RANDBETWEEN(1,10)</f>
        <v>8</v>
      </c>
      <c r="AI39" s="145">
        <f t="shared" si="228"/>
        <v>10</v>
      </c>
      <c r="AJ39" s="145">
        <f t="shared" si="228"/>
        <v>8</v>
      </c>
      <c r="AK39" s="147">
        <f t="shared" si="189"/>
        <v>26</v>
      </c>
      <c r="AL39" s="144"/>
      <c r="AM39" s="145"/>
      <c r="AN39" s="145"/>
      <c r="AO39" s="145"/>
      <c r="AP39" s="148"/>
      <c r="AQ39" s="144"/>
      <c r="AR39" s="145"/>
      <c r="AS39" s="145"/>
      <c r="AT39" s="149"/>
      <c r="AU39" s="144"/>
      <c r="AV39" s="145"/>
      <c r="AW39" s="145"/>
      <c r="AX39" s="150"/>
      <c r="AY39" s="92">
        <f t="shared" ref="AY39:AZ39" si="229">RANDBETWEEN(1,10)/10</f>
        <v>0.8</v>
      </c>
      <c r="AZ39" s="92">
        <f t="shared" si="229"/>
        <v>0.5</v>
      </c>
      <c r="BA39" s="93">
        <v>1.0</v>
      </c>
      <c r="BB39" s="93">
        <v>2.0</v>
      </c>
      <c r="BC39" s="94">
        <f>SUM(BC11,'ГОЧ'!$AY39)</f>
        <v>1200.8</v>
      </c>
      <c r="BD39" s="94">
        <f>SUM(BD11,'ГОЧ'!$AZ39)</f>
        <v>1200.5</v>
      </c>
      <c r="BE39" s="108" t="s">
        <v>165</v>
      </c>
      <c r="BF39" s="108" t="s">
        <v>166</v>
      </c>
    </row>
    <row r="40" ht="15.75" customHeight="1">
      <c r="A40" s="67">
        <f t="shared" si="177"/>
        <v>46255</v>
      </c>
      <c r="B40" s="138" t="s">
        <v>25</v>
      </c>
      <c r="C40" s="157">
        <f t="shared" si="178"/>
        <v>2</v>
      </c>
      <c r="D40" s="97">
        <f t="shared" ref="D40:L40" si="230">RANDBETWEEN(0,2)</f>
        <v>0</v>
      </c>
      <c r="E40" s="97">
        <f t="shared" si="230"/>
        <v>0</v>
      </c>
      <c r="F40" s="97">
        <f t="shared" si="230"/>
        <v>2</v>
      </c>
      <c r="G40" s="97">
        <f t="shared" si="230"/>
        <v>2</v>
      </c>
      <c r="H40" s="98">
        <f t="shared" si="230"/>
        <v>2</v>
      </c>
      <c r="I40" s="99">
        <f t="shared" si="230"/>
        <v>1</v>
      </c>
      <c r="J40" s="100">
        <f t="shared" si="230"/>
        <v>2</v>
      </c>
      <c r="K40" s="101">
        <f t="shared" si="230"/>
        <v>1</v>
      </c>
      <c r="L40" s="101">
        <f t="shared" si="230"/>
        <v>0</v>
      </c>
      <c r="M40" s="140">
        <f t="shared" si="180"/>
        <v>39</v>
      </c>
      <c r="N40" s="97">
        <f t="shared" ref="N40:T40" si="231">RANDBETWEEN(0,10)</f>
        <v>0</v>
      </c>
      <c r="O40" s="97">
        <f t="shared" si="231"/>
        <v>4</v>
      </c>
      <c r="P40" s="97">
        <f t="shared" si="231"/>
        <v>7</v>
      </c>
      <c r="Q40" s="97">
        <f t="shared" si="231"/>
        <v>7</v>
      </c>
      <c r="R40" s="97">
        <f t="shared" si="231"/>
        <v>7</v>
      </c>
      <c r="S40" s="97">
        <f t="shared" si="231"/>
        <v>10</v>
      </c>
      <c r="T40" s="97">
        <f t="shared" si="231"/>
        <v>4</v>
      </c>
      <c r="U40" s="103">
        <f t="shared" si="224"/>
        <v>11</v>
      </c>
      <c r="V40" s="158">
        <f t="shared" si="217"/>
        <v>2</v>
      </c>
      <c r="W40" s="97">
        <f t="shared" ref="W40:Y40" si="232">RANDBETWEEN(0,2)</f>
        <v>0</v>
      </c>
      <c r="X40" s="97">
        <f t="shared" si="232"/>
        <v>0</v>
      </c>
      <c r="Y40" s="97">
        <f t="shared" si="232"/>
        <v>2</v>
      </c>
      <c r="Z40" s="159">
        <f t="shared" si="226"/>
        <v>2</v>
      </c>
      <c r="AA40" s="106">
        <f t="shared" ref="AA40:AF40" si="233">RANDBETWEEN(0,2)</f>
        <v>1</v>
      </c>
      <c r="AB40" s="106">
        <f t="shared" si="233"/>
        <v>1</v>
      </c>
      <c r="AC40" s="107">
        <f t="shared" si="233"/>
        <v>1</v>
      </c>
      <c r="AD40" s="108">
        <f t="shared" si="233"/>
        <v>2</v>
      </c>
      <c r="AE40" s="108">
        <f t="shared" si="233"/>
        <v>1</v>
      </c>
      <c r="AF40" s="108">
        <f t="shared" si="233"/>
        <v>2</v>
      </c>
      <c r="AG40" s="160">
        <f t="shared" si="187"/>
        <v>6</v>
      </c>
      <c r="AH40" s="107">
        <f t="shared" ref="AH40:AJ40" si="234">RANDBETWEEN(1,10)</f>
        <v>6</v>
      </c>
      <c r="AI40" s="108">
        <f t="shared" si="234"/>
        <v>6</v>
      </c>
      <c r="AJ40" s="108">
        <f t="shared" si="234"/>
        <v>7</v>
      </c>
      <c r="AK40" s="147">
        <f t="shared" si="189"/>
        <v>19</v>
      </c>
      <c r="AL40" s="107"/>
      <c r="AM40" s="108"/>
      <c r="AN40" s="108"/>
      <c r="AO40" s="108"/>
      <c r="AP40" s="148"/>
      <c r="AQ40" s="107"/>
      <c r="AR40" s="108"/>
      <c r="AS40" s="108"/>
      <c r="AT40" s="149"/>
      <c r="AU40" s="107"/>
      <c r="AV40" s="108"/>
      <c r="AW40" s="108"/>
      <c r="AX40" s="150"/>
      <c r="AY40" s="92">
        <f t="shared" ref="AY40:AZ40" si="235">RANDBETWEEN(1,10)/10</f>
        <v>0.2</v>
      </c>
      <c r="AZ40" s="92">
        <f t="shared" si="235"/>
        <v>0.3</v>
      </c>
      <c r="BA40" s="93">
        <v>0.0</v>
      </c>
      <c r="BB40" s="93">
        <v>0.0</v>
      </c>
      <c r="BC40" s="94">
        <f>SUM(BC12,'ГОЧ'!$AY40)</f>
        <v>1200.2</v>
      </c>
      <c r="BD40" s="94">
        <f>SUM(BD12,'ГОЧ'!$AZ40)</f>
        <v>1200.3</v>
      </c>
      <c r="BE40" s="108"/>
      <c r="BF40" s="108"/>
    </row>
    <row r="41" ht="15.75" customHeight="1">
      <c r="A41" s="67">
        <f t="shared" si="177"/>
        <v>46255</v>
      </c>
      <c r="B41" s="138" t="s">
        <v>26</v>
      </c>
      <c r="C41" s="157">
        <f t="shared" si="178"/>
        <v>0</v>
      </c>
      <c r="D41" s="97">
        <f t="shared" ref="D41:L41" si="236">RANDBETWEEN(0,2)</f>
        <v>0</v>
      </c>
      <c r="E41" s="97">
        <f t="shared" si="236"/>
        <v>0</v>
      </c>
      <c r="F41" s="97">
        <f t="shared" si="236"/>
        <v>0</v>
      </c>
      <c r="G41" s="97">
        <f t="shared" si="236"/>
        <v>0</v>
      </c>
      <c r="H41" s="98">
        <f t="shared" si="236"/>
        <v>2</v>
      </c>
      <c r="I41" s="99">
        <f t="shared" si="236"/>
        <v>0</v>
      </c>
      <c r="J41" s="100">
        <f t="shared" si="236"/>
        <v>0</v>
      </c>
      <c r="K41" s="101">
        <f t="shared" si="236"/>
        <v>1</v>
      </c>
      <c r="L41" s="101">
        <f t="shared" si="236"/>
        <v>2</v>
      </c>
      <c r="M41" s="140">
        <f t="shared" si="180"/>
        <v>34</v>
      </c>
      <c r="N41" s="97">
        <f t="shared" ref="N41:T41" si="237">RANDBETWEEN(0,10)</f>
        <v>9</v>
      </c>
      <c r="O41" s="97">
        <f t="shared" si="237"/>
        <v>2</v>
      </c>
      <c r="P41" s="97">
        <f t="shared" si="237"/>
        <v>2</v>
      </c>
      <c r="Q41" s="97">
        <f t="shared" si="237"/>
        <v>2</v>
      </c>
      <c r="R41" s="97">
        <f t="shared" si="237"/>
        <v>8</v>
      </c>
      <c r="S41" s="97">
        <f t="shared" si="237"/>
        <v>8</v>
      </c>
      <c r="T41" s="97">
        <f t="shared" si="237"/>
        <v>3</v>
      </c>
      <c r="U41" s="103">
        <f t="shared" si="224"/>
        <v>16</v>
      </c>
      <c r="V41" s="158">
        <f t="shared" si="217"/>
        <v>3</v>
      </c>
      <c r="W41" s="97">
        <f t="shared" ref="W41:Y41" si="238">RANDBETWEEN(0,2)</f>
        <v>1</v>
      </c>
      <c r="X41" s="97">
        <f t="shared" si="238"/>
        <v>2</v>
      </c>
      <c r="Y41" s="97">
        <f t="shared" si="238"/>
        <v>0</v>
      </c>
      <c r="Z41" s="159">
        <f t="shared" si="226"/>
        <v>2</v>
      </c>
      <c r="AA41" s="143">
        <f t="shared" ref="AA41:AF41" si="239">RANDBETWEEN(0,2)</f>
        <v>1</v>
      </c>
      <c r="AB41" s="143">
        <f t="shared" si="239"/>
        <v>1</v>
      </c>
      <c r="AC41" s="144">
        <f t="shared" si="239"/>
        <v>2</v>
      </c>
      <c r="AD41" s="145">
        <f t="shared" si="239"/>
        <v>1</v>
      </c>
      <c r="AE41" s="145">
        <f t="shared" si="239"/>
        <v>1</v>
      </c>
      <c r="AF41" s="145">
        <f t="shared" si="239"/>
        <v>0</v>
      </c>
      <c r="AG41" s="160">
        <f t="shared" si="187"/>
        <v>4</v>
      </c>
      <c r="AH41" s="144">
        <f t="shared" ref="AH41:AJ41" si="240">RANDBETWEEN(1,10)</f>
        <v>8</v>
      </c>
      <c r="AI41" s="145">
        <f t="shared" si="240"/>
        <v>8</v>
      </c>
      <c r="AJ41" s="145">
        <f t="shared" si="240"/>
        <v>1</v>
      </c>
      <c r="AK41" s="147">
        <f t="shared" si="189"/>
        <v>17</v>
      </c>
      <c r="AL41" s="144"/>
      <c r="AM41" s="145"/>
      <c r="AN41" s="145"/>
      <c r="AO41" s="145"/>
      <c r="AP41" s="148"/>
      <c r="AQ41" s="144"/>
      <c r="AR41" s="145"/>
      <c r="AS41" s="145"/>
      <c r="AT41" s="149"/>
      <c r="AU41" s="144"/>
      <c r="AV41" s="145"/>
      <c r="AW41" s="145"/>
      <c r="AX41" s="150"/>
      <c r="AY41" s="92">
        <f t="shared" ref="AY41:AZ41" si="241">RANDBETWEEN(1,10)/10</f>
        <v>0.9</v>
      </c>
      <c r="AZ41" s="92">
        <f t="shared" si="241"/>
        <v>0.6</v>
      </c>
      <c r="BA41" s="93">
        <v>1.0</v>
      </c>
      <c r="BB41" s="93">
        <v>0.0</v>
      </c>
      <c r="BC41" s="94">
        <f>SUM(BC13,'ГОЧ'!$AY41)</f>
        <v>1200.9</v>
      </c>
      <c r="BD41" s="94">
        <f>SUM(BD13,'ГОЧ'!$AZ41)</f>
        <v>1200.6</v>
      </c>
      <c r="BE41" s="108" t="s">
        <v>167</v>
      </c>
      <c r="BF41" s="108"/>
    </row>
    <row r="42" ht="15.75" customHeight="1">
      <c r="A42" s="67">
        <f t="shared" si="177"/>
        <v>46255</v>
      </c>
      <c r="B42" s="138" t="s">
        <v>28</v>
      </c>
      <c r="C42" s="157">
        <f t="shared" si="178"/>
        <v>3</v>
      </c>
      <c r="D42" s="97">
        <f t="shared" ref="D42:L42" si="242">RANDBETWEEN(0,2)</f>
        <v>2</v>
      </c>
      <c r="E42" s="97">
        <f t="shared" si="242"/>
        <v>0</v>
      </c>
      <c r="F42" s="97">
        <f t="shared" si="242"/>
        <v>1</v>
      </c>
      <c r="G42" s="97">
        <f t="shared" si="242"/>
        <v>2</v>
      </c>
      <c r="H42" s="98">
        <f t="shared" si="242"/>
        <v>1</v>
      </c>
      <c r="I42" s="99">
        <f t="shared" si="242"/>
        <v>1</v>
      </c>
      <c r="J42" s="100">
        <f t="shared" si="242"/>
        <v>1</v>
      </c>
      <c r="K42" s="101">
        <f t="shared" si="242"/>
        <v>1</v>
      </c>
      <c r="L42" s="101">
        <f t="shared" si="242"/>
        <v>1</v>
      </c>
      <c r="M42" s="140">
        <f t="shared" si="180"/>
        <v>41</v>
      </c>
      <c r="N42" s="97">
        <f t="shared" ref="N42:T42" si="243">RANDBETWEEN(0,10)</f>
        <v>4</v>
      </c>
      <c r="O42" s="97">
        <f t="shared" si="243"/>
        <v>6</v>
      </c>
      <c r="P42" s="97">
        <f t="shared" si="243"/>
        <v>2</v>
      </c>
      <c r="Q42" s="97">
        <f t="shared" si="243"/>
        <v>8</v>
      </c>
      <c r="R42" s="97">
        <f t="shared" si="243"/>
        <v>7</v>
      </c>
      <c r="S42" s="97">
        <f t="shared" si="243"/>
        <v>7</v>
      </c>
      <c r="T42" s="97">
        <f t="shared" si="243"/>
        <v>7</v>
      </c>
      <c r="U42" s="103">
        <f t="shared" si="224"/>
        <v>14</v>
      </c>
      <c r="V42" s="158">
        <f t="shared" si="217"/>
        <v>4</v>
      </c>
      <c r="W42" s="97">
        <f t="shared" ref="W42:Y42" si="244">RANDBETWEEN(0,2)</f>
        <v>0</v>
      </c>
      <c r="X42" s="97">
        <f t="shared" si="244"/>
        <v>2</v>
      </c>
      <c r="Y42" s="97">
        <f t="shared" si="244"/>
        <v>2</v>
      </c>
      <c r="Z42" s="159">
        <f t="shared" si="226"/>
        <v>4</v>
      </c>
      <c r="AA42" s="106">
        <f t="shared" ref="AA42:AF42" si="245">RANDBETWEEN(0,2)</f>
        <v>2</v>
      </c>
      <c r="AB42" s="106">
        <f t="shared" si="245"/>
        <v>2</v>
      </c>
      <c r="AC42" s="107">
        <f t="shared" si="245"/>
        <v>1</v>
      </c>
      <c r="AD42" s="108">
        <f t="shared" si="245"/>
        <v>2</v>
      </c>
      <c r="AE42" s="108">
        <f t="shared" si="245"/>
        <v>2</v>
      </c>
      <c r="AF42" s="108">
        <f t="shared" si="245"/>
        <v>2</v>
      </c>
      <c r="AG42" s="160">
        <f t="shared" si="187"/>
        <v>7</v>
      </c>
      <c r="AH42" s="107">
        <f t="shared" ref="AH42:AJ42" si="246">RANDBETWEEN(1,10)</f>
        <v>1</v>
      </c>
      <c r="AI42" s="108">
        <f t="shared" si="246"/>
        <v>4</v>
      </c>
      <c r="AJ42" s="108">
        <f t="shared" si="246"/>
        <v>6</v>
      </c>
      <c r="AK42" s="147">
        <f t="shared" si="189"/>
        <v>11</v>
      </c>
      <c r="AL42" s="107"/>
      <c r="AM42" s="108"/>
      <c r="AN42" s="108"/>
      <c r="AO42" s="108"/>
      <c r="AP42" s="148"/>
      <c r="AQ42" s="107"/>
      <c r="AR42" s="108"/>
      <c r="AS42" s="108"/>
      <c r="AT42" s="149"/>
      <c r="AU42" s="107"/>
      <c r="AV42" s="108"/>
      <c r="AW42" s="108"/>
      <c r="AX42" s="150"/>
      <c r="AY42" s="92">
        <f t="shared" ref="AY42:AZ42" si="247">RANDBETWEEN(1,10)/10</f>
        <v>0.2</v>
      </c>
      <c r="AZ42" s="92">
        <f t="shared" si="247"/>
        <v>0.2</v>
      </c>
      <c r="BA42" s="93">
        <v>0.0</v>
      </c>
      <c r="BB42" s="93">
        <v>1.0</v>
      </c>
      <c r="BC42" s="94">
        <f>SUM(BC14,'ГОЧ'!$AY42)</f>
        <v>1200.2</v>
      </c>
      <c r="BD42" s="94">
        <f>SUM(BD14,'ГОЧ'!$AZ42)</f>
        <v>1200.2</v>
      </c>
      <c r="BE42" s="108"/>
      <c r="BF42" s="108" t="s">
        <v>168</v>
      </c>
    </row>
    <row r="43" ht="15.75" customHeight="1">
      <c r="A43" s="67">
        <f t="shared" si="177"/>
        <v>46255</v>
      </c>
      <c r="B43" s="114" t="s">
        <v>29</v>
      </c>
      <c r="C43" s="164">
        <f t="shared" si="178"/>
        <v>10</v>
      </c>
      <c r="D43" s="165">
        <f t="shared" ref="D43:L43" si="248">D38+D39+D40+D41+D42</f>
        <v>5</v>
      </c>
      <c r="E43" s="165">
        <f t="shared" si="248"/>
        <v>3</v>
      </c>
      <c r="F43" s="165">
        <f t="shared" si="248"/>
        <v>5</v>
      </c>
      <c r="G43" s="165">
        <f t="shared" si="248"/>
        <v>5</v>
      </c>
      <c r="H43" s="164">
        <f t="shared" si="248"/>
        <v>8</v>
      </c>
      <c r="I43" s="165">
        <f t="shared" si="248"/>
        <v>5</v>
      </c>
      <c r="J43" s="164">
        <f t="shared" si="248"/>
        <v>6</v>
      </c>
      <c r="K43" s="165">
        <f t="shared" si="248"/>
        <v>4</v>
      </c>
      <c r="L43" s="165">
        <f t="shared" si="248"/>
        <v>6</v>
      </c>
      <c r="M43" s="164">
        <f t="shared" si="180"/>
        <v>194</v>
      </c>
      <c r="N43" s="164">
        <f t="shared" ref="N43:U43" si="249">N38+N39+N40+N41+N42</f>
        <v>32</v>
      </c>
      <c r="O43" s="165">
        <f t="shared" si="249"/>
        <v>26</v>
      </c>
      <c r="P43" s="165">
        <f t="shared" si="249"/>
        <v>19</v>
      </c>
      <c r="Q43" s="165">
        <f t="shared" si="249"/>
        <v>28</v>
      </c>
      <c r="R43" s="165">
        <f t="shared" si="249"/>
        <v>28</v>
      </c>
      <c r="S43" s="165">
        <f t="shared" si="249"/>
        <v>34</v>
      </c>
      <c r="T43" s="165">
        <f t="shared" si="249"/>
        <v>27</v>
      </c>
      <c r="U43" s="164">
        <f t="shared" si="249"/>
        <v>85</v>
      </c>
      <c r="V43" s="164">
        <f t="shared" si="217"/>
        <v>15</v>
      </c>
      <c r="W43" s="165">
        <f t="shared" ref="W43:Y43" si="250">W38+W39+W40+W41+W42</f>
        <v>2</v>
      </c>
      <c r="X43" s="165">
        <f t="shared" si="250"/>
        <v>7</v>
      </c>
      <c r="Y43" s="165">
        <f t="shared" si="250"/>
        <v>6</v>
      </c>
      <c r="Z43" s="165">
        <f t="shared" si="226"/>
        <v>15</v>
      </c>
      <c r="AA43" s="165">
        <f t="shared" ref="AA43:AC43" si="251">AA38+AA39+AA40+AA41+AA42</f>
        <v>7</v>
      </c>
      <c r="AB43" s="165">
        <f t="shared" si="251"/>
        <v>8</v>
      </c>
      <c r="AC43" s="166">
        <f t="shared" si="251"/>
        <v>4</v>
      </c>
      <c r="AD43" s="167">
        <f>AE38+AD39+AD40+AD41+AD42</f>
        <v>9</v>
      </c>
      <c r="AE43" s="167">
        <f t="shared" ref="AE43:AF43" si="252">AE38+AE39+AE40+AE41+AE42</f>
        <v>7</v>
      </c>
      <c r="AF43" s="167">
        <f t="shared" si="252"/>
        <v>5</v>
      </c>
      <c r="AG43" s="168">
        <f t="shared" si="187"/>
        <v>25</v>
      </c>
      <c r="AH43" s="166">
        <f t="shared" ref="AH43:AJ43" si="253">AH38+AH39+AH40+AH41+AH42</f>
        <v>30</v>
      </c>
      <c r="AI43" s="166">
        <f t="shared" si="253"/>
        <v>31</v>
      </c>
      <c r="AJ43" s="166">
        <f t="shared" si="253"/>
        <v>30</v>
      </c>
      <c r="AK43" s="168">
        <f t="shared" si="189"/>
        <v>91</v>
      </c>
      <c r="AL43" s="166"/>
      <c r="AM43" s="167"/>
      <c r="AN43" s="167"/>
      <c r="AO43" s="167"/>
      <c r="AP43" s="169"/>
      <c r="AQ43" s="166"/>
      <c r="AR43" s="166"/>
      <c r="AS43" s="166"/>
      <c r="AT43" s="170"/>
      <c r="AU43" s="166"/>
      <c r="AV43" s="166"/>
      <c r="AW43" s="166"/>
      <c r="AX43" s="171"/>
      <c r="AY43" s="172">
        <f t="shared" ref="AY43:BD43" si="254">AY38+AY39+AY40+AY41+AY42</f>
        <v>3</v>
      </c>
      <c r="AZ43" s="172">
        <f t="shared" si="254"/>
        <v>2.3</v>
      </c>
      <c r="BA43" s="166">
        <f t="shared" si="254"/>
        <v>3</v>
      </c>
      <c r="BB43" s="166">
        <f t="shared" si="254"/>
        <v>3</v>
      </c>
      <c r="BC43" s="173">
        <f t="shared" si="254"/>
        <v>6003</v>
      </c>
      <c r="BD43" s="173">
        <f t="shared" si="254"/>
        <v>6002.3</v>
      </c>
      <c r="BE43" s="154" t="str">
        <f t="shared" ref="BE43:BF43" si="255">TEXTJOIN(", ",TRUE,BE38:BE42)</f>
        <v>Олександівка, Пантелеймонівка, Миколаївка</v>
      </c>
      <c r="BF43" s="154" t="str">
        <f t="shared" si="255"/>
        <v>Загреблі, Верхні води, Ступочки</v>
      </c>
    </row>
    <row r="44" ht="15.75" customHeight="1">
      <c r="A44" s="67">
        <f t="shared" si="177"/>
        <v>46255</v>
      </c>
      <c r="B44" s="124" t="s">
        <v>31</v>
      </c>
      <c r="C44" s="174">
        <f t="shared" si="178"/>
        <v>1</v>
      </c>
      <c r="D44" s="175">
        <f t="shared" ref="D44:L44" si="256">RANDBETWEEN(0,2)</f>
        <v>0</v>
      </c>
      <c r="E44" s="175">
        <f t="shared" si="256"/>
        <v>1</v>
      </c>
      <c r="F44" s="175">
        <f t="shared" si="256"/>
        <v>1</v>
      </c>
      <c r="G44" s="175">
        <f t="shared" si="256"/>
        <v>1</v>
      </c>
      <c r="H44" s="176">
        <f t="shared" si="256"/>
        <v>2</v>
      </c>
      <c r="I44" s="177">
        <f t="shared" si="256"/>
        <v>2</v>
      </c>
      <c r="J44" s="178">
        <f t="shared" si="256"/>
        <v>0</v>
      </c>
      <c r="K44" s="179">
        <f t="shared" si="256"/>
        <v>1</v>
      </c>
      <c r="L44" s="179">
        <f t="shared" si="256"/>
        <v>1</v>
      </c>
      <c r="M44" s="180">
        <f t="shared" si="180"/>
        <v>35</v>
      </c>
      <c r="N44" s="175">
        <f t="shared" ref="N44:T44" si="257">RANDBETWEEN(0,10)</f>
        <v>1</v>
      </c>
      <c r="O44" s="175">
        <f t="shared" si="257"/>
        <v>5</v>
      </c>
      <c r="P44" s="175">
        <f t="shared" si="257"/>
        <v>8</v>
      </c>
      <c r="Q44" s="175">
        <f t="shared" si="257"/>
        <v>2</v>
      </c>
      <c r="R44" s="175">
        <f t="shared" si="257"/>
        <v>5</v>
      </c>
      <c r="S44" s="175">
        <f t="shared" si="257"/>
        <v>5</v>
      </c>
      <c r="T44" s="175">
        <f t="shared" si="257"/>
        <v>9</v>
      </c>
      <c r="U44" s="181">
        <f t="shared" ref="U44:U49" si="264">RANDBETWEEN(10,30)</f>
        <v>28</v>
      </c>
      <c r="V44" s="182">
        <f t="shared" si="217"/>
        <v>3</v>
      </c>
      <c r="W44" s="175">
        <f t="shared" ref="W44:Y44" si="258">RANDBETWEEN(0,2)</f>
        <v>2</v>
      </c>
      <c r="X44" s="175">
        <f t="shared" si="258"/>
        <v>1</v>
      </c>
      <c r="Y44" s="175">
        <f t="shared" si="258"/>
        <v>0</v>
      </c>
      <c r="Z44" s="183">
        <f t="shared" si="226"/>
        <v>3</v>
      </c>
      <c r="AA44" s="184">
        <f t="shared" ref="AA44:AF44" si="259">RANDBETWEEN(0,2)</f>
        <v>2</v>
      </c>
      <c r="AB44" s="184">
        <f t="shared" si="259"/>
        <v>1</v>
      </c>
      <c r="AC44" s="185">
        <f t="shared" si="259"/>
        <v>1</v>
      </c>
      <c r="AD44" s="186">
        <f t="shared" si="259"/>
        <v>2</v>
      </c>
      <c r="AE44" s="186">
        <f t="shared" si="259"/>
        <v>0</v>
      </c>
      <c r="AF44" s="186">
        <f t="shared" si="259"/>
        <v>2</v>
      </c>
      <c r="AG44" s="187">
        <f t="shared" si="187"/>
        <v>5</v>
      </c>
      <c r="AH44" s="185">
        <f t="shared" ref="AH44:AJ44" si="260">RANDBETWEEN(1,10)</f>
        <v>7</v>
      </c>
      <c r="AI44" s="186">
        <f t="shared" si="260"/>
        <v>7</v>
      </c>
      <c r="AJ44" s="186">
        <f t="shared" si="260"/>
        <v>2</v>
      </c>
      <c r="AK44" s="188">
        <f t="shared" si="189"/>
        <v>16</v>
      </c>
      <c r="AL44" s="185"/>
      <c r="AM44" s="186"/>
      <c r="AN44" s="186"/>
      <c r="AO44" s="186"/>
      <c r="AP44" s="189"/>
      <c r="AQ44" s="185"/>
      <c r="AR44" s="186"/>
      <c r="AS44" s="186"/>
      <c r="AT44" s="190"/>
      <c r="AU44" s="185"/>
      <c r="AV44" s="186"/>
      <c r="AW44" s="186"/>
      <c r="AX44" s="191"/>
      <c r="AY44" s="92">
        <f t="shared" ref="AY44:AZ44" si="261">RANDBETWEEN(1,10)/10</f>
        <v>0.2</v>
      </c>
      <c r="AZ44" s="92">
        <f t="shared" si="261"/>
        <v>0.9</v>
      </c>
      <c r="BA44" s="93">
        <v>0.0</v>
      </c>
      <c r="BB44" s="93">
        <v>0.0</v>
      </c>
      <c r="BC44" s="94">
        <f>SUM(BC16,'ГОЧ'!$AY44)</f>
        <v>1200.2</v>
      </c>
      <c r="BD44" s="94">
        <f>SUM(BD16,'ГОЧ'!$AZ44)</f>
        <v>1200.9</v>
      </c>
      <c r="BE44" s="186"/>
      <c r="BF44" s="186"/>
    </row>
    <row r="45" ht="15.75" customHeight="1">
      <c r="A45" s="67">
        <f t="shared" si="177"/>
        <v>46255</v>
      </c>
      <c r="B45" s="138" t="s">
        <v>33</v>
      </c>
      <c r="C45" s="157">
        <f t="shared" si="178"/>
        <v>1</v>
      </c>
      <c r="D45" s="97">
        <f t="shared" ref="D45:L45" si="262">RANDBETWEEN(0,2)</f>
        <v>0</v>
      </c>
      <c r="E45" s="97">
        <f t="shared" si="262"/>
        <v>0</v>
      </c>
      <c r="F45" s="97">
        <f t="shared" si="262"/>
        <v>1</v>
      </c>
      <c r="G45" s="97">
        <f t="shared" si="262"/>
        <v>1</v>
      </c>
      <c r="H45" s="98">
        <f t="shared" si="262"/>
        <v>0</v>
      </c>
      <c r="I45" s="99">
        <f t="shared" si="262"/>
        <v>1</v>
      </c>
      <c r="J45" s="100">
        <f t="shared" si="262"/>
        <v>1</v>
      </c>
      <c r="K45" s="101">
        <f t="shared" si="262"/>
        <v>1</v>
      </c>
      <c r="L45" s="101">
        <f t="shared" si="262"/>
        <v>2</v>
      </c>
      <c r="M45" s="140">
        <f t="shared" si="180"/>
        <v>42</v>
      </c>
      <c r="N45" s="97">
        <f t="shared" ref="N45:T45" si="263">RANDBETWEEN(0,10)</f>
        <v>6</v>
      </c>
      <c r="O45" s="97">
        <f t="shared" si="263"/>
        <v>9</v>
      </c>
      <c r="P45" s="97">
        <f t="shared" si="263"/>
        <v>2</v>
      </c>
      <c r="Q45" s="97">
        <f t="shared" si="263"/>
        <v>2</v>
      </c>
      <c r="R45" s="97">
        <f t="shared" si="263"/>
        <v>7</v>
      </c>
      <c r="S45" s="97">
        <f t="shared" si="263"/>
        <v>9</v>
      </c>
      <c r="T45" s="97">
        <f t="shared" si="263"/>
        <v>7</v>
      </c>
      <c r="U45" s="103">
        <f t="shared" si="264"/>
        <v>16</v>
      </c>
      <c r="V45" s="158">
        <f t="shared" si="217"/>
        <v>6</v>
      </c>
      <c r="W45" s="97">
        <f t="shared" ref="W45:Y45" si="265">RANDBETWEEN(0,2)</f>
        <v>2</v>
      </c>
      <c r="X45" s="97">
        <f t="shared" si="265"/>
        <v>2</v>
      </c>
      <c r="Y45" s="97">
        <f t="shared" si="265"/>
        <v>2</v>
      </c>
      <c r="Z45" s="105">
        <f t="shared" si="226"/>
        <v>2</v>
      </c>
      <c r="AA45" s="143">
        <f t="shared" ref="AA45:AF45" si="266">RANDBETWEEN(0,2)</f>
        <v>2</v>
      </c>
      <c r="AB45" s="143">
        <f t="shared" si="266"/>
        <v>0</v>
      </c>
      <c r="AC45" s="144">
        <f t="shared" si="266"/>
        <v>1</v>
      </c>
      <c r="AD45" s="145">
        <f t="shared" si="266"/>
        <v>2</v>
      </c>
      <c r="AE45" s="145">
        <f t="shared" si="266"/>
        <v>1</v>
      </c>
      <c r="AF45" s="145">
        <f t="shared" si="266"/>
        <v>0</v>
      </c>
      <c r="AG45" s="86">
        <f t="shared" si="187"/>
        <v>4</v>
      </c>
      <c r="AH45" s="144">
        <f t="shared" ref="AH45:AJ45" si="267">RANDBETWEEN(1,10)</f>
        <v>9</v>
      </c>
      <c r="AI45" s="145">
        <f t="shared" si="267"/>
        <v>2</v>
      </c>
      <c r="AJ45" s="145">
        <f t="shared" si="267"/>
        <v>8</v>
      </c>
      <c r="AK45" s="192">
        <f t="shared" si="189"/>
        <v>19</v>
      </c>
      <c r="AL45" s="144"/>
      <c r="AM45" s="145"/>
      <c r="AN45" s="145"/>
      <c r="AO45" s="145"/>
      <c r="AP45" s="89"/>
      <c r="AQ45" s="144"/>
      <c r="AR45" s="145"/>
      <c r="AS45" s="145"/>
      <c r="AT45" s="193"/>
      <c r="AU45" s="144"/>
      <c r="AV45" s="145"/>
      <c r="AW45" s="145"/>
      <c r="AX45" s="194"/>
      <c r="AY45" s="92">
        <f t="shared" ref="AY45:AZ45" si="268">RANDBETWEEN(1,10)/10</f>
        <v>0.9</v>
      </c>
      <c r="AZ45" s="92">
        <f t="shared" si="268"/>
        <v>0.8</v>
      </c>
      <c r="BA45" s="93">
        <v>0.0</v>
      </c>
      <c r="BB45" s="93">
        <v>0.0</v>
      </c>
      <c r="BC45" s="94">
        <f>SUM(BC17,'ГОЧ'!$AY45)</f>
        <v>1200.9</v>
      </c>
      <c r="BD45" s="94">
        <f>SUM(BD17,'ГОЧ'!$AZ45)</f>
        <v>1200.8</v>
      </c>
      <c r="BE45" s="108"/>
      <c r="BF45" s="108"/>
    </row>
    <row r="46" ht="15.75" customHeight="1">
      <c r="A46" s="67">
        <f t="shared" si="177"/>
        <v>46255</v>
      </c>
      <c r="B46" s="138" t="s">
        <v>35</v>
      </c>
      <c r="C46" s="157">
        <f t="shared" si="178"/>
        <v>2</v>
      </c>
      <c r="D46" s="97">
        <f t="shared" ref="D46:L46" si="269">RANDBETWEEN(0,2)</f>
        <v>1</v>
      </c>
      <c r="E46" s="97">
        <f t="shared" si="269"/>
        <v>1</v>
      </c>
      <c r="F46" s="97">
        <f t="shared" si="269"/>
        <v>1</v>
      </c>
      <c r="G46" s="97">
        <f t="shared" si="269"/>
        <v>2</v>
      </c>
      <c r="H46" s="98">
        <f t="shared" si="269"/>
        <v>0</v>
      </c>
      <c r="I46" s="99">
        <f t="shared" si="269"/>
        <v>2</v>
      </c>
      <c r="J46" s="100">
        <f t="shared" si="269"/>
        <v>2</v>
      </c>
      <c r="K46" s="101">
        <f t="shared" si="269"/>
        <v>0</v>
      </c>
      <c r="L46" s="101">
        <f t="shared" si="269"/>
        <v>0</v>
      </c>
      <c r="M46" s="140">
        <f t="shared" si="180"/>
        <v>28</v>
      </c>
      <c r="N46" s="97">
        <f t="shared" ref="N46:T46" si="270">RANDBETWEEN(0,10)</f>
        <v>7</v>
      </c>
      <c r="O46" s="97">
        <f t="shared" si="270"/>
        <v>2</v>
      </c>
      <c r="P46" s="97">
        <f t="shared" si="270"/>
        <v>2</v>
      </c>
      <c r="Q46" s="97">
        <f t="shared" si="270"/>
        <v>1</v>
      </c>
      <c r="R46" s="97">
        <f t="shared" si="270"/>
        <v>3</v>
      </c>
      <c r="S46" s="97">
        <f t="shared" si="270"/>
        <v>5</v>
      </c>
      <c r="T46" s="97">
        <f t="shared" si="270"/>
        <v>8</v>
      </c>
      <c r="U46" s="103">
        <f t="shared" si="264"/>
        <v>16</v>
      </c>
      <c r="V46" s="158">
        <f t="shared" si="217"/>
        <v>4</v>
      </c>
      <c r="W46" s="97">
        <f t="shared" ref="W46:Y46" si="271">RANDBETWEEN(0,2)</f>
        <v>2</v>
      </c>
      <c r="X46" s="97">
        <f t="shared" si="271"/>
        <v>0</v>
      </c>
      <c r="Y46" s="97">
        <f t="shared" si="271"/>
        <v>2</v>
      </c>
      <c r="Z46" s="105">
        <f t="shared" si="226"/>
        <v>1</v>
      </c>
      <c r="AA46" s="106">
        <f t="shared" ref="AA46:AF46" si="272">RANDBETWEEN(0,2)</f>
        <v>0</v>
      </c>
      <c r="AB46" s="106">
        <f t="shared" si="272"/>
        <v>1</v>
      </c>
      <c r="AC46" s="107">
        <f t="shared" si="272"/>
        <v>0</v>
      </c>
      <c r="AD46" s="108">
        <f t="shared" si="272"/>
        <v>1</v>
      </c>
      <c r="AE46" s="108">
        <f t="shared" si="272"/>
        <v>2</v>
      </c>
      <c r="AF46" s="108">
        <f t="shared" si="272"/>
        <v>1</v>
      </c>
      <c r="AG46" s="86">
        <f t="shared" si="187"/>
        <v>4</v>
      </c>
      <c r="AH46" s="107">
        <f t="shared" ref="AH46:AJ46" si="273">RANDBETWEEN(1,10)</f>
        <v>5</v>
      </c>
      <c r="AI46" s="108">
        <f t="shared" si="273"/>
        <v>4</v>
      </c>
      <c r="AJ46" s="108">
        <f t="shared" si="273"/>
        <v>4</v>
      </c>
      <c r="AK46" s="192">
        <f t="shared" si="189"/>
        <v>13</v>
      </c>
      <c r="AL46" s="107"/>
      <c r="AM46" s="108"/>
      <c r="AN46" s="108"/>
      <c r="AO46" s="108"/>
      <c r="AP46" s="89"/>
      <c r="AQ46" s="107"/>
      <c r="AR46" s="108"/>
      <c r="AS46" s="108"/>
      <c r="AT46" s="193"/>
      <c r="AU46" s="107"/>
      <c r="AV46" s="108"/>
      <c r="AW46" s="108"/>
      <c r="AX46" s="194"/>
      <c r="AY46" s="92">
        <f t="shared" ref="AY46:AZ46" si="274">RANDBETWEEN(1,10)/10</f>
        <v>0.7</v>
      </c>
      <c r="AZ46" s="92">
        <f t="shared" si="274"/>
        <v>1</v>
      </c>
      <c r="BA46" s="93">
        <v>0.0</v>
      </c>
      <c r="BB46" s="93">
        <v>0.0</v>
      </c>
      <c r="BC46" s="94">
        <f>SUM(BC18,'ГОЧ'!$AY46)</f>
        <v>1200.7</v>
      </c>
      <c r="BD46" s="94">
        <f>SUM(BD18,'ГОЧ'!$AZ46)</f>
        <v>1201</v>
      </c>
      <c r="BE46" s="108"/>
      <c r="BF46" s="108"/>
    </row>
    <row r="47" ht="15.75" customHeight="1">
      <c r="A47" s="67">
        <f t="shared" si="177"/>
        <v>46255</v>
      </c>
      <c r="B47" s="138" t="s">
        <v>36</v>
      </c>
      <c r="C47" s="157">
        <f t="shared" si="178"/>
        <v>1</v>
      </c>
      <c r="D47" s="97">
        <f t="shared" ref="D47:L47" si="275">RANDBETWEEN(0,2)</f>
        <v>0</v>
      </c>
      <c r="E47" s="97">
        <f t="shared" si="275"/>
        <v>0</v>
      </c>
      <c r="F47" s="97">
        <f t="shared" si="275"/>
        <v>1</v>
      </c>
      <c r="G47" s="97">
        <f t="shared" si="275"/>
        <v>2</v>
      </c>
      <c r="H47" s="98">
        <f t="shared" si="275"/>
        <v>0</v>
      </c>
      <c r="I47" s="99">
        <f t="shared" si="275"/>
        <v>0</v>
      </c>
      <c r="J47" s="100">
        <f t="shared" si="275"/>
        <v>2</v>
      </c>
      <c r="K47" s="101">
        <f t="shared" si="275"/>
        <v>1</v>
      </c>
      <c r="L47" s="101">
        <f t="shared" si="275"/>
        <v>1</v>
      </c>
      <c r="M47" s="140">
        <f t="shared" si="180"/>
        <v>38</v>
      </c>
      <c r="N47" s="97">
        <f t="shared" ref="N47:T47" si="276">RANDBETWEEN(0,10)</f>
        <v>8</v>
      </c>
      <c r="O47" s="97">
        <f t="shared" si="276"/>
        <v>6</v>
      </c>
      <c r="P47" s="97">
        <f t="shared" si="276"/>
        <v>2</v>
      </c>
      <c r="Q47" s="97">
        <f t="shared" si="276"/>
        <v>4</v>
      </c>
      <c r="R47" s="97">
        <f t="shared" si="276"/>
        <v>7</v>
      </c>
      <c r="S47" s="97">
        <f t="shared" si="276"/>
        <v>10</v>
      </c>
      <c r="T47" s="97">
        <f t="shared" si="276"/>
        <v>1</v>
      </c>
      <c r="U47" s="103">
        <f t="shared" si="264"/>
        <v>18</v>
      </c>
      <c r="V47" s="158">
        <f t="shared" si="217"/>
        <v>0</v>
      </c>
      <c r="W47" s="97">
        <f t="shared" ref="W47:Y47" si="277">RANDBETWEEN(0,2)</f>
        <v>0</v>
      </c>
      <c r="X47" s="97">
        <f t="shared" si="277"/>
        <v>0</v>
      </c>
      <c r="Y47" s="97">
        <f t="shared" si="277"/>
        <v>0</v>
      </c>
      <c r="Z47" s="105">
        <f t="shared" si="226"/>
        <v>1</v>
      </c>
      <c r="AA47" s="143">
        <f t="shared" ref="AA47:AF47" si="278">RANDBETWEEN(0,2)</f>
        <v>1</v>
      </c>
      <c r="AB47" s="143">
        <f t="shared" si="278"/>
        <v>0</v>
      </c>
      <c r="AC47" s="144">
        <f t="shared" si="278"/>
        <v>0</v>
      </c>
      <c r="AD47" s="145">
        <f t="shared" si="278"/>
        <v>2</v>
      </c>
      <c r="AE47" s="145">
        <f t="shared" si="278"/>
        <v>2</v>
      </c>
      <c r="AF47" s="145">
        <f t="shared" si="278"/>
        <v>2</v>
      </c>
      <c r="AG47" s="86">
        <f t="shared" si="187"/>
        <v>6</v>
      </c>
      <c r="AH47" s="144">
        <f t="shared" ref="AH47:AJ47" si="279">RANDBETWEEN(1,10)</f>
        <v>9</v>
      </c>
      <c r="AI47" s="145">
        <f t="shared" si="279"/>
        <v>10</v>
      </c>
      <c r="AJ47" s="145">
        <f t="shared" si="279"/>
        <v>6</v>
      </c>
      <c r="AK47" s="192">
        <f t="shared" si="189"/>
        <v>25</v>
      </c>
      <c r="AL47" s="144"/>
      <c r="AM47" s="145"/>
      <c r="AN47" s="145"/>
      <c r="AO47" s="145"/>
      <c r="AP47" s="89"/>
      <c r="AQ47" s="144"/>
      <c r="AR47" s="145"/>
      <c r="AS47" s="145"/>
      <c r="AT47" s="193"/>
      <c r="AU47" s="144"/>
      <c r="AV47" s="145"/>
      <c r="AW47" s="145"/>
      <c r="AX47" s="194"/>
      <c r="AY47" s="92">
        <f t="shared" ref="AY47:AZ47" si="280">RANDBETWEEN(1,10)/10</f>
        <v>1</v>
      </c>
      <c r="AZ47" s="92">
        <f t="shared" si="280"/>
        <v>0.6</v>
      </c>
      <c r="BA47" s="93">
        <v>0.0</v>
      </c>
      <c r="BB47" s="93">
        <v>0.0</v>
      </c>
      <c r="BC47" s="94">
        <f>SUM(BC19,'ГОЧ'!$AY47)</f>
        <v>1201</v>
      </c>
      <c r="BD47" s="94">
        <f>SUM(BD19,'ГОЧ'!$AZ47)</f>
        <v>1200.6</v>
      </c>
      <c r="BE47" s="108"/>
      <c r="BF47" s="108"/>
    </row>
    <row r="48" ht="15.75" customHeight="1">
      <c r="A48" s="67">
        <f t="shared" si="177"/>
        <v>46255</v>
      </c>
      <c r="B48" s="195" t="s">
        <v>38</v>
      </c>
      <c r="C48" s="157">
        <f t="shared" si="178"/>
        <v>3</v>
      </c>
      <c r="D48" s="97">
        <f t="shared" ref="D48:L48" si="281">RANDBETWEEN(0,2)</f>
        <v>2</v>
      </c>
      <c r="E48" s="97">
        <f t="shared" si="281"/>
        <v>1</v>
      </c>
      <c r="F48" s="97">
        <f t="shared" si="281"/>
        <v>1</v>
      </c>
      <c r="G48" s="97">
        <f t="shared" si="281"/>
        <v>2</v>
      </c>
      <c r="H48" s="98">
        <f t="shared" si="281"/>
        <v>0</v>
      </c>
      <c r="I48" s="99">
        <f t="shared" si="281"/>
        <v>2</v>
      </c>
      <c r="J48" s="100">
        <f t="shared" si="281"/>
        <v>1</v>
      </c>
      <c r="K48" s="101">
        <f t="shared" si="281"/>
        <v>2</v>
      </c>
      <c r="L48" s="101">
        <f t="shared" si="281"/>
        <v>2</v>
      </c>
      <c r="M48" s="140">
        <f t="shared" si="180"/>
        <v>34</v>
      </c>
      <c r="N48" s="97">
        <f t="shared" ref="N48:T48" si="282">RANDBETWEEN(0,10)</f>
        <v>2</v>
      </c>
      <c r="O48" s="97">
        <f t="shared" si="282"/>
        <v>3</v>
      </c>
      <c r="P48" s="97">
        <f t="shared" si="282"/>
        <v>5</v>
      </c>
      <c r="Q48" s="97">
        <f t="shared" si="282"/>
        <v>0</v>
      </c>
      <c r="R48" s="97">
        <f t="shared" si="282"/>
        <v>7</v>
      </c>
      <c r="S48" s="97">
        <f t="shared" si="282"/>
        <v>9</v>
      </c>
      <c r="T48" s="97">
        <f t="shared" si="282"/>
        <v>8</v>
      </c>
      <c r="U48" s="103">
        <f t="shared" si="264"/>
        <v>27</v>
      </c>
      <c r="V48" s="158">
        <f t="shared" si="217"/>
        <v>2</v>
      </c>
      <c r="W48" s="97">
        <f t="shared" ref="W48:Y48" si="283">RANDBETWEEN(0,2)</f>
        <v>0</v>
      </c>
      <c r="X48" s="97">
        <f t="shared" si="283"/>
        <v>2</v>
      </c>
      <c r="Y48" s="97">
        <f t="shared" si="283"/>
        <v>0</v>
      </c>
      <c r="Z48" s="105">
        <f t="shared" si="226"/>
        <v>2</v>
      </c>
      <c r="AA48" s="106">
        <f t="shared" ref="AA48:AF48" si="284">RANDBETWEEN(0,2)</f>
        <v>0</v>
      </c>
      <c r="AB48" s="106">
        <f t="shared" si="284"/>
        <v>2</v>
      </c>
      <c r="AC48" s="107">
        <f t="shared" si="284"/>
        <v>0</v>
      </c>
      <c r="AD48" s="108">
        <f t="shared" si="284"/>
        <v>1</v>
      </c>
      <c r="AE48" s="108">
        <f t="shared" si="284"/>
        <v>2</v>
      </c>
      <c r="AF48" s="108">
        <f t="shared" si="284"/>
        <v>0</v>
      </c>
      <c r="AG48" s="86">
        <f t="shared" si="187"/>
        <v>3</v>
      </c>
      <c r="AH48" s="107">
        <f t="shared" ref="AH48:AJ48" si="285">RANDBETWEEN(1,10)</f>
        <v>10</v>
      </c>
      <c r="AI48" s="108">
        <f t="shared" si="285"/>
        <v>10</v>
      </c>
      <c r="AJ48" s="108">
        <f t="shared" si="285"/>
        <v>5</v>
      </c>
      <c r="AK48" s="192">
        <f t="shared" si="189"/>
        <v>25</v>
      </c>
      <c r="AL48" s="107"/>
      <c r="AM48" s="108"/>
      <c r="AN48" s="108"/>
      <c r="AO48" s="108"/>
      <c r="AP48" s="89"/>
      <c r="AQ48" s="107"/>
      <c r="AR48" s="108"/>
      <c r="AS48" s="108"/>
      <c r="AT48" s="193"/>
      <c r="AU48" s="107"/>
      <c r="AV48" s="108"/>
      <c r="AW48" s="108"/>
      <c r="AX48" s="194"/>
      <c r="AY48" s="92">
        <f t="shared" ref="AY48:AZ48" si="286">RANDBETWEEN(1,10)/10</f>
        <v>0.7</v>
      </c>
      <c r="AZ48" s="92">
        <f t="shared" si="286"/>
        <v>0.2</v>
      </c>
      <c r="BA48" s="93">
        <v>0.0</v>
      </c>
      <c r="BB48" s="93">
        <v>0.0</v>
      </c>
      <c r="BC48" s="94">
        <f>SUM(BC20,'ГОЧ'!$AY48)</f>
        <v>1200.7</v>
      </c>
      <c r="BD48" s="94">
        <f>SUM(BD20,'ГОЧ'!$AZ48)</f>
        <v>1200.2</v>
      </c>
      <c r="BE48" s="108"/>
      <c r="BF48" s="108"/>
    </row>
    <row r="49" ht="15.75" customHeight="1">
      <c r="A49" s="67">
        <f t="shared" si="177"/>
        <v>46255</v>
      </c>
      <c r="B49" s="138" t="s">
        <v>41</v>
      </c>
      <c r="C49" s="157">
        <f t="shared" si="178"/>
        <v>2</v>
      </c>
      <c r="D49" s="97">
        <f t="shared" ref="D49:L49" si="287">RANDBETWEEN(0,2)</f>
        <v>0</v>
      </c>
      <c r="E49" s="97">
        <f t="shared" si="287"/>
        <v>0</v>
      </c>
      <c r="F49" s="97">
        <f t="shared" si="287"/>
        <v>2</v>
      </c>
      <c r="G49" s="97">
        <f t="shared" si="287"/>
        <v>0</v>
      </c>
      <c r="H49" s="98">
        <f t="shared" si="287"/>
        <v>2</v>
      </c>
      <c r="I49" s="99">
        <f t="shared" si="287"/>
        <v>0</v>
      </c>
      <c r="J49" s="100">
        <f t="shared" si="287"/>
        <v>0</v>
      </c>
      <c r="K49" s="101">
        <f t="shared" si="287"/>
        <v>0</v>
      </c>
      <c r="L49" s="101">
        <f t="shared" si="287"/>
        <v>2</v>
      </c>
      <c r="M49" s="140">
        <f t="shared" si="180"/>
        <v>29</v>
      </c>
      <c r="N49" s="97">
        <f t="shared" ref="N49:T49" si="288">RANDBETWEEN(0,10)</f>
        <v>6</v>
      </c>
      <c r="O49" s="97">
        <f t="shared" si="288"/>
        <v>0</v>
      </c>
      <c r="P49" s="97">
        <f t="shared" si="288"/>
        <v>0</v>
      </c>
      <c r="Q49" s="97">
        <f t="shared" si="288"/>
        <v>6</v>
      </c>
      <c r="R49" s="97">
        <f t="shared" si="288"/>
        <v>7</v>
      </c>
      <c r="S49" s="97">
        <f t="shared" si="288"/>
        <v>7</v>
      </c>
      <c r="T49" s="97">
        <f t="shared" si="288"/>
        <v>3</v>
      </c>
      <c r="U49" s="103">
        <f t="shared" si="264"/>
        <v>10</v>
      </c>
      <c r="V49" s="158">
        <f t="shared" si="217"/>
        <v>1</v>
      </c>
      <c r="W49" s="97">
        <f t="shared" ref="W49:Y49" si="289">RANDBETWEEN(0,2)</f>
        <v>1</v>
      </c>
      <c r="X49" s="97">
        <f t="shared" si="289"/>
        <v>0</v>
      </c>
      <c r="Y49" s="97">
        <f t="shared" si="289"/>
        <v>0</v>
      </c>
      <c r="Z49" s="105">
        <f t="shared" si="226"/>
        <v>2</v>
      </c>
      <c r="AA49" s="143">
        <f t="shared" ref="AA49:AF49" si="290">RANDBETWEEN(0,2)</f>
        <v>2</v>
      </c>
      <c r="AB49" s="143">
        <f t="shared" si="290"/>
        <v>0</v>
      </c>
      <c r="AC49" s="144">
        <f t="shared" si="290"/>
        <v>2</v>
      </c>
      <c r="AD49" s="145">
        <f t="shared" si="290"/>
        <v>0</v>
      </c>
      <c r="AE49" s="145">
        <f t="shared" si="290"/>
        <v>1</v>
      </c>
      <c r="AF49" s="145">
        <f t="shared" si="290"/>
        <v>2</v>
      </c>
      <c r="AG49" s="86">
        <f t="shared" si="187"/>
        <v>5</v>
      </c>
      <c r="AH49" s="144">
        <f t="shared" ref="AH49:AJ49" si="291">RANDBETWEEN(1,10)</f>
        <v>3</v>
      </c>
      <c r="AI49" s="145">
        <f t="shared" si="291"/>
        <v>9</v>
      </c>
      <c r="AJ49" s="145">
        <f t="shared" si="291"/>
        <v>9</v>
      </c>
      <c r="AK49" s="192">
        <f t="shared" si="189"/>
        <v>21</v>
      </c>
      <c r="AL49" s="144"/>
      <c r="AM49" s="145"/>
      <c r="AN49" s="145"/>
      <c r="AO49" s="145"/>
      <c r="AP49" s="89"/>
      <c r="AQ49" s="144"/>
      <c r="AR49" s="145"/>
      <c r="AS49" s="145"/>
      <c r="AT49" s="193"/>
      <c r="AU49" s="144"/>
      <c r="AV49" s="145"/>
      <c r="AW49" s="145"/>
      <c r="AX49" s="194"/>
      <c r="AY49" s="92">
        <f t="shared" ref="AY49:AZ49" si="292">RANDBETWEEN(1,10)/10</f>
        <v>0.7</v>
      </c>
      <c r="AZ49" s="92">
        <f t="shared" si="292"/>
        <v>0.7</v>
      </c>
      <c r="BA49" s="93">
        <v>0.0</v>
      </c>
      <c r="BB49" s="93">
        <v>0.0</v>
      </c>
      <c r="BC49" s="94">
        <f>SUM(BC21,'ГОЧ'!$AY49)</f>
        <v>1200.7</v>
      </c>
      <c r="BD49" s="94">
        <f>SUM(BD21,'ГОЧ'!$AZ49)</f>
        <v>1200.7</v>
      </c>
      <c r="BE49" s="108"/>
      <c r="BF49" s="108"/>
    </row>
    <row r="50" ht="15.75" customHeight="1">
      <c r="A50" s="67">
        <f t="shared" si="177"/>
        <v>46255</v>
      </c>
      <c r="B50" s="114" t="s">
        <v>45</v>
      </c>
      <c r="C50" s="164">
        <f t="shared" si="178"/>
        <v>10</v>
      </c>
      <c r="D50" s="164">
        <f t="shared" ref="D50:U50" si="293">SUM(D44:D49)</f>
        <v>3</v>
      </c>
      <c r="E50" s="165">
        <f t="shared" si="293"/>
        <v>3</v>
      </c>
      <c r="F50" s="165">
        <f t="shared" si="293"/>
        <v>7</v>
      </c>
      <c r="G50" s="165">
        <f t="shared" si="293"/>
        <v>8</v>
      </c>
      <c r="H50" s="165">
        <f t="shared" si="293"/>
        <v>4</v>
      </c>
      <c r="I50" s="165">
        <f t="shared" si="293"/>
        <v>7</v>
      </c>
      <c r="J50" s="165">
        <f t="shared" si="293"/>
        <v>6</v>
      </c>
      <c r="K50" s="165">
        <f t="shared" si="293"/>
        <v>5</v>
      </c>
      <c r="L50" s="165">
        <f t="shared" si="293"/>
        <v>8</v>
      </c>
      <c r="M50" s="164">
        <f t="shared" si="293"/>
        <v>206</v>
      </c>
      <c r="N50" s="164">
        <f t="shared" si="293"/>
        <v>30</v>
      </c>
      <c r="O50" s="165">
        <f t="shared" si="293"/>
        <v>25</v>
      </c>
      <c r="P50" s="165">
        <f t="shared" si="293"/>
        <v>19</v>
      </c>
      <c r="Q50" s="165">
        <f t="shared" si="293"/>
        <v>15</v>
      </c>
      <c r="R50" s="165">
        <f t="shared" si="293"/>
        <v>36</v>
      </c>
      <c r="S50" s="165">
        <f t="shared" si="293"/>
        <v>45</v>
      </c>
      <c r="T50" s="165">
        <f t="shared" si="293"/>
        <v>36</v>
      </c>
      <c r="U50" s="164">
        <f t="shared" si="293"/>
        <v>115</v>
      </c>
      <c r="V50" s="164">
        <f t="shared" si="217"/>
        <v>16</v>
      </c>
      <c r="W50" s="165">
        <f t="shared" ref="W50:Y50" si="294">SUM(W44:W49)</f>
        <v>7</v>
      </c>
      <c r="X50" s="165">
        <f t="shared" si="294"/>
        <v>5</v>
      </c>
      <c r="Y50" s="165">
        <f t="shared" si="294"/>
        <v>4</v>
      </c>
      <c r="Z50" s="165">
        <f t="shared" si="226"/>
        <v>11</v>
      </c>
      <c r="AA50" s="165">
        <f t="shared" ref="AA50:AF50" si="295">SUM(AA44:AA49)</f>
        <v>7</v>
      </c>
      <c r="AB50" s="165">
        <f t="shared" si="295"/>
        <v>4</v>
      </c>
      <c r="AC50" s="166">
        <f t="shared" si="295"/>
        <v>4</v>
      </c>
      <c r="AD50" s="166">
        <f t="shared" si="295"/>
        <v>8</v>
      </c>
      <c r="AE50" s="166">
        <f t="shared" si="295"/>
        <v>8</v>
      </c>
      <c r="AF50" s="166">
        <f t="shared" si="295"/>
        <v>7</v>
      </c>
      <c r="AG50" s="168">
        <f t="shared" si="187"/>
        <v>27</v>
      </c>
      <c r="AH50" s="166">
        <f t="shared" ref="AH50:AJ50" si="296">SUM(AH44:AH49)</f>
        <v>43</v>
      </c>
      <c r="AI50" s="167">
        <f t="shared" si="296"/>
        <v>42</v>
      </c>
      <c r="AJ50" s="167">
        <f t="shared" si="296"/>
        <v>34</v>
      </c>
      <c r="AK50" s="168">
        <f t="shared" si="189"/>
        <v>119</v>
      </c>
      <c r="AL50" s="166"/>
      <c r="AM50" s="166"/>
      <c r="AN50" s="166"/>
      <c r="AO50" s="166"/>
      <c r="AP50" s="169"/>
      <c r="AQ50" s="166"/>
      <c r="AR50" s="167"/>
      <c r="AS50" s="167"/>
      <c r="AT50" s="170"/>
      <c r="AU50" s="166"/>
      <c r="AV50" s="167"/>
      <c r="AW50" s="167"/>
      <c r="AX50" s="171"/>
      <c r="AY50" s="196">
        <f t="shared" ref="AY50:BD50" si="297">SUM(AY44:AY49)</f>
        <v>4.2</v>
      </c>
      <c r="AZ50" s="196">
        <f t="shared" si="297"/>
        <v>4.2</v>
      </c>
      <c r="BA50" s="167">
        <f t="shared" si="297"/>
        <v>0</v>
      </c>
      <c r="BB50" s="167">
        <f t="shared" si="297"/>
        <v>0</v>
      </c>
      <c r="BC50" s="197">
        <f t="shared" si="297"/>
        <v>7204.2</v>
      </c>
      <c r="BD50" s="197">
        <f t="shared" si="297"/>
        <v>7204.2</v>
      </c>
      <c r="BE50" s="154" t="str">
        <f t="shared" ref="BE50:BF50" si="298">TEXTJOIN(", ",TRUE,BE44:BE49)</f>
        <v/>
      </c>
      <c r="BF50" s="154" t="str">
        <f t="shared" si="298"/>
        <v/>
      </c>
    </row>
    <row r="51" ht="15.75" customHeight="1">
      <c r="A51" s="67">
        <f t="shared" si="177"/>
        <v>46255</v>
      </c>
      <c r="B51" s="124" t="s">
        <v>49</v>
      </c>
      <c r="C51" s="174">
        <f t="shared" si="178"/>
        <v>4</v>
      </c>
      <c r="D51" s="175">
        <f t="shared" ref="D51:L51" si="299">RANDBETWEEN(0,2)</f>
        <v>2</v>
      </c>
      <c r="E51" s="175">
        <f t="shared" si="299"/>
        <v>1</v>
      </c>
      <c r="F51" s="175">
        <f t="shared" si="299"/>
        <v>2</v>
      </c>
      <c r="G51" s="175">
        <f t="shared" si="299"/>
        <v>0</v>
      </c>
      <c r="H51" s="176">
        <f t="shared" si="299"/>
        <v>2</v>
      </c>
      <c r="I51" s="177">
        <f t="shared" si="299"/>
        <v>1</v>
      </c>
      <c r="J51" s="178">
        <f t="shared" si="299"/>
        <v>1</v>
      </c>
      <c r="K51" s="179">
        <f t="shared" si="299"/>
        <v>2</v>
      </c>
      <c r="L51" s="179">
        <f t="shared" si="299"/>
        <v>2</v>
      </c>
      <c r="M51" s="180">
        <f t="shared" ref="M51:M56" si="306">SUM(N51:T51)</f>
        <v>39</v>
      </c>
      <c r="N51" s="175">
        <f t="shared" ref="N51:T51" si="300">RANDBETWEEN(0,10)</f>
        <v>10</v>
      </c>
      <c r="O51" s="175">
        <f t="shared" si="300"/>
        <v>0</v>
      </c>
      <c r="P51" s="175">
        <f t="shared" si="300"/>
        <v>8</v>
      </c>
      <c r="Q51" s="175">
        <f t="shared" si="300"/>
        <v>7</v>
      </c>
      <c r="R51" s="175">
        <f t="shared" si="300"/>
        <v>8</v>
      </c>
      <c r="S51" s="175">
        <f t="shared" si="300"/>
        <v>1</v>
      </c>
      <c r="T51" s="175">
        <f t="shared" si="300"/>
        <v>5</v>
      </c>
      <c r="U51" s="181">
        <f t="shared" ref="U51:U55" si="308">RANDBETWEEN(10,30)</f>
        <v>28</v>
      </c>
      <c r="V51" s="182">
        <f t="shared" si="217"/>
        <v>1</v>
      </c>
      <c r="W51" s="175">
        <f t="shared" ref="W51:Y51" si="301">RANDBETWEEN(0,2)</f>
        <v>1</v>
      </c>
      <c r="X51" s="175">
        <f t="shared" si="301"/>
        <v>0</v>
      </c>
      <c r="Y51" s="175">
        <f t="shared" si="301"/>
        <v>0</v>
      </c>
      <c r="Z51" s="183">
        <f t="shared" si="226"/>
        <v>2</v>
      </c>
      <c r="AA51" s="198">
        <f t="shared" ref="AA51:AF51" si="302">RANDBETWEEN(0,2)</f>
        <v>1</v>
      </c>
      <c r="AB51" s="198">
        <f t="shared" si="302"/>
        <v>1</v>
      </c>
      <c r="AC51" s="199">
        <f t="shared" si="302"/>
        <v>1</v>
      </c>
      <c r="AD51" s="200">
        <f t="shared" si="302"/>
        <v>0</v>
      </c>
      <c r="AE51" s="200">
        <f t="shared" si="302"/>
        <v>2</v>
      </c>
      <c r="AF51" s="200">
        <f t="shared" si="302"/>
        <v>0</v>
      </c>
      <c r="AG51" s="187">
        <f t="shared" si="187"/>
        <v>3</v>
      </c>
      <c r="AH51" s="199">
        <f t="shared" ref="AH51:AJ51" si="303">RANDBETWEEN(1,10)</f>
        <v>9</v>
      </c>
      <c r="AI51" s="200">
        <f t="shared" si="303"/>
        <v>7</v>
      </c>
      <c r="AJ51" s="200">
        <f t="shared" si="303"/>
        <v>6</v>
      </c>
      <c r="AK51" s="188">
        <f t="shared" si="189"/>
        <v>22</v>
      </c>
      <c r="AL51" s="199"/>
      <c r="AM51" s="200"/>
      <c r="AN51" s="200"/>
      <c r="AO51" s="200"/>
      <c r="AP51" s="189"/>
      <c r="AQ51" s="199"/>
      <c r="AR51" s="200"/>
      <c r="AS51" s="200"/>
      <c r="AT51" s="190"/>
      <c r="AU51" s="199"/>
      <c r="AV51" s="200"/>
      <c r="AW51" s="200"/>
      <c r="AX51" s="191"/>
      <c r="AY51" s="92">
        <f t="shared" ref="AY51:AZ51" si="304">RANDBETWEEN(1,10)/10</f>
        <v>0.4</v>
      </c>
      <c r="AZ51" s="92">
        <f t="shared" si="304"/>
        <v>0.7</v>
      </c>
      <c r="BA51" s="93">
        <v>0.0</v>
      </c>
      <c r="BB51" s="93">
        <v>0.0</v>
      </c>
      <c r="BC51" s="94">
        <f>SUM(BC23,'ГОЧ'!$AY51)</f>
        <v>1200.4</v>
      </c>
      <c r="BD51" s="94">
        <f>SUM(BD23,'ГОЧ'!$AZ51)</f>
        <v>1200.7</v>
      </c>
      <c r="BE51" s="186"/>
      <c r="BF51" s="186"/>
    </row>
    <row r="52" ht="15.75" customHeight="1">
      <c r="A52" s="67">
        <f t="shared" si="177"/>
        <v>46255</v>
      </c>
      <c r="B52" s="195" t="s">
        <v>53</v>
      </c>
      <c r="C52" s="157">
        <f t="shared" si="178"/>
        <v>4</v>
      </c>
      <c r="D52" s="97">
        <f t="shared" ref="D52:L52" si="305">RANDBETWEEN(0,2)</f>
        <v>2</v>
      </c>
      <c r="E52" s="97">
        <f t="shared" si="305"/>
        <v>2</v>
      </c>
      <c r="F52" s="97">
        <f t="shared" si="305"/>
        <v>2</v>
      </c>
      <c r="G52" s="97">
        <f t="shared" si="305"/>
        <v>2</v>
      </c>
      <c r="H52" s="98">
        <f t="shared" si="305"/>
        <v>1</v>
      </c>
      <c r="I52" s="99">
        <f t="shared" si="305"/>
        <v>2</v>
      </c>
      <c r="J52" s="100">
        <f t="shared" si="305"/>
        <v>2</v>
      </c>
      <c r="K52" s="101">
        <f t="shared" si="305"/>
        <v>0</v>
      </c>
      <c r="L52" s="101">
        <f t="shared" si="305"/>
        <v>1</v>
      </c>
      <c r="M52" s="140">
        <f t="shared" si="306"/>
        <v>22</v>
      </c>
      <c r="N52" s="97">
        <f t="shared" ref="N52:T52" si="307">RANDBETWEEN(0,10)</f>
        <v>1</v>
      </c>
      <c r="O52" s="97">
        <f t="shared" si="307"/>
        <v>2</v>
      </c>
      <c r="P52" s="97">
        <f t="shared" si="307"/>
        <v>6</v>
      </c>
      <c r="Q52" s="97">
        <f t="shared" si="307"/>
        <v>3</v>
      </c>
      <c r="R52" s="97">
        <f t="shared" si="307"/>
        <v>3</v>
      </c>
      <c r="S52" s="97">
        <f t="shared" si="307"/>
        <v>7</v>
      </c>
      <c r="T52" s="97">
        <f t="shared" si="307"/>
        <v>0</v>
      </c>
      <c r="U52" s="103">
        <f t="shared" si="308"/>
        <v>14</v>
      </c>
      <c r="V52" s="158">
        <f t="shared" si="217"/>
        <v>0</v>
      </c>
      <c r="W52" s="97">
        <f t="shared" ref="W52:Y52" si="309">RANDBETWEEN(0,2)</f>
        <v>0</v>
      </c>
      <c r="X52" s="97">
        <f t="shared" si="309"/>
        <v>0</v>
      </c>
      <c r="Y52" s="97">
        <f t="shared" si="309"/>
        <v>0</v>
      </c>
      <c r="Z52" s="105">
        <f t="shared" si="226"/>
        <v>2</v>
      </c>
      <c r="AA52" s="106">
        <f t="shared" ref="AA52:AF52" si="310">RANDBETWEEN(0,2)</f>
        <v>0</v>
      </c>
      <c r="AB52" s="106">
        <f t="shared" si="310"/>
        <v>2</v>
      </c>
      <c r="AC52" s="107">
        <f t="shared" si="310"/>
        <v>2</v>
      </c>
      <c r="AD52" s="108">
        <f t="shared" si="310"/>
        <v>1</v>
      </c>
      <c r="AE52" s="108">
        <f t="shared" si="310"/>
        <v>2</v>
      </c>
      <c r="AF52" s="108">
        <f t="shared" si="310"/>
        <v>1</v>
      </c>
      <c r="AG52" s="86">
        <f t="shared" si="187"/>
        <v>6</v>
      </c>
      <c r="AH52" s="107">
        <f t="shared" ref="AH52:AJ52" si="311">RANDBETWEEN(1,10)</f>
        <v>1</v>
      </c>
      <c r="AI52" s="108">
        <f t="shared" si="311"/>
        <v>2</v>
      </c>
      <c r="AJ52" s="108">
        <f t="shared" si="311"/>
        <v>2</v>
      </c>
      <c r="AK52" s="192">
        <f t="shared" si="189"/>
        <v>5</v>
      </c>
      <c r="AL52" s="107"/>
      <c r="AM52" s="108"/>
      <c r="AN52" s="108"/>
      <c r="AO52" s="108"/>
      <c r="AP52" s="89"/>
      <c r="AQ52" s="107"/>
      <c r="AR52" s="108"/>
      <c r="AS52" s="108"/>
      <c r="AT52" s="193"/>
      <c r="AU52" s="107"/>
      <c r="AV52" s="108"/>
      <c r="AW52" s="108"/>
      <c r="AX52" s="194"/>
      <c r="AY52" s="92">
        <f t="shared" ref="AY52:AZ52" si="312">RANDBETWEEN(1,10)/10</f>
        <v>0.5</v>
      </c>
      <c r="AZ52" s="92">
        <f t="shared" si="312"/>
        <v>0.3</v>
      </c>
      <c r="BA52" s="93">
        <v>0.0</v>
      </c>
      <c r="BB52" s="93">
        <v>0.0</v>
      </c>
      <c r="BC52" s="94">
        <f>SUM(BC24,'ГОЧ'!$AY52)</f>
        <v>1200.5</v>
      </c>
      <c r="BD52" s="94">
        <f>SUM(BD24,'ГОЧ'!$AZ52)</f>
        <v>1200.3</v>
      </c>
      <c r="BE52" s="108"/>
      <c r="BF52" s="108"/>
    </row>
    <row r="53" ht="15.75" customHeight="1">
      <c r="A53" s="67">
        <f t="shared" si="177"/>
        <v>46255</v>
      </c>
      <c r="B53" s="138" t="s">
        <v>57</v>
      </c>
      <c r="C53" s="157">
        <f t="shared" si="178"/>
        <v>3</v>
      </c>
      <c r="D53" s="97">
        <f t="shared" ref="D53:L53" si="313">RANDBETWEEN(0,2)</f>
        <v>2</v>
      </c>
      <c r="E53" s="97">
        <f t="shared" si="313"/>
        <v>0</v>
      </c>
      <c r="F53" s="97">
        <f t="shared" si="313"/>
        <v>1</v>
      </c>
      <c r="G53" s="97">
        <f t="shared" si="313"/>
        <v>0</v>
      </c>
      <c r="H53" s="98">
        <f t="shared" si="313"/>
        <v>2</v>
      </c>
      <c r="I53" s="99">
        <f t="shared" si="313"/>
        <v>1</v>
      </c>
      <c r="J53" s="100">
        <f t="shared" si="313"/>
        <v>1</v>
      </c>
      <c r="K53" s="101">
        <f t="shared" si="313"/>
        <v>0</v>
      </c>
      <c r="L53" s="101">
        <f t="shared" si="313"/>
        <v>2</v>
      </c>
      <c r="M53" s="140">
        <f t="shared" si="306"/>
        <v>22</v>
      </c>
      <c r="N53" s="97">
        <f t="shared" ref="N53:T53" si="314">RANDBETWEEN(0,10)</f>
        <v>5</v>
      </c>
      <c r="O53" s="97">
        <f t="shared" si="314"/>
        <v>2</v>
      </c>
      <c r="P53" s="97">
        <f t="shared" si="314"/>
        <v>1</v>
      </c>
      <c r="Q53" s="97">
        <f t="shared" si="314"/>
        <v>7</v>
      </c>
      <c r="R53" s="97">
        <f t="shared" si="314"/>
        <v>1</v>
      </c>
      <c r="S53" s="97">
        <f t="shared" si="314"/>
        <v>4</v>
      </c>
      <c r="T53" s="97">
        <f t="shared" si="314"/>
        <v>2</v>
      </c>
      <c r="U53" s="103">
        <f t="shared" si="308"/>
        <v>16</v>
      </c>
      <c r="V53" s="158">
        <f t="shared" si="217"/>
        <v>4</v>
      </c>
      <c r="W53" s="97">
        <f t="shared" ref="W53:Y53" si="315">RANDBETWEEN(0,2)</f>
        <v>0</v>
      </c>
      <c r="X53" s="97">
        <f t="shared" si="315"/>
        <v>2</v>
      </c>
      <c r="Y53" s="97">
        <f t="shared" si="315"/>
        <v>2</v>
      </c>
      <c r="Z53" s="105">
        <f t="shared" si="226"/>
        <v>1</v>
      </c>
      <c r="AA53" s="143">
        <f t="shared" ref="AA53:AF53" si="316">RANDBETWEEN(0,2)</f>
        <v>0</v>
      </c>
      <c r="AB53" s="143">
        <f t="shared" si="316"/>
        <v>1</v>
      </c>
      <c r="AC53" s="144">
        <f t="shared" si="316"/>
        <v>1</v>
      </c>
      <c r="AD53" s="145">
        <f t="shared" si="316"/>
        <v>2</v>
      </c>
      <c r="AE53" s="145">
        <f t="shared" si="316"/>
        <v>2</v>
      </c>
      <c r="AF53" s="145">
        <f t="shared" si="316"/>
        <v>2</v>
      </c>
      <c r="AG53" s="86">
        <f t="shared" si="187"/>
        <v>7</v>
      </c>
      <c r="AH53" s="144">
        <f t="shared" ref="AH53:AJ53" si="317">RANDBETWEEN(1,10)</f>
        <v>7</v>
      </c>
      <c r="AI53" s="145">
        <f t="shared" si="317"/>
        <v>1</v>
      </c>
      <c r="AJ53" s="145">
        <f t="shared" si="317"/>
        <v>6</v>
      </c>
      <c r="AK53" s="192">
        <f t="shared" si="189"/>
        <v>14</v>
      </c>
      <c r="AL53" s="144"/>
      <c r="AM53" s="145"/>
      <c r="AN53" s="145"/>
      <c r="AO53" s="145"/>
      <c r="AP53" s="89"/>
      <c r="AQ53" s="144"/>
      <c r="AR53" s="145"/>
      <c r="AS53" s="145"/>
      <c r="AT53" s="193"/>
      <c r="AU53" s="144"/>
      <c r="AV53" s="145"/>
      <c r="AW53" s="145"/>
      <c r="AX53" s="194"/>
      <c r="AY53" s="92">
        <f t="shared" ref="AY53:AZ53" si="318">RANDBETWEEN(1,10)/10</f>
        <v>1</v>
      </c>
      <c r="AZ53" s="92">
        <f t="shared" si="318"/>
        <v>0.7</v>
      </c>
      <c r="BA53" s="93">
        <v>0.0</v>
      </c>
      <c r="BB53" s="93">
        <v>0.0</v>
      </c>
      <c r="BC53" s="94">
        <f>SUM(BC25,'ГОЧ'!$AY53)</f>
        <v>1201</v>
      </c>
      <c r="BD53" s="94">
        <f>SUM(BD25,'ГОЧ'!$AZ53)</f>
        <v>1200.7</v>
      </c>
      <c r="BE53" s="108"/>
      <c r="BF53" s="108"/>
    </row>
    <row r="54" ht="15.75" customHeight="1">
      <c r="A54" s="67">
        <f t="shared" si="177"/>
        <v>46255</v>
      </c>
      <c r="B54" s="138" t="s">
        <v>60</v>
      </c>
      <c r="C54" s="157">
        <f t="shared" si="178"/>
        <v>1</v>
      </c>
      <c r="D54" s="97">
        <f t="shared" ref="D54:L54" si="319">RANDBETWEEN(0,2)</f>
        <v>0</v>
      </c>
      <c r="E54" s="97">
        <f t="shared" si="319"/>
        <v>1</v>
      </c>
      <c r="F54" s="97">
        <f t="shared" si="319"/>
        <v>1</v>
      </c>
      <c r="G54" s="97">
        <f t="shared" si="319"/>
        <v>1</v>
      </c>
      <c r="H54" s="98">
        <f t="shared" si="319"/>
        <v>2</v>
      </c>
      <c r="I54" s="99">
        <f t="shared" si="319"/>
        <v>0</v>
      </c>
      <c r="J54" s="100">
        <f t="shared" si="319"/>
        <v>1</v>
      </c>
      <c r="K54" s="101">
        <f t="shared" si="319"/>
        <v>0</v>
      </c>
      <c r="L54" s="101">
        <f t="shared" si="319"/>
        <v>2</v>
      </c>
      <c r="M54" s="140">
        <f t="shared" si="306"/>
        <v>36</v>
      </c>
      <c r="N54" s="97">
        <f t="shared" ref="N54:T54" si="320">RANDBETWEEN(0,10)</f>
        <v>2</v>
      </c>
      <c r="O54" s="97">
        <f t="shared" si="320"/>
        <v>5</v>
      </c>
      <c r="P54" s="97">
        <f t="shared" si="320"/>
        <v>4</v>
      </c>
      <c r="Q54" s="97">
        <f t="shared" si="320"/>
        <v>10</v>
      </c>
      <c r="R54" s="97">
        <f t="shared" si="320"/>
        <v>0</v>
      </c>
      <c r="S54" s="97">
        <f t="shared" si="320"/>
        <v>5</v>
      </c>
      <c r="T54" s="97">
        <f t="shared" si="320"/>
        <v>10</v>
      </c>
      <c r="U54" s="103">
        <f t="shared" si="308"/>
        <v>18</v>
      </c>
      <c r="V54" s="158">
        <f t="shared" si="217"/>
        <v>3</v>
      </c>
      <c r="W54" s="97">
        <f t="shared" ref="W54:Y54" si="321">RANDBETWEEN(0,2)</f>
        <v>1</v>
      </c>
      <c r="X54" s="97">
        <f t="shared" si="321"/>
        <v>0</v>
      </c>
      <c r="Y54" s="97">
        <f t="shared" si="321"/>
        <v>2</v>
      </c>
      <c r="Z54" s="105">
        <f t="shared" si="226"/>
        <v>2</v>
      </c>
      <c r="AA54" s="106">
        <f t="shared" ref="AA54:AF54" si="322">RANDBETWEEN(0,2)</f>
        <v>0</v>
      </c>
      <c r="AB54" s="106">
        <f t="shared" si="322"/>
        <v>2</v>
      </c>
      <c r="AC54" s="107">
        <f t="shared" si="322"/>
        <v>0</v>
      </c>
      <c r="AD54" s="108">
        <f t="shared" si="322"/>
        <v>0</v>
      </c>
      <c r="AE54" s="108">
        <f t="shared" si="322"/>
        <v>1</v>
      </c>
      <c r="AF54" s="108">
        <f t="shared" si="322"/>
        <v>0</v>
      </c>
      <c r="AG54" s="86">
        <f t="shared" si="187"/>
        <v>1</v>
      </c>
      <c r="AH54" s="107">
        <f t="shared" ref="AH54:AJ54" si="323">RANDBETWEEN(1,10)</f>
        <v>8</v>
      </c>
      <c r="AI54" s="108">
        <f t="shared" si="323"/>
        <v>8</v>
      </c>
      <c r="AJ54" s="108">
        <f t="shared" si="323"/>
        <v>7</v>
      </c>
      <c r="AK54" s="192">
        <f t="shared" si="189"/>
        <v>23</v>
      </c>
      <c r="AL54" s="107"/>
      <c r="AM54" s="108"/>
      <c r="AN54" s="108"/>
      <c r="AO54" s="108"/>
      <c r="AP54" s="89"/>
      <c r="AQ54" s="107"/>
      <c r="AR54" s="108"/>
      <c r="AS54" s="108"/>
      <c r="AT54" s="193"/>
      <c r="AU54" s="107"/>
      <c r="AV54" s="108"/>
      <c r="AW54" s="108"/>
      <c r="AX54" s="194"/>
      <c r="AY54" s="92">
        <f t="shared" ref="AY54:AZ54" si="324">RANDBETWEEN(1,10)/10</f>
        <v>0.7</v>
      </c>
      <c r="AZ54" s="92">
        <f t="shared" si="324"/>
        <v>0.6</v>
      </c>
      <c r="BA54" s="93">
        <v>0.0</v>
      </c>
      <c r="BB54" s="93">
        <v>0.0</v>
      </c>
      <c r="BC54" s="94">
        <f>SUM(BC26,'ГОЧ'!$AY54)</f>
        <v>1200.7</v>
      </c>
      <c r="BD54" s="94">
        <f>SUM(BD26,'ГОЧ'!$AZ54)</f>
        <v>1200.6</v>
      </c>
      <c r="BE54" s="108"/>
      <c r="BF54" s="108"/>
    </row>
    <row r="55" ht="15.75" customHeight="1">
      <c r="A55" s="67">
        <f t="shared" si="177"/>
        <v>46255</v>
      </c>
      <c r="B55" s="195" t="s">
        <v>64</v>
      </c>
      <c r="C55" s="157">
        <f t="shared" si="178"/>
        <v>1</v>
      </c>
      <c r="D55" s="97">
        <f t="shared" ref="D55:L55" si="325">RANDBETWEEN(0,2)</f>
        <v>0</v>
      </c>
      <c r="E55" s="97">
        <f t="shared" si="325"/>
        <v>2</v>
      </c>
      <c r="F55" s="97">
        <f t="shared" si="325"/>
        <v>1</v>
      </c>
      <c r="G55" s="97">
        <f t="shared" si="325"/>
        <v>0</v>
      </c>
      <c r="H55" s="98">
        <f t="shared" si="325"/>
        <v>1</v>
      </c>
      <c r="I55" s="99">
        <f t="shared" si="325"/>
        <v>2</v>
      </c>
      <c r="J55" s="100">
        <f t="shared" si="325"/>
        <v>1</v>
      </c>
      <c r="K55" s="101">
        <f t="shared" si="325"/>
        <v>2</v>
      </c>
      <c r="L55" s="101">
        <f t="shared" si="325"/>
        <v>0</v>
      </c>
      <c r="M55" s="140">
        <f t="shared" si="306"/>
        <v>40</v>
      </c>
      <c r="N55" s="97">
        <f t="shared" ref="N55:T55" si="326">RANDBETWEEN(0,10)</f>
        <v>3</v>
      </c>
      <c r="O55" s="97">
        <f t="shared" si="326"/>
        <v>9</v>
      </c>
      <c r="P55" s="97">
        <f t="shared" si="326"/>
        <v>7</v>
      </c>
      <c r="Q55" s="97">
        <f t="shared" si="326"/>
        <v>2</v>
      </c>
      <c r="R55" s="97">
        <f t="shared" si="326"/>
        <v>7</v>
      </c>
      <c r="S55" s="97">
        <f t="shared" si="326"/>
        <v>9</v>
      </c>
      <c r="T55" s="97">
        <f t="shared" si="326"/>
        <v>3</v>
      </c>
      <c r="U55" s="103">
        <f t="shared" si="308"/>
        <v>22</v>
      </c>
      <c r="V55" s="158">
        <f t="shared" si="217"/>
        <v>3</v>
      </c>
      <c r="W55" s="97">
        <f t="shared" ref="W55:Y55" si="327">RANDBETWEEN(0,2)</f>
        <v>0</v>
      </c>
      <c r="X55" s="97">
        <f t="shared" si="327"/>
        <v>2</v>
      </c>
      <c r="Y55" s="97">
        <f t="shared" si="327"/>
        <v>1</v>
      </c>
      <c r="Z55" s="105">
        <f t="shared" si="226"/>
        <v>0</v>
      </c>
      <c r="AA55" s="143">
        <f t="shared" ref="AA55:AF55" si="328">RANDBETWEEN(0,2)</f>
        <v>0</v>
      </c>
      <c r="AB55" s="143">
        <f t="shared" si="328"/>
        <v>0</v>
      </c>
      <c r="AC55" s="144">
        <f t="shared" si="328"/>
        <v>1</v>
      </c>
      <c r="AD55" s="145">
        <f t="shared" si="328"/>
        <v>2</v>
      </c>
      <c r="AE55" s="145">
        <f t="shared" si="328"/>
        <v>0</v>
      </c>
      <c r="AF55" s="145">
        <f t="shared" si="328"/>
        <v>0</v>
      </c>
      <c r="AG55" s="86">
        <f t="shared" si="187"/>
        <v>3</v>
      </c>
      <c r="AH55" s="144">
        <f t="shared" ref="AH55:AJ55" si="329">RANDBETWEEN(1,10)</f>
        <v>8</v>
      </c>
      <c r="AI55" s="145">
        <f t="shared" si="329"/>
        <v>10</v>
      </c>
      <c r="AJ55" s="145">
        <f t="shared" si="329"/>
        <v>4</v>
      </c>
      <c r="AK55" s="192">
        <f t="shared" si="189"/>
        <v>22</v>
      </c>
      <c r="AL55" s="144"/>
      <c r="AM55" s="145"/>
      <c r="AN55" s="145"/>
      <c r="AO55" s="145"/>
      <c r="AP55" s="89"/>
      <c r="AQ55" s="144"/>
      <c r="AR55" s="145"/>
      <c r="AS55" s="145"/>
      <c r="AT55" s="193"/>
      <c r="AU55" s="144"/>
      <c r="AV55" s="145"/>
      <c r="AW55" s="145"/>
      <c r="AX55" s="194"/>
      <c r="AY55" s="92">
        <f t="shared" ref="AY55:AZ55" si="330">RANDBETWEEN(1,10)/10</f>
        <v>0.9</v>
      </c>
      <c r="AZ55" s="92">
        <f t="shared" si="330"/>
        <v>0.7</v>
      </c>
      <c r="BA55" s="93">
        <v>0.0</v>
      </c>
      <c r="BB55" s="93">
        <v>0.0</v>
      </c>
      <c r="BC55" s="94">
        <f>SUM(BC27,'ГОЧ'!$AY55)</f>
        <v>1200.9</v>
      </c>
      <c r="BD55" s="94">
        <f>SUM(BD27,'ГОЧ'!$AZ55)</f>
        <v>1200.7</v>
      </c>
      <c r="BE55" s="108"/>
      <c r="BF55" s="108"/>
    </row>
    <row r="56" ht="15.75" customHeight="1">
      <c r="A56" s="67">
        <f t="shared" si="177"/>
        <v>46255</v>
      </c>
      <c r="B56" s="201" t="s">
        <v>67</v>
      </c>
      <c r="C56" s="164">
        <f t="shared" si="178"/>
        <v>13</v>
      </c>
      <c r="D56" s="164">
        <f t="shared" ref="D56:L56" si="331">SUM(D51:D55)</f>
        <v>6</v>
      </c>
      <c r="E56" s="165">
        <f t="shared" si="331"/>
        <v>6</v>
      </c>
      <c r="F56" s="165">
        <f t="shared" si="331"/>
        <v>7</v>
      </c>
      <c r="G56" s="165">
        <f t="shared" si="331"/>
        <v>3</v>
      </c>
      <c r="H56" s="165">
        <f t="shared" si="331"/>
        <v>8</v>
      </c>
      <c r="I56" s="165">
        <f t="shared" si="331"/>
        <v>6</v>
      </c>
      <c r="J56" s="165">
        <f t="shared" si="331"/>
        <v>6</v>
      </c>
      <c r="K56" s="165">
        <f t="shared" si="331"/>
        <v>4</v>
      </c>
      <c r="L56" s="165">
        <f t="shared" si="331"/>
        <v>7</v>
      </c>
      <c r="M56" s="164">
        <f t="shared" si="306"/>
        <v>159</v>
      </c>
      <c r="N56" s="164">
        <f t="shared" ref="N56:U56" si="332">SUM(N51:N55)</f>
        <v>21</v>
      </c>
      <c r="O56" s="165">
        <f t="shared" si="332"/>
        <v>18</v>
      </c>
      <c r="P56" s="165">
        <f t="shared" si="332"/>
        <v>26</v>
      </c>
      <c r="Q56" s="165">
        <f t="shared" si="332"/>
        <v>29</v>
      </c>
      <c r="R56" s="165">
        <f t="shared" si="332"/>
        <v>19</v>
      </c>
      <c r="S56" s="165">
        <f t="shared" si="332"/>
        <v>26</v>
      </c>
      <c r="T56" s="165">
        <f t="shared" si="332"/>
        <v>20</v>
      </c>
      <c r="U56" s="164">
        <f t="shared" si="332"/>
        <v>98</v>
      </c>
      <c r="V56" s="164">
        <f t="shared" si="217"/>
        <v>11</v>
      </c>
      <c r="W56" s="165">
        <f t="shared" ref="W56:Y56" si="333">SUM(W51:W55)</f>
        <v>2</v>
      </c>
      <c r="X56" s="165">
        <f t="shared" si="333"/>
        <v>4</v>
      </c>
      <c r="Y56" s="165">
        <f t="shared" si="333"/>
        <v>5</v>
      </c>
      <c r="Z56" s="164">
        <f>SUM(AA56:AB56)</f>
        <v>7</v>
      </c>
      <c r="AA56" s="164">
        <f t="shared" ref="AA56:AF56" si="334">SUM(AA51:AA55)</f>
        <v>1</v>
      </c>
      <c r="AB56" s="165">
        <f t="shared" si="334"/>
        <v>6</v>
      </c>
      <c r="AC56" s="166">
        <f t="shared" si="334"/>
        <v>5</v>
      </c>
      <c r="AD56" s="166">
        <f t="shared" si="334"/>
        <v>5</v>
      </c>
      <c r="AE56" s="166">
        <f t="shared" si="334"/>
        <v>7</v>
      </c>
      <c r="AF56" s="166">
        <f t="shared" si="334"/>
        <v>3</v>
      </c>
      <c r="AG56" s="168">
        <f t="shared" si="187"/>
        <v>20</v>
      </c>
      <c r="AH56" s="166">
        <f t="shared" ref="AH56:AJ56" si="335">SUM(AH51:AH55)</f>
        <v>33</v>
      </c>
      <c r="AI56" s="167">
        <f t="shared" si="335"/>
        <v>28</v>
      </c>
      <c r="AJ56" s="167">
        <f t="shared" si="335"/>
        <v>25</v>
      </c>
      <c r="AK56" s="168">
        <f t="shared" si="189"/>
        <v>86</v>
      </c>
      <c r="AL56" s="166"/>
      <c r="AM56" s="166"/>
      <c r="AN56" s="166"/>
      <c r="AO56" s="166"/>
      <c r="AP56" s="169"/>
      <c r="AQ56" s="166"/>
      <c r="AR56" s="167"/>
      <c r="AS56" s="167"/>
      <c r="AT56" s="170"/>
      <c r="AU56" s="166"/>
      <c r="AV56" s="167"/>
      <c r="AW56" s="167"/>
      <c r="AX56" s="171"/>
      <c r="AY56" s="196">
        <f t="shared" ref="AY56:BD56" si="336">SUM(AY51:AY55)</f>
        <v>3.5</v>
      </c>
      <c r="AZ56" s="196">
        <f t="shared" si="336"/>
        <v>3</v>
      </c>
      <c r="BA56" s="167">
        <f t="shared" si="336"/>
        <v>0</v>
      </c>
      <c r="BB56" s="167">
        <f t="shared" si="336"/>
        <v>0</v>
      </c>
      <c r="BC56" s="197">
        <f t="shared" si="336"/>
        <v>6003.5</v>
      </c>
      <c r="BD56" s="197">
        <f t="shared" si="336"/>
        <v>6003</v>
      </c>
      <c r="BE56" s="154" t="str">
        <f t="shared" ref="BE56:BF56" si="337">TEXTJOIN(", ",TRUE,BE51:BE55)</f>
        <v/>
      </c>
      <c r="BF56" s="154" t="str">
        <f t="shared" si="337"/>
        <v/>
      </c>
    </row>
    <row r="57" ht="15.75" customHeight="1">
      <c r="A57" s="67">
        <f t="shared" si="177"/>
        <v>46255</v>
      </c>
      <c r="B57" s="202" t="s">
        <v>72</v>
      </c>
      <c r="C57" s="203">
        <f t="shared" ref="C57:AK57" si="338">SUM(C31+C32+C33+C37,C36,C43,C50,C56)</f>
        <v>41</v>
      </c>
      <c r="D57" s="203">
        <f t="shared" si="338"/>
        <v>19</v>
      </c>
      <c r="E57" s="203">
        <f t="shared" si="338"/>
        <v>15</v>
      </c>
      <c r="F57" s="203">
        <f t="shared" si="338"/>
        <v>22</v>
      </c>
      <c r="G57" s="203">
        <f t="shared" si="338"/>
        <v>22</v>
      </c>
      <c r="H57" s="203">
        <f t="shared" si="338"/>
        <v>26</v>
      </c>
      <c r="I57" s="203">
        <f t="shared" si="338"/>
        <v>22</v>
      </c>
      <c r="J57" s="203">
        <f t="shared" si="338"/>
        <v>23</v>
      </c>
      <c r="K57" s="203">
        <f t="shared" si="338"/>
        <v>21</v>
      </c>
      <c r="L57" s="203">
        <f t="shared" si="338"/>
        <v>25</v>
      </c>
      <c r="M57" s="203">
        <f t="shared" si="338"/>
        <v>729</v>
      </c>
      <c r="N57" s="203">
        <f t="shared" si="338"/>
        <v>101</v>
      </c>
      <c r="O57" s="203">
        <f t="shared" si="338"/>
        <v>92</v>
      </c>
      <c r="P57" s="203">
        <f t="shared" si="338"/>
        <v>84</v>
      </c>
      <c r="Q57" s="203">
        <f t="shared" si="338"/>
        <v>110</v>
      </c>
      <c r="R57" s="203">
        <f t="shared" si="338"/>
        <v>90</v>
      </c>
      <c r="S57" s="203">
        <f t="shared" si="338"/>
        <v>119</v>
      </c>
      <c r="T57" s="203">
        <f t="shared" si="338"/>
        <v>133</v>
      </c>
      <c r="U57" s="203">
        <f t="shared" si="338"/>
        <v>386</v>
      </c>
      <c r="V57" s="203">
        <f t="shared" si="338"/>
        <v>55</v>
      </c>
      <c r="W57" s="203">
        <f t="shared" si="338"/>
        <v>17</v>
      </c>
      <c r="X57" s="203">
        <f t="shared" si="338"/>
        <v>20</v>
      </c>
      <c r="Y57" s="203">
        <f t="shared" si="338"/>
        <v>18</v>
      </c>
      <c r="Z57" s="203">
        <f t="shared" si="338"/>
        <v>40</v>
      </c>
      <c r="AA57" s="203">
        <f t="shared" si="338"/>
        <v>19</v>
      </c>
      <c r="AB57" s="203">
        <f t="shared" si="338"/>
        <v>21</v>
      </c>
      <c r="AC57" s="204">
        <f t="shared" si="338"/>
        <v>17</v>
      </c>
      <c r="AD57" s="204">
        <f t="shared" si="338"/>
        <v>28</v>
      </c>
      <c r="AE57" s="204">
        <f t="shared" si="338"/>
        <v>28</v>
      </c>
      <c r="AF57" s="204">
        <f t="shared" si="338"/>
        <v>22</v>
      </c>
      <c r="AG57" s="204">
        <f t="shared" si="338"/>
        <v>95</v>
      </c>
      <c r="AH57" s="204">
        <f t="shared" si="338"/>
        <v>137</v>
      </c>
      <c r="AI57" s="204">
        <f t="shared" si="338"/>
        <v>128</v>
      </c>
      <c r="AJ57" s="204">
        <f t="shared" si="338"/>
        <v>105</v>
      </c>
      <c r="AK57" s="204">
        <f t="shared" si="338"/>
        <v>370</v>
      </c>
      <c r="AL57" s="204"/>
      <c r="AM57" s="204"/>
      <c r="AN57" s="204"/>
      <c r="AO57" s="204"/>
      <c r="AP57" s="151"/>
      <c r="AQ57" s="204"/>
      <c r="AR57" s="204"/>
      <c r="AS57" s="204"/>
      <c r="AT57" s="152"/>
      <c r="AU57" s="204"/>
      <c r="AV57" s="204"/>
      <c r="AW57" s="204"/>
      <c r="AX57" s="153"/>
      <c r="AY57" s="205">
        <f t="shared" ref="AY57:BD57" si="339">SUM(AY31+AY32+AY33+AY37,AY36,AY43,AY50,AY56)</f>
        <v>18.9</v>
      </c>
      <c r="AZ57" s="205">
        <f t="shared" si="339"/>
        <v>15.8</v>
      </c>
      <c r="BA57" s="206">
        <f t="shared" si="339"/>
        <v>5</v>
      </c>
      <c r="BB57" s="206">
        <f t="shared" si="339"/>
        <v>3</v>
      </c>
      <c r="BC57" s="207">
        <f t="shared" si="339"/>
        <v>26414.9</v>
      </c>
      <c r="BD57" s="207">
        <f t="shared" si="339"/>
        <v>26415.8</v>
      </c>
      <c r="BE57" s="154" t="str">
        <f t="shared" ref="BE57:BF57" si="340">TEXTJOIN(", ",TRUE,BE56,BE50,BE43,BE37,BE36,BE33,BE32,BE31)</f>
        <v>Олександівка, Пантелеймонівка, Миколаївка, Курськ, Рильск</v>
      </c>
      <c r="BF57" s="154" t="str">
        <f t="shared" si="340"/>
        <v>Загреблі, Верхні води, Ступочки</v>
      </c>
    </row>
    <row r="58" ht="15.75" customHeight="1">
      <c r="A58" s="55">
        <f>A57+1</f>
        <v>46256</v>
      </c>
      <c r="B58" s="56"/>
      <c r="C58" s="57"/>
      <c r="D58" s="58"/>
      <c r="E58" s="59"/>
      <c r="F58" s="58"/>
      <c r="G58" s="59"/>
      <c r="H58" s="57"/>
      <c r="I58" s="60"/>
      <c r="J58" s="57"/>
      <c r="K58" s="57"/>
      <c r="L58" s="57"/>
      <c r="M58" s="57"/>
      <c r="N58" s="60"/>
      <c r="O58" s="60"/>
      <c r="P58" s="60"/>
      <c r="Q58" s="60"/>
      <c r="R58" s="60"/>
      <c r="S58" s="60"/>
      <c r="T58" s="60"/>
      <c r="U58" s="57"/>
      <c r="V58" s="58"/>
      <c r="W58" s="61"/>
      <c r="X58" s="61"/>
      <c r="Y58" s="61"/>
      <c r="Z58" s="57"/>
      <c r="AA58" s="60"/>
      <c r="AB58" s="60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4"/>
      <c r="AQ58" s="62"/>
      <c r="AR58" s="62"/>
      <c r="AS58" s="62"/>
      <c r="AT58" s="65"/>
      <c r="AU58" s="62"/>
      <c r="AV58" s="62"/>
      <c r="AW58" s="62"/>
      <c r="AX58" s="66"/>
      <c r="AY58" s="208"/>
      <c r="AZ58" s="208"/>
      <c r="BA58" s="62"/>
      <c r="BB58" s="62"/>
      <c r="BC58" s="209"/>
      <c r="BD58" s="209"/>
      <c r="BE58" s="62"/>
      <c r="BF58" s="62"/>
    </row>
    <row r="59" ht="15.75" customHeight="1">
      <c r="A59" s="67">
        <f t="shared" ref="A59:A85" si="347">A58</f>
        <v>46256</v>
      </c>
      <c r="B59" s="70" t="s">
        <v>8</v>
      </c>
      <c r="C59" s="72">
        <f t="shared" ref="C59:C84" si="348">SUM(D59,F59)</f>
        <v>0</v>
      </c>
      <c r="D59" s="74">
        <f t="shared" ref="D59:L59" si="341">RANDBETWEEN(0,2)</f>
        <v>0</v>
      </c>
      <c r="E59" s="74">
        <f t="shared" si="341"/>
        <v>0</v>
      </c>
      <c r="F59" s="74">
        <f t="shared" si="341"/>
        <v>0</v>
      </c>
      <c r="G59" s="74">
        <f t="shared" si="341"/>
        <v>0</v>
      </c>
      <c r="H59" s="75">
        <f t="shared" si="341"/>
        <v>0</v>
      </c>
      <c r="I59" s="76">
        <f t="shared" si="341"/>
        <v>1</v>
      </c>
      <c r="J59" s="77">
        <f t="shared" si="341"/>
        <v>2</v>
      </c>
      <c r="K59" s="78">
        <f t="shared" si="341"/>
        <v>1</v>
      </c>
      <c r="L59" s="78">
        <f t="shared" si="341"/>
        <v>0</v>
      </c>
      <c r="M59" s="79">
        <f t="shared" ref="M59:M77" si="350">SUM(N59:T59)</f>
        <v>29</v>
      </c>
      <c r="N59" s="74">
        <f t="shared" ref="N59:T59" si="342">RANDBETWEEN(0,10)</f>
        <v>2</v>
      </c>
      <c r="O59" s="74">
        <f t="shared" si="342"/>
        <v>7</v>
      </c>
      <c r="P59" s="74">
        <f t="shared" si="342"/>
        <v>5</v>
      </c>
      <c r="Q59" s="74">
        <f t="shared" si="342"/>
        <v>0</v>
      </c>
      <c r="R59" s="74">
        <f t="shared" si="342"/>
        <v>5</v>
      </c>
      <c r="S59" s="74">
        <f t="shared" si="342"/>
        <v>4</v>
      </c>
      <c r="T59" s="74">
        <f t="shared" si="342"/>
        <v>6</v>
      </c>
      <c r="U59" s="81">
        <f t="shared" ref="U59:U60" si="352">RANDBETWEEN(10,30)</f>
        <v>19</v>
      </c>
      <c r="V59" s="82">
        <f t="shared" ref="V59:V64" si="353">SUM(W59:Y59)</f>
        <v>3</v>
      </c>
      <c r="W59" s="74">
        <f t="shared" ref="W59:Y59" si="343">RANDBETWEEN(0,2)</f>
        <v>2</v>
      </c>
      <c r="X59" s="74">
        <f t="shared" si="343"/>
        <v>1</v>
      </c>
      <c r="Y59" s="74">
        <f t="shared" si="343"/>
        <v>0</v>
      </c>
      <c r="Z59" s="83">
        <f t="shared" ref="Z59:Z61" si="355">AA59+AB59</f>
        <v>3</v>
      </c>
      <c r="AA59" s="84">
        <f t="shared" ref="AA59:AF59" si="344">RANDBETWEEN(0,2)</f>
        <v>2</v>
      </c>
      <c r="AB59" s="84">
        <f t="shared" si="344"/>
        <v>1</v>
      </c>
      <c r="AC59" s="85">
        <f t="shared" si="344"/>
        <v>2</v>
      </c>
      <c r="AD59" s="85">
        <f t="shared" si="344"/>
        <v>2</v>
      </c>
      <c r="AE59" s="85">
        <f t="shared" si="344"/>
        <v>2</v>
      </c>
      <c r="AF59" s="85">
        <f t="shared" si="344"/>
        <v>2</v>
      </c>
      <c r="AG59" s="86">
        <f t="shared" ref="AG59:AG84" si="357">SUM(AC59:AF59)</f>
        <v>8</v>
      </c>
      <c r="AH59" s="87">
        <f t="shared" ref="AH59:AJ59" si="345">RANDBETWEEN(1,10)</f>
        <v>9</v>
      </c>
      <c r="AI59" s="85">
        <f t="shared" si="345"/>
        <v>4</v>
      </c>
      <c r="AJ59" s="85">
        <f t="shared" si="345"/>
        <v>9</v>
      </c>
      <c r="AK59" s="88">
        <f t="shared" ref="AK59:AK84" si="359">SUM(AH59:AJ59)</f>
        <v>22</v>
      </c>
      <c r="AL59" s="85"/>
      <c r="AM59" s="85"/>
      <c r="AN59" s="85"/>
      <c r="AO59" s="85"/>
      <c r="AP59" s="89"/>
      <c r="AQ59" s="87"/>
      <c r="AR59" s="85"/>
      <c r="AS59" s="85"/>
      <c r="AT59" s="90"/>
      <c r="AU59" s="87"/>
      <c r="AV59" s="85"/>
      <c r="AW59" s="85"/>
      <c r="AX59" s="91"/>
      <c r="AY59" s="92">
        <f t="shared" ref="AY59:AZ59" si="346">RANDBETWEEN(1,10)/10</f>
        <v>0.5</v>
      </c>
      <c r="AZ59" s="92">
        <f t="shared" si="346"/>
        <v>1</v>
      </c>
      <c r="BA59" s="93">
        <v>0.0</v>
      </c>
      <c r="BB59" s="93">
        <v>0.0</v>
      </c>
      <c r="BC59" s="94">
        <f>SUM(BC31,'ГОЧ'!$AY59)</f>
        <v>1201.3</v>
      </c>
      <c r="BD59" s="94">
        <f>SUM(BD31,'ГОЧ'!$AZ59)</f>
        <v>1201.7</v>
      </c>
      <c r="BE59" s="85"/>
      <c r="BF59" s="85"/>
    </row>
    <row r="60" ht="15.75" customHeight="1">
      <c r="A60" s="67">
        <f t="shared" si="347"/>
        <v>46256</v>
      </c>
      <c r="B60" s="95" t="s">
        <v>10</v>
      </c>
      <c r="C60" s="96">
        <f t="shared" si="348"/>
        <v>2</v>
      </c>
      <c r="D60" s="97">
        <f t="shared" ref="D60:L60" si="349">RANDBETWEEN(0,2)</f>
        <v>2</v>
      </c>
      <c r="E60" s="97">
        <f t="shared" si="349"/>
        <v>2</v>
      </c>
      <c r="F60" s="97">
        <f t="shared" si="349"/>
        <v>0</v>
      </c>
      <c r="G60" s="97">
        <f t="shared" si="349"/>
        <v>2</v>
      </c>
      <c r="H60" s="98">
        <f t="shared" si="349"/>
        <v>0</v>
      </c>
      <c r="I60" s="99">
        <f t="shared" si="349"/>
        <v>1</v>
      </c>
      <c r="J60" s="100">
        <f t="shared" si="349"/>
        <v>0</v>
      </c>
      <c r="K60" s="101">
        <f t="shared" si="349"/>
        <v>1</v>
      </c>
      <c r="L60" s="101">
        <f t="shared" si="349"/>
        <v>1</v>
      </c>
      <c r="M60" s="102">
        <f t="shared" si="350"/>
        <v>40</v>
      </c>
      <c r="N60" s="97">
        <f t="shared" ref="N60:T60" si="351">RANDBETWEEN(0,10)</f>
        <v>4</v>
      </c>
      <c r="O60" s="97">
        <f t="shared" si="351"/>
        <v>7</v>
      </c>
      <c r="P60" s="97">
        <f t="shared" si="351"/>
        <v>5</v>
      </c>
      <c r="Q60" s="97">
        <f t="shared" si="351"/>
        <v>5</v>
      </c>
      <c r="R60" s="97">
        <f t="shared" si="351"/>
        <v>3</v>
      </c>
      <c r="S60" s="97">
        <f t="shared" si="351"/>
        <v>8</v>
      </c>
      <c r="T60" s="97">
        <f t="shared" si="351"/>
        <v>8</v>
      </c>
      <c r="U60" s="103">
        <f t="shared" si="352"/>
        <v>23</v>
      </c>
      <c r="V60" s="104">
        <f t="shared" si="353"/>
        <v>4</v>
      </c>
      <c r="W60" s="97">
        <f t="shared" ref="W60:Y60" si="354">RANDBETWEEN(0,2)</f>
        <v>1</v>
      </c>
      <c r="X60" s="97">
        <f t="shared" si="354"/>
        <v>2</v>
      </c>
      <c r="Y60" s="97">
        <f t="shared" si="354"/>
        <v>1</v>
      </c>
      <c r="Z60" s="105">
        <f t="shared" si="355"/>
        <v>1</v>
      </c>
      <c r="AA60" s="106">
        <f t="shared" ref="AA60:AF60" si="356">RANDBETWEEN(0,2)</f>
        <v>0</v>
      </c>
      <c r="AB60" s="106">
        <f t="shared" si="356"/>
        <v>1</v>
      </c>
      <c r="AC60" s="107">
        <f t="shared" si="356"/>
        <v>1</v>
      </c>
      <c r="AD60" s="108">
        <f t="shared" si="356"/>
        <v>1</v>
      </c>
      <c r="AE60" s="108">
        <f t="shared" si="356"/>
        <v>1</v>
      </c>
      <c r="AF60" s="108">
        <f t="shared" si="356"/>
        <v>0</v>
      </c>
      <c r="AG60" s="109">
        <f t="shared" si="357"/>
        <v>3</v>
      </c>
      <c r="AH60" s="107">
        <f t="shared" ref="AH60:AJ60" si="358">RANDBETWEEN(1,10)</f>
        <v>8</v>
      </c>
      <c r="AI60" s="108">
        <f t="shared" si="358"/>
        <v>8</v>
      </c>
      <c r="AJ60" s="108">
        <f t="shared" si="358"/>
        <v>7</v>
      </c>
      <c r="AK60" s="110">
        <f t="shared" si="359"/>
        <v>23</v>
      </c>
      <c r="AL60" s="107"/>
      <c r="AM60" s="108"/>
      <c r="AN60" s="108"/>
      <c r="AO60" s="108"/>
      <c r="AP60" s="111"/>
      <c r="AQ60" s="107"/>
      <c r="AR60" s="108"/>
      <c r="AS60" s="108"/>
      <c r="AT60" s="112"/>
      <c r="AU60" s="107"/>
      <c r="AV60" s="108"/>
      <c r="AW60" s="108"/>
      <c r="AX60" s="113"/>
      <c r="AY60" s="92">
        <f t="shared" ref="AY60:AZ60" si="360">RANDBETWEEN(1,10)/10</f>
        <v>0.6</v>
      </c>
      <c r="AZ60" s="92">
        <f t="shared" si="360"/>
        <v>0.6</v>
      </c>
      <c r="BA60" s="93">
        <v>0.0</v>
      </c>
      <c r="BB60" s="93">
        <v>0.0</v>
      </c>
      <c r="BC60" s="94">
        <f>SUM(BC32,'ГОЧ'!$AY60)</f>
        <v>1201</v>
      </c>
      <c r="BD60" s="94">
        <f>SUM(BD32,'ГОЧ'!$AZ60)</f>
        <v>1201.6</v>
      </c>
      <c r="BE60" s="108"/>
      <c r="BF60" s="108"/>
    </row>
    <row r="61" ht="15.75" customHeight="1">
      <c r="A61" s="67">
        <f t="shared" si="347"/>
        <v>46256</v>
      </c>
      <c r="B61" s="114" t="s">
        <v>12</v>
      </c>
      <c r="C61" s="115">
        <f t="shared" si="348"/>
        <v>0</v>
      </c>
      <c r="D61" s="115">
        <v>0.0</v>
      </c>
      <c r="E61" s="116">
        <v>0.0</v>
      </c>
      <c r="F61" s="116">
        <v>0.0</v>
      </c>
      <c r="G61" s="116">
        <v>0.0</v>
      </c>
      <c r="H61" s="115">
        <v>0.0</v>
      </c>
      <c r="I61" s="116">
        <v>0.0</v>
      </c>
      <c r="J61" s="115">
        <v>0.0</v>
      </c>
      <c r="K61" s="116">
        <v>0.0</v>
      </c>
      <c r="L61" s="116">
        <v>0.0</v>
      </c>
      <c r="M61" s="115">
        <f t="shared" si="350"/>
        <v>0</v>
      </c>
      <c r="N61" s="115">
        <v>0.0</v>
      </c>
      <c r="O61" s="116">
        <v>0.0</v>
      </c>
      <c r="P61" s="116">
        <v>0.0</v>
      </c>
      <c r="Q61" s="116">
        <v>0.0</v>
      </c>
      <c r="R61" s="116">
        <v>0.0</v>
      </c>
      <c r="S61" s="116">
        <v>0.0</v>
      </c>
      <c r="T61" s="116">
        <v>0.0</v>
      </c>
      <c r="U61" s="115">
        <v>0.0</v>
      </c>
      <c r="V61" s="115">
        <f t="shared" si="353"/>
        <v>0</v>
      </c>
      <c r="W61" s="116">
        <v>0.0</v>
      </c>
      <c r="X61" s="116">
        <v>0.0</v>
      </c>
      <c r="Y61" s="116">
        <v>0.0</v>
      </c>
      <c r="Z61" s="116">
        <f t="shared" si="355"/>
        <v>0</v>
      </c>
      <c r="AA61" s="116">
        <v>0.0</v>
      </c>
      <c r="AB61" s="116">
        <v>0.0</v>
      </c>
      <c r="AC61" s="117">
        <v>0.0</v>
      </c>
      <c r="AD61" s="118">
        <v>0.0</v>
      </c>
      <c r="AE61" s="118">
        <v>0.0</v>
      </c>
      <c r="AF61" s="118">
        <v>0.0</v>
      </c>
      <c r="AG61" s="119">
        <f t="shared" si="357"/>
        <v>0</v>
      </c>
      <c r="AH61" s="117">
        <v>0.0</v>
      </c>
      <c r="AI61" s="118">
        <v>0.0</v>
      </c>
      <c r="AJ61" s="118">
        <v>0.0</v>
      </c>
      <c r="AK61" s="119">
        <f t="shared" si="359"/>
        <v>0</v>
      </c>
      <c r="AL61" s="117"/>
      <c r="AM61" s="118"/>
      <c r="AN61" s="118"/>
      <c r="AO61" s="118"/>
      <c r="AP61" s="111"/>
      <c r="AQ61" s="117"/>
      <c r="AR61" s="118"/>
      <c r="AS61" s="118"/>
      <c r="AT61" s="120"/>
      <c r="AU61" s="117"/>
      <c r="AV61" s="118"/>
      <c r="AW61" s="118"/>
      <c r="AX61" s="121"/>
      <c r="AY61" s="122">
        <f t="shared" ref="AY61:BD61" si="361">SUM(AY59:AY60)</f>
        <v>1.1</v>
      </c>
      <c r="AZ61" s="122">
        <f t="shared" si="361"/>
        <v>1.6</v>
      </c>
      <c r="BA61" s="118">
        <f t="shared" si="361"/>
        <v>0</v>
      </c>
      <c r="BB61" s="118">
        <f t="shared" si="361"/>
        <v>0</v>
      </c>
      <c r="BC61" s="123">
        <f t="shared" si="361"/>
        <v>2402.3</v>
      </c>
      <c r="BD61" s="123">
        <f t="shared" si="361"/>
        <v>2403.3</v>
      </c>
      <c r="BE61" s="118"/>
      <c r="BF61" s="118"/>
    </row>
    <row r="62" ht="15.75" customHeight="1">
      <c r="A62" s="67">
        <f t="shared" si="347"/>
        <v>46256</v>
      </c>
      <c r="B62" s="124" t="s">
        <v>14</v>
      </c>
      <c r="C62" s="96">
        <f t="shared" si="348"/>
        <v>2</v>
      </c>
      <c r="D62" s="125">
        <f t="shared" ref="D62:L62" si="362">RANDBETWEEN(0,2)</f>
        <v>1</v>
      </c>
      <c r="E62" s="125">
        <f t="shared" si="362"/>
        <v>0</v>
      </c>
      <c r="F62" s="125">
        <f t="shared" si="362"/>
        <v>1</v>
      </c>
      <c r="G62" s="125">
        <f t="shared" si="362"/>
        <v>0</v>
      </c>
      <c r="H62" s="126">
        <f t="shared" si="362"/>
        <v>2</v>
      </c>
      <c r="I62" s="127">
        <f t="shared" si="362"/>
        <v>0</v>
      </c>
      <c r="J62" s="128">
        <f t="shared" si="362"/>
        <v>2</v>
      </c>
      <c r="K62" s="130">
        <f t="shared" si="362"/>
        <v>2</v>
      </c>
      <c r="L62" s="130">
        <f t="shared" si="362"/>
        <v>1</v>
      </c>
      <c r="M62" s="102">
        <f t="shared" si="350"/>
        <v>37</v>
      </c>
      <c r="N62" s="125">
        <f t="shared" ref="N62:T62" si="363">RANDBETWEEN(0,10)</f>
        <v>10</v>
      </c>
      <c r="O62" s="125">
        <f t="shared" si="363"/>
        <v>10</v>
      </c>
      <c r="P62" s="125">
        <f t="shared" si="363"/>
        <v>7</v>
      </c>
      <c r="Q62" s="125">
        <f t="shared" si="363"/>
        <v>1</v>
      </c>
      <c r="R62" s="125">
        <f t="shared" si="363"/>
        <v>2</v>
      </c>
      <c r="S62" s="125">
        <f t="shared" si="363"/>
        <v>1</v>
      </c>
      <c r="T62" s="125">
        <f t="shared" si="363"/>
        <v>6</v>
      </c>
      <c r="U62" s="103">
        <f t="shared" ref="U62:U63" si="370">RANDBETWEEN(10,30)</f>
        <v>10</v>
      </c>
      <c r="V62" s="131">
        <f t="shared" si="353"/>
        <v>3</v>
      </c>
      <c r="W62" s="125">
        <f t="shared" ref="W62:Y62" si="364">RANDBETWEEN(0,2)</f>
        <v>2</v>
      </c>
      <c r="X62" s="125">
        <f t="shared" si="364"/>
        <v>1</v>
      </c>
      <c r="Y62" s="125">
        <f t="shared" si="364"/>
        <v>0</v>
      </c>
      <c r="Z62" s="132">
        <f t="shared" ref="Z62:Z65" si="372">SUM(AA62:AB62)</f>
        <v>2</v>
      </c>
      <c r="AA62" s="133">
        <f t="shared" ref="AA62:AF62" si="365">RANDBETWEEN(0,2)</f>
        <v>2</v>
      </c>
      <c r="AB62" s="133">
        <f t="shared" si="365"/>
        <v>0</v>
      </c>
      <c r="AC62" s="134">
        <f t="shared" si="365"/>
        <v>1</v>
      </c>
      <c r="AD62" s="134">
        <f t="shared" si="365"/>
        <v>1</v>
      </c>
      <c r="AE62" s="134">
        <f t="shared" si="365"/>
        <v>0</v>
      </c>
      <c r="AF62" s="134">
        <f t="shared" si="365"/>
        <v>0</v>
      </c>
      <c r="AG62" s="135">
        <f t="shared" si="357"/>
        <v>2</v>
      </c>
      <c r="AH62" s="136">
        <f t="shared" ref="AH62:AJ62" si="366">RANDBETWEEN(1,10)</f>
        <v>5</v>
      </c>
      <c r="AI62" s="134">
        <f t="shared" si="366"/>
        <v>10</v>
      </c>
      <c r="AJ62" s="134">
        <f t="shared" si="366"/>
        <v>9</v>
      </c>
      <c r="AK62" s="137">
        <f t="shared" si="359"/>
        <v>24</v>
      </c>
      <c r="AL62" s="134"/>
      <c r="AM62" s="134"/>
      <c r="AN62" s="134"/>
      <c r="AO62" s="134"/>
      <c r="AP62" s="111"/>
      <c r="AQ62" s="136"/>
      <c r="AR62" s="134"/>
      <c r="AS62" s="134"/>
      <c r="AT62" s="120"/>
      <c r="AU62" s="136"/>
      <c r="AV62" s="134"/>
      <c r="AW62" s="134"/>
      <c r="AX62" s="121"/>
      <c r="AY62" s="92">
        <f t="shared" ref="AY62:AZ62" si="367">RANDBETWEEN(1,10)/10</f>
        <v>0.9</v>
      </c>
      <c r="AZ62" s="92">
        <f t="shared" si="367"/>
        <v>0.9</v>
      </c>
      <c r="BA62" s="93">
        <v>0.0</v>
      </c>
      <c r="BB62" s="93">
        <v>0.0</v>
      </c>
      <c r="BC62" s="94">
        <f>SUM(BC34,'ГОЧ'!$AY62)</f>
        <v>1201.4</v>
      </c>
      <c r="BD62" s="94">
        <f>SUM(BD34,'ГОЧ'!$AZ62)</f>
        <v>1201.1</v>
      </c>
      <c r="BE62" s="108"/>
      <c r="BF62" s="108"/>
    </row>
    <row r="63" ht="15.75" customHeight="1">
      <c r="A63" s="67">
        <f t="shared" si="347"/>
        <v>46256</v>
      </c>
      <c r="B63" s="138" t="s">
        <v>16</v>
      </c>
      <c r="C63" s="139">
        <f t="shared" si="348"/>
        <v>1</v>
      </c>
      <c r="D63" s="97">
        <f t="shared" ref="D63:L63" si="368">RANDBETWEEN(0,2)</f>
        <v>0</v>
      </c>
      <c r="E63" s="97">
        <f t="shared" si="368"/>
        <v>0</v>
      </c>
      <c r="F63" s="97">
        <f t="shared" si="368"/>
        <v>1</v>
      </c>
      <c r="G63" s="97">
        <f t="shared" si="368"/>
        <v>2</v>
      </c>
      <c r="H63" s="98">
        <f t="shared" si="368"/>
        <v>2</v>
      </c>
      <c r="I63" s="99">
        <f t="shared" si="368"/>
        <v>1</v>
      </c>
      <c r="J63" s="100">
        <f t="shared" si="368"/>
        <v>2</v>
      </c>
      <c r="K63" s="101">
        <f t="shared" si="368"/>
        <v>0</v>
      </c>
      <c r="L63" s="101">
        <f t="shared" si="368"/>
        <v>0</v>
      </c>
      <c r="M63" s="140">
        <f t="shared" si="350"/>
        <v>47</v>
      </c>
      <c r="N63" s="97">
        <f t="shared" ref="N63:T63" si="369">RANDBETWEEN(0,10)</f>
        <v>10</v>
      </c>
      <c r="O63" s="97">
        <f t="shared" si="369"/>
        <v>8</v>
      </c>
      <c r="P63" s="97">
        <f t="shared" si="369"/>
        <v>4</v>
      </c>
      <c r="Q63" s="97">
        <f t="shared" si="369"/>
        <v>8</v>
      </c>
      <c r="R63" s="97">
        <f t="shared" si="369"/>
        <v>2</v>
      </c>
      <c r="S63" s="97">
        <f t="shared" si="369"/>
        <v>8</v>
      </c>
      <c r="T63" s="97">
        <f t="shared" si="369"/>
        <v>7</v>
      </c>
      <c r="U63" s="103">
        <f t="shared" si="370"/>
        <v>21</v>
      </c>
      <c r="V63" s="141">
        <f t="shared" si="353"/>
        <v>3</v>
      </c>
      <c r="W63" s="97">
        <f t="shared" ref="W63:Y63" si="371">RANDBETWEEN(0,2)</f>
        <v>1</v>
      </c>
      <c r="X63" s="97">
        <f t="shared" si="371"/>
        <v>2</v>
      </c>
      <c r="Y63" s="97">
        <f t="shared" si="371"/>
        <v>0</v>
      </c>
      <c r="Z63" s="142">
        <f t="shared" si="372"/>
        <v>3</v>
      </c>
      <c r="AA63" s="143">
        <f t="shared" ref="AA63:AF63" si="373">RANDBETWEEN(0,2)</f>
        <v>1</v>
      </c>
      <c r="AB63" s="143">
        <f t="shared" si="373"/>
        <v>2</v>
      </c>
      <c r="AC63" s="144">
        <f t="shared" si="373"/>
        <v>2</v>
      </c>
      <c r="AD63" s="145">
        <f t="shared" si="373"/>
        <v>0</v>
      </c>
      <c r="AE63" s="145">
        <f t="shared" si="373"/>
        <v>0</v>
      </c>
      <c r="AF63" s="145">
        <f t="shared" si="373"/>
        <v>2</v>
      </c>
      <c r="AG63" s="146">
        <f t="shared" si="357"/>
        <v>4</v>
      </c>
      <c r="AH63" s="144">
        <f t="shared" ref="AH63:AJ63" si="374">RANDBETWEEN(1,10)</f>
        <v>9</v>
      </c>
      <c r="AI63" s="145">
        <f t="shared" si="374"/>
        <v>4</v>
      </c>
      <c r="AJ63" s="145">
        <f t="shared" si="374"/>
        <v>10</v>
      </c>
      <c r="AK63" s="147">
        <f t="shared" si="359"/>
        <v>23</v>
      </c>
      <c r="AL63" s="144"/>
      <c r="AM63" s="145"/>
      <c r="AN63" s="145"/>
      <c r="AO63" s="145"/>
      <c r="AP63" s="148"/>
      <c r="AQ63" s="144"/>
      <c r="AR63" s="145"/>
      <c r="AS63" s="145"/>
      <c r="AT63" s="149"/>
      <c r="AU63" s="144"/>
      <c r="AV63" s="145"/>
      <c r="AW63" s="145"/>
      <c r="AX63" s="150"/>
      <c r="AY63" s="92">
        <f t="shared" ref="AY63:AZ63" si="375">RANDBETWEEN(1,10)/10</f>
        <v>0.8</v>
      </c>
      <c r="AZ63" s="92">
        <f t="shared" si="375"/>
        <v>0.3</v>
      </c>
      <c r="BA63" s="93">
        <v>0.0</v>
      </c>
      <c r="BB63" s="93">
        <v>0.0</v>
      </c>
      <c r="BC63" s="94">
        <f>SUM(BC35,'ГОЧ'!$AY63)</f>
        <v>1201.1</v>
      </c>
      <c r="BD63" s="94">
        <f>SUM(BD35,'ГОЧ'!$AZ63)</f>
        <v>1201</v>
      </c>
      <c r="BE63" s="108"/>
      <c r="BF63" s="108"/>
    </row>
    <row r="64" ht="15.75" customHeight="1">
      <c r="A64" s="67">
        <f t="shared" si="347"/>
        <v>46256</v>
      </c>
      <c r="B64" s="114" t="s">
        <v>18</v>
      </c>
      <c r="C64" s="115">
        <f t="shared" si="348"/>
        <v>3</v>
      </c>
      <c r="D64" s="115">
        <f t="shared" ref="D64:L64" si="376">SUM(D62:D63)</f>
        <v>1</v>
      </c>
      <c r="E64" s="116">
        <f t="shared" si="376"/>
        <v>0</v>
      </c>
      <c r="F64" s="116">
        <f t="shared" si="376"/>
        <v>2</v>
      </c>
      <c r="G64" s="116">
        <f t="shared" si="376"/>
        <v>2</v>
      </c>
      <c r="H64" s="115">
        <f t="shared" si="376"/>
        <v>4</v>
      </c>
      <c r="I64" s="116">
        <f t="shared" si="376"/>
        <v>1</v>
      </c>
      <c r="J64" s="115">
        <f t="shared" si="376"/>
        <v>4</v>
      </c>
      <c r="K64" s="116">
        <f t="shared" si="376"/>
        <v>2</v>
      </c>
      <c r="L64" s="116">
        <f t="shared" si="376"/>
        <v>1</v>
      </c>
      <c r="M64" s="115">
        <f t="shared" si="350"/>
        <v>80</v>
      </c>
      <c r="N64" s="115">
        <f t="shared" ref="N64:Q64" si="377">SUM(N62:N63)</f>
        <v>20</v>
      </c>
      <c r="O64" s="116">
        <f t="shared" si="377"/>
        <v>18</v>
      </c>
      <c r="P64" s="116">
        <f t="shared" si="377"/>
        <v>11</v>
      </c>
      <c r="Q64" s="116">
        <f t="shared" si="377"/>
        <v>9</v>
      </c>
      <c r="R64" s="116">
        <v>0.0</v>
      </c>
      <c r="S64" s="116">
        <f t="shared" ref="S64:U64" si="378">SUM(S62:S63)</f>
        <v>9</v>
      </c>
      <c r="T64" s="116">
        <f t="shared" si="378"/>
        <v>13</v>
      </c>
      <c r="U64" s="115">
        <f t="shared" si="378"/>
        <v>31</v>
      </c>
      <c r="V64" s="115">
        <f t="shared" si="353"/>
        <v>6</v>
      </c>
      <c r="W64" s="116">
        <f t="shared" ref="W64:Y64" si="379">SUM(W62:W63)</f>
        <v>3</v>
      </c>
      <c r="X64" s="116">
        <f t="shared" si="379"/>
        <v>3</v>
      </c>
      <c r="Y64" s="116">
        <f t="shared" si="379"/>
        <v>0</v>
      </c>
      <c r="Z64" s="116">
        <f t="shared" si="372"/>
        <v>5</v>
      </c>
      <c r="AA64" s="116">
        <f t="shared" ref="AA64:AF64" si="380">SUM(AA62:AA63)</f>
        <v>3</v>
      </c>
      <c r="AB64" s="116">
        <f t="shared" si="380"/>
        <v>2</v>
      </c>
      <c r="AC64" s="118">
        <f t="shared" si="380"/>
        <v>3</v>
      </c>
      <c r="AD64" s="118">
        <f t="shared" si="380"/>
        <v>1</v>
      </c>
      <c r="AE64" s="118">
        <f t="shared" si="380"/>
        <v>0</v>
      </c>
      <c r="AF64" s="118">
        <f t="shared" si="380"/>
        <v>2</v>
      </c>
      <c r="AG64" s="117">
        <f t="shared" si="357"/>
        <v>6</v>
      </c>
      <c r="AH64" s="117">
        <f t="shared" ref="AH64:AJ64" si="381">SUM(AH62:AH63)</f>
        <v>14</v>
      </c>
      <c r="AI64" s="118">
        <f t="shared" si="381"/>
        <v>14</v>
      </c>
      <c r="AJ64" s="118">
        <f t="shared" si="381"/>
        <v>19</v>
      </c>
      <c r="AK64" s="117">
        <f t="shared" si="359"/>
        <v>47</v>
      </c>
      <c r="AL64" s="118"/>
      <c r="AM64" s="118"/>
      <c r="AN64" s="118"/>
      <c r="AO64" s="118"/>
      <c r="AP64" s="151"/>
      <c r="AQ64" s="117"/>
      <c r="AR64" s="118"/>
      <c r="AS64" s="118"/>
      <c r="AT64" s="152"/>
      <c r="AU64" s="117"/>
      <c r="AV64" s="118"/>
      <c r="AW64" s="118"/>
      <c r="AX64" s="153"/>
      <c r="AY64" s="122">
        <f t="shared" ref="AY64:BD64" si="382">SUM(AY62:AY63)</f>
        <v>1.7</v>
      </c>
      <c r="AZ64" s="122">
        <f t="shared" si="382"/>
        <v>1.2</v>
      </c>
      <c r="BA64" s="118">
        <f t="shared" si="382"/>
        <v>0</v>
      </c>
      <c r="BB64" s="118">
        <f t="shared" si="382"/>
        <v>0</v>
      </c>
      <c r="BC64" s="123">
        <f t="shared" si="382"/>
        <v>2402.5</v>
      </c>
      <c r="BD64" s="123">
        <f t="shared" si="382"/>
        <v>2402.1</v>
      </c>
      <c r="BE64" s="154" t="str">
        <f t="shared" ref="BE64:BF64" si="383">TEXTJOIN(", ",TRUE,BE62:BE63)</f>
        <v/>
      </c>
      <c r="BF64" s="154" t="str">
        <f t="shared" si="383"/>
        <v/>
      </c>
    </row>
    <row r="65" ht="15.75" customHeight="1">
      <c r="A65" s="67">
        <f t="shared" si="347"/>
        <v>46256</v>
      </c>
      <c r="B65" s="114" t="s">
        <v>20</v>
      </c>
      <c r="C65" s="115">
        <f t="shared" si="348"/>
        <v>5</v>
      </c>
      <c r="D65" s="115">
        <v>3.0</v>
      </c>
      <c r="E65" s="116">
        <v>0.0</v>
      </c>
      <c r="F65" s="116">
        <v>2.0</v>
      </c>
      <c r="G65" s="116">
        <v>2.0</v>
      </c>
      <c r="H65" s="115">
        <v>0.0</v>
      </c>
      <c r="I65" s="116">
        <v>0.0</v>
      </c>
      <c r="J65" s="115">
        <v>1.0</v>
      </c>
      <c r="K65" s="116">
        <v>1.0</v>
      </c>
      <c r="L65" s="116">
        <v>0.0</v>
      </c>
      <c r="M65" s="115">
        <f t="shared" si="350"/>
        <v>38</v>
      </c>
      <c r="N65" s="115">
        <v>0.0</v>
      </c>
      <c r="O65" s="116">
        <v>0.0</v>
      </c>
      <c r="P65" s="116">
        <v>0.0</v>
      </c>
      <c r="Q65" s="116">
        <v>9.0</v>
      </c>
      <c r="R65" s="116">
        <v>0.0</v>
      </c>
      <c r="S65" s="116">
        <v>0.0</v>
      </c>
      <c r="T65" s="116">
        <v>29.0</v>
      </c>
      <c r="U65" s="115">
        <v>7.0</v>
      </c>
      <c r="V65" s="115">
        <f t="shared" ref="V65:V84" si="387">W65+X65+Y65</f>
        <v>0</v>
      </c>
      <c r="W65" s="116">
        <v>0.0</v>
      </c>
      <c r="X65" s="116">
        <v>0.0</v>
      </c>
      <c r="Y65" s="116">
        <v>0.0</v>
      </c>
      <c r="Z65" s="116">
        <f t="shared" si="372"/>
        <v>0</v>
      </c>
      <c r="AA65" s="116">
        <v>0.0</v>
      </c>
      <c r="AB65" s="116">
        <v>0.0</v>
      </c>
      <c r="AC65" s="117">
        <v>0.0</v>
      </c>
      <c r="AD65" s="118">
        <v>1.0</v>
      </c>
      <c r="AE65" s="118">
        <v>0.0</v>
      </c>
      <c r="AF65" s="118">
        <v>0.0</v>
      </c>
      <c r="AG65" s="119">
        <f t="shared" si="357"/>
        <v>1</v>
      </c>
      <c r="AH65" s="117">
        <v>6.0</v>
      </c>
      <c r="AI65" s="118">
        <v>5.0</v>
      </c>
      <c r="AJ65" s="118">
        <v>0.0</v>
      </c>
      <c r="AK65" s="119">
        <f t="shared" si="359"/>
        <v>11</v>
      </c>
      <c r="AL65" s="117"/>
      <c r="AM65" s="118"/>
      <c r="AN65" s="118"/>
      <c r="AO65" s="118"/>
      <c r="AP65" s="111"/>
      <c r="AQ65" s="117"/>
      <c r="AR65" s="118"/>
      <c r="AS65" s="118"/>
      <c r="AT65" s="120"/>
      <c r="AU65" s="117"/>
      <c r="AV65" s="118"/>
      <c r="AW65" s="118"/>
      <c r="AX65" s="121"/>
      <c r="AY65" s="122">
        <f t="shared" ref="AY65:AZ65" si="384">RANDBETWEEN(1,10)</f>
        <v>1</v>
      </c>
      <c r="AZ65" s="122">
        <f t="shared" si="384"/>
        <v>2</v>
      </c>
      <c r="BA65" s="118">
        <v>2.0</v>
      </c>
      <c r="BB65" s="118">
        <v>0.0</v>
      </c>
      <c r="BC65" s="123">
        <v>1.0</v>
      </c>
      <c r="BD65" s="123">
        <v>2.0</v>
      </c>
      <c r="BE65" s="118" t="s">
        <v>157</v>
      </c>
      <c r="BF65" s="118"/>
    </row>
    <row r="66" ht="15.75" customHeight="1">
      <c r="A66" s="67">
        <f t="shared" si="347"/>
        <v>46256</v>
      </c>
      <c r="B66" s="124" t="s">
        <v>21</v>
      </c>
      <c r="C66" s="155">
        <f t="shared" si="348"/>
        <v>2</v>
      </c>
      <c r="D66" s="125">
        <f t="shared" ref="D66:L66" si="385">RANDBETWEEN(0,2)</f>
        <v>0</v>
      </c>
      <c r="E66" s="125">
        <f t="shared" si="385"/>
        <v>0</v>
      </c>
      <c r="F66" s="125">
        <f t="shared" si="385"/>
        <v>2</v>
      </c>
      <c r="G66" s="125">
        <f t="shared" si="385"/>
        <v>0</v>
      </c>
      <c r="H66" s="126">
        <f t="shared" si="385"/>
        <v>2</v>
      </c>
      <c r="I66" s="127">
        <f t="shared" si="385"/>
        <v>2</v>
      </c>
      <c r="J66" s="128">
        <f t="shared" si="385"/>
        <v>0</v>
      </c>
      <c r="K66" s="130">
        <f t="shared" si="385"/>
        <v>2</v>
      </c>
      <c r="L66" s="130">
        <f t="shared" si="385"/>
        <v>1</v>
      </c>
      <c r="M66" s="102">
        <f t="shared" si="350"/>
        <v>26</v>
      </c>
      <c r="N66" s="125">
        <f t="shared" ref="N66:T66" si="386">RANDBETWEEN(0,10)</f>
        <v>6</v>
      </c>
      <c r="O66" s="125">
        <f t="shared" si="386"/>
        <v>3</v>
      </c>
      <c r="P66" s="125">
        <f t="shared" si="386"/>
        <v>5</v>
      </c>
      <c r="Q66" s="125">
        <f t="shared" si="386"/>
        <v>2</v>
      </c>
      <c r="R66" s="125">
        <f t="shared" si="386"/>
        <v>1</v>
      </c>
      <c r="S66" s="125">
        <f t="shared" si="386"/>
        <v>4</v>
      </c>
      <c r="T66" s="125">
        <f t="shared" si="386"/>
        <v>5</v>
      </c>
      <c r="U66" s="103">
        <f t="shared" ref="U66:U70" si="394">RANDBETWEEN(10,30)</f>
        <v>20</v>
      </c>
      <c r="V66" s="104">
        <f t="shared" si="387"/>
        <v>3</v>
      </c>
      <c r="W66" s="125">
        <f t="shared" ref="W66:Y66" si="388">RANDBETWEEN(0,2)</f>
        <v>1</v>
      </c>
      <c r="X66" s="125">
        <f t="shared" si="388"/>
        <v>2</v>
      </c>
      <c r="Y66" s="125">
        <f t="shared" si="388"/>
        <v>0</v>
      </c>
      <c r="Z66" s="105">
        <f t="shared" ref="Z66:Z83" si="396">AA66+AB66</f>
        <v>2</v>
      </c>
      <c r="AA66" s="133">
        <f t="shared" ref="AA66:AF66" si="389">RANDBETWEEN(0,2)</f>
        <v>0</v>
      </c>
      <c r="AB66" s="133">
        <f t="shared" si="389"/>
        <v>2</v>
      </c>
      <c r="AC66" s="136">
        <f t="shared" si="389"/>
        <v>2</v>
      </c>
      <c r="AD66" s="134">
        <f t="shared" si="389"/>
        <v>1</v>
      </c>
      <c r="AE66" s="134">
        <f t="shared" si="389"/>
        <v>2</v>
      </c>
      <c r="AF66" s="134">
        <f t="shared" si="389"/>
        <v>0</v>
      </c>
      <c r="AG66" s="156">
        <f t="shared" si="357"/>
        <v>5</v>
      </c>
      <c r="AH66" s="136">
        <f t="shared" ref="AH66:AJ66" si="390">RANDBETWEEN(1,10)</f>
        <v>2</v>
      </c>
      <c r="AI66" s="134">
        <f t="shared" si="390"/>
        <v>3</v>
      </c>
      <c r="AJ66" s="134">
        <f t="shared" si="390"/>
        <v>8</v>
      </c>
      <c r="AK66" s="137">
        <f t="shared" si="359"/>
        <v>13</v>
      </c>
      <c r="AL66" s="136"/>
      <c r="AM66" s="134"/>
      <c r="AN66" s="134"/>
      <c r="AO66" s="134"/>
      <c r="AP66" s="111"/>
      <c r="AQ66" s="136"/>
      <c r="AR66" s="134"/>
      <c r="AS66" s="134"/>
      <c r="AT66" s="120"/>
      <c r="AU66" s="136"/>
      <c r="AV66" s="134"/>
      <c r="AW66" s="134"/>
      <c r="AX66" s="121"/>
      <c r="AY66" s="92">
        <f t="shared" ref="AY66:AZ66" si="391">RANDBETWEEN(1,10)/10</f>
        <v>0.5</v>
      </c>
      <c r="AZ66" s="92">
        <f t="shared" si="391"/>
        <v>0.9</v>
      </c>
      <c r="BA66" s="93">
        <v>1.0</v>
      </c>
      <c r="BB66" s="93">
        <v>0.0</v>
      </c>
      <c r="BC66" s="94">
        <f>SUM(BC38,'ГОЧ'!$AY66)</f>
        <v>1201.4</v>
      </c>
      <c r="BD66" s="94">
        <f>SUM(BD38,'ГОЧ'!$AZ66)</f>
        <v>1201.6</v>
      </c>
      <c r="BE66" s="108" t="s">
        <v>162</v>
      </c>
      <c r="BF66" s="108"/>
    </row>
    <row r="67" ht="15.75" customHeight="1">
      <c r="A67" s="67">
        <f t="shared" si="347"/>
        <v>46256</v>
      </c>
      <c r="B67" s="138" t="s">
        <v>23</v>
      </c>
      <c r="C67" s="157">
        <f t="shared" si="348"/>
        <v>3</v>
      </c>
      <c r="D67" s="97">
        <f t="shared" ref="D67:L67" si="392">RANDBETWEEN(0,2)</f>
        <v>2</v>
      </c>
      <c r="E67" s="97">
        <f t="shared" si="392"/>
        <v>0</v>
      </c>
      <c r="F67" s="97">
        <f t="shared" si="392"/>
        <v>1</v>
      </c>
      <c r="G67" s="97">
        <f t="shared" si="392"/>
        <v>2</v>
      </c>
      <c r="H67" s="98">
        <f t="shared" si="392"/>
        <v>2</v>
      </c>
      <c r="I67" s="99">
        <f t="shared" si="392"/>
        <v>2</v>
      </c>
      <c r="J67" s="100">
        <f t="shared" si="392"/>
        <v>1</v>
      </c>
      <c r="K67" s="101">
        <f t="shared" si="392"/>
        <v>2</v>
      </c>
      <c r="L67" s="101">
        <f t="shared" si="392"/>
        <v>0</v>
      </c>
      <c r="M67" s="140">
        <f t="shared" si="350"/>
        <v>29</v>
      </c>
      <c r="N67" s="97">
        <f t="shared" ref="N67:T67" si="393">RANDBETWEEN(0,10)</f>
        <v>7</v>
      </c>
      <c r="O67" s="97">
        <f t="shared" si="393"/>
        <v>1</v>
      </c>
      <c r="P67" s="97">
        <f t="shared" si="393"/>
        <v>7</v>
      </c>
      <c r="Q67" s="97">
        <f t="shared" si="393"/>
        <v>0</v>
      </c>
      <c r="R67" s="97">
        <f t="shared" si="393"/>
        <v>0</v>
      </c>
      <c r="S67" s="97">
        <f t="shared" si="393"/>
        <v>6</v>
      </c>
      <c r="T67" s="97">
        <f t="shared" si="393"/>
        <v>8</v>
      </c>
      <c r="U67" s="103">
        <f t="shared" si="394"/>
        <v>16</v>
      </c>
      <c r="V67" s="158">
        <f t="shared" si="387"/>
        <v>1</v>
      </c>
      <c r="W67" s="97">
        <f t="shared" ref="W67:Y67" si="395">RANDBETWEEN(0,2)</f>
        <v>0</v>
      </c>
      <c r="X67" s="97">
        <f t="shared" si="395"/>
        <v>0</v>
      </c>
      <c r="Y67" s="97">
        <f t="shared" si="395"/>
        <v>1</v>
      </c>
      <c r="Z67" s="159">
        <f t="shared" si="396"/>
        <v>2</v>
      </c>
      <c r="AA67" s="143">
        <f t="shared" ref="AA67:AF67" si="397">RANDBETWEEN(0,2)</f>
        <v>2</v>
      </c>
      <c r="AB67" s="143">
        <f t="shared" si="397"/>
        <v>0</v>
      </c>
      <c r="AC67" s="144">
        <f t="shared" si="397"/>
        <v>2</v>
      </c>
      <c r="AD67" s="145">
        <f t="shared" si="397"/>
        <v>1</v>
      </c>
      <c r="AE67" s="145">
        <f t="shared" si="397"/>
        <v>1</v>
      </c>
      <c r="AF67" s="145">
        <f t="shared" si="397"/>
        <v>2</v>
      </c>
      <c r="AG67" s="160">
        <f t="shared" si="357"/>
        <v>6</v>
      </c>
      <c r="AH67" s="144">
        <f t="shared" ref="AH67:AJ67" si="398">RANDBETWEEN(1,10)</f>
        <v>3</v>
      </c>
      <c r="AI67" s="145">
        <f t="shared" si="398"/>
        <v>7</v>
      </c>
      <c r="AJ67" s="145">
        <f t="shared" si="398"/>
        <v>4</v>
      </c>
      <c r="AK67" s="147">
        <f t="shared" si="359"/>
        <v>14</v>
      </c>
      <c r="AL67" s="144"/>
      <c r="AM67" s="145"/>
      <c r="AN67" s="145"/>
      <c r="AO67" s="145"/>
      <c r="AP67" s="148"/>
      <c r="AQ67" s="144"/>
      <c r="AR67" s="145"/>
      <c r="AS67" s="145"/>
      <c r="AT67" s="149"/>
      <c r="AU67" s="144"/>
      <c r="AV67" s="145"/>
      <c r="AW67" s="145"/>
      <c r="AX67" s="150"/>
      <c r="AY67" s="92">
        <f t="shared" ref="AY67:AZ67" si="399">RANDBETWEEN(1,10)/10</f>
        <v>0.9</v>
      </c>
      <c r="AZ67" s="92">
        <f t="shared" si="399"/>
        <v>1</v>
      </c>
      <c r="BA67" s="93">
        <v>1.0</v>
      </c>
      <c r="BB67" s="93">
        <v>2.0</v>
      </c>
      <c r="BC67" s="94">
        <f>SUM(BC39,'ГОЧ'!$AY67)</f>
        <v>1201.7</v>
      </c>
      <c r="BD67" s="94">
        <f>SUM(BD39,'ГОЧ'!$AZ67)</f>
        <v>1201.5</v>
      </c>
      <c r="BE67" s="108" t="s">
        <v>165</v>
      </c>
      <c r="BF67" s="108" t="s">
        <v>166</v>
      </c>
    </row>
    <row r="68" ht="15.75" customHeight="1">
      <c r="A68" s="67">
        <f t="shared" si="347"/>
        <v>46256</v>
      </c>
      <c r="B68" s="138" t="s">
        <v>25</v>
      </c>
      <c r="C68" s="157">
        <f t="shared" si="348"/>
        <v>1</v>
      </c>
      <c r="D68" s="97">
        <f t="shared" ref="D68:L68" si="400">RANDBETWEEN(0,2)</f>
        <v>1</v>
      </c>
      <c r="E68" s="97">
        <f t="shared" si="400"/>
        <v>1</v>
      </c>
      <c r="F68" s="97">
        <f t="shared" si="400"/>
        <v>0</v>
      </c>
      <c r="G68" s="97">
        <f t="shared" si="400"/>
        <v>1</v>
      </c>
      <c r="H68" s="98">
        <f t="shared" si="400"/>
        <v>1</v>
      </c>
      <c r="I68" s="99">
        <f t="shared" si="400"/>
        <v>1</v>
      </c>
      <c r="J68" s="100">
        <f t="shared" si="400"/>
        <v>1</v>
      </c>
      <c r="K68" s="101">
        <f t="shared" si="400"/>
        <v>2</v>
      </c>
      <c r="L68" s="101">
        <f t="shared" si="400"/>
        <v>1</v>
      </c>
      <c r="M68" s="140">
        <f t="shared" si="350"/>
        <v>28</v>
      </c>
      <c r="N68" s="97">
        <f t="shared" ref="N68:T68" si="401">RANDBETWEEN(0,10)</f>
        <v>0</v>
      </c>
      <c r="O68" s="97">
        <f t="shared" si="401"/>
        <v>7</v>
      </c>
      <c r="P68" s="97">
        <f t="shared" si="401"/>
        <v>5</v>
      </c>
      <c r="Q68" s="97">
        <f t="shared" si="401"/>
        <v>5</v>
      </c>
      <c r="R68" s="97">
        <f t="shared" si="401"/>
        <v>1</v>
      </c>
      <c r="S68" s="97">
        <f t="shared" si="401"/>
        <v>9</v>
      </c>
      <c r="T68" s="97">
        <f t="shared" si="401"/>
        <v>1</v>
      </c>
      <c r="U68" s="103">
        <f t="shared" si="394"/>
        <v>22</v>
      </c>
      <c r="V68" s="158">
        <f t="shared" si="387"/>
        <v>3</v>
      </c>
      <c r="W68" s="97">
        <f t="shared" ref="W68:Y68" si="402">RANDBETWEEN(0,2)</f>
        <v>1</v>
      </c>
      <c r="X68" s="97">
        <f t="shared" si="402"/>
        <v>0</v>
      </c>
      <c r="Y68" s="97">
        <f t="shared" si="402"/>
        <v>2</v>
      </c>
      <c r="Z68" s="159">
        <f t="shared" si="396"/>
        <v>1</v>
      </c>
      <c r="AA68" s="106">
        <f t="shared" ref="AA68:AF68" si="403">RANDBETWEEN(0,2)</f>
        <v>0</v>
      </c>
      <c r="AB68" s="106">
        <f t="shared" si="403"/>
        <v>1</v>
      </c>
      <c r="AC68" s="107">
        <f t="shared" si="403"/>
        <v>0</v>
      </c>
      <c r="AD68" s="108">
        <f t="shared" si="403"/>
        <v>2</v>
      </c>
      <c r="AE68" s="108">
        <f t="shared" si="403"/>
        <v>2</v>
      </c>
      <c r="AF68" s="108">
        <f t="shared" si="403"/>
        <v>1</v>
      </c>
      <c r="AG68" s="160">
        <f t="shared" si="357"/>
        <v>5</v>
      </c>
      <c r="AH68" s="107">
        <f t="shared" ref="AH68:AJ68" si="404">RANDBETWEEN(1,10)</f>
        <v>1</v>
      </c>
      <c r="AI68" s="108">
        <f t="shared" si="404"/>
        <v>8</v>
      </c>
      <c r="AJ68" s="108">
        <f t="shared" si="404"/>
        <v>1</v>
      </c>
      <c r="AK68" s="147">
        <f t="shared" si="359"/>
        <v>10</v>
      </c>
      <c r="AL68" s="107"/>
      <c r="AM68" s="108"/>
      <c r="AN68" s="108"/>
      <c r="AO68" s="108"/>
      <c r="AP68" s="148"/>
      <c r="AQ68" s="107"/>
      <c r="AR68" s="108"/>
      <c r="AS68" s="108"/>
      <c r="AT68" s="149"/>
      <c r="AU68" s="107"/>
      <c r="AV68" s="108"/>
      <c r="AW68" s="108"/>
      <c r="AX68" s="150"/>
      <c r="AY68" s="92">
        <f t="shared" ref="AY68:AZ68" si="405">RANDBETWEEN(1,10)/10</f>
        <v>0.6</v>
      </c>
      <c r="AZ68" s="92">
        <f t="shared" si="405"/>
        <v>0.3</v>
      </c>
      <c r="BA68" s="93">
        <v>0.0</v>
      </c>
      <c r="BB68" s="93">
        <v>0.0</v>
      </c>
      <c r="BC68" s="94">
        <f>SUM(BC40,'ГОЧ'!$AY68)</f>
        <v>1200.8</v>
      </c>
      <c r="BD68" s="94">
        <f>SUM(BD40,'ГОЧ'!$AZ68)</f>
        <v>1200.6</v>
      </c>
      <c r="BE68" s="108"/>
      <c r="BF68" s="108"/>
    </row>
    <row r="69" ht="15.75" customHeight="1">
      <c r="A69" s="67">
        <f t="shared" si="347"/>
        <v>46256</v>
      </c>
      <c r="B69" s="138" t="s">
        <v>26</v>
      </c>
      <c r="C69" s="157">
        <f t="shared" si="348"/>
        <v>1</v>
      </c>
      <c r="D69" s="97">
        <f t="shared" ref="D69:L69" si="406">RANDBETWEEN(0,2)</f>
        <v>1</v>
      </c>
      <c r="E69" s="97">
        <f t="shared" si="406"/>
        <v>0</v>
      </c>
      <c r="F69" s="97">
        <f t="shared" si="406"/>
        <v>0</v>
      </c>
      <c r="G69" s="97">
        <f t="shared" si="406"/>
        <v>2</v>
      </c>
      <c r="H69" s="98">
        <f t="shared" si="406"/>
        <v>1</v>
      </c>
      <c r="I69" s="99">
        <f t="shared" si="406"/>
        <v>0</v>
      </c>
      <c r="J69" s="100">
        <f t="shared" si="406"/>
        <v>0</v>
      </c>
      <c r="K69" s="101">
        <f t="shared" si="406"/>
        <v>2</v>
      </c>
      <c r="L69" s="101">
        <f t="shared" si="406"/>
        <v>0</v>
      </c>
      <c r="M69" s="140">
        <f t="shared" si="350"/>
        <v>26</v>
      </c>
      <c r="N69" s="97">
        <f t="shared" ref="N69:T69" si="407">RANDBETWEEN(0,10)</f>
        <v>5</v>
      </c>
      <c r="O69" s="97">
        <f t="shared" si="407"/>
        <v>0</v>
      </c>
      <c r="P69" s="97">
        <f t="shared" si="407"/>
        <v>1</v>
      </c>
      <c r="Q69" s="97">
        <f t="shared" si="407"/>
        <v>0</v>
      </c>
      <c r="R69" s="97">
        <f t="shared" si="407"/>
        <v>4</v>
      </c>
      <c r="S69" s="97">
        <f t="shared" si="407"/>
        <v>10</v>
      </c>
      <c r="T69" s="97">
        <f t="shared" si="407"/>
        <v>6</v>
      </c>
      <c r="U69" s="103">
        <f t="shared" si="394"/>
        <v>17</v>
      </c>
      <c r="V69" s="158">
        <f t="shared" si="387"/>
        <v>2</v>
      </c>
      <c r="W69" s="97">
        <f t="shared" ref="W69:Y69" si="408">RANDBETWEEN(0,2)</f>
        <v>0</v>
      </c>
      <c r="X69" s="97">
        <f t="shared" si="408"/>
        <v>0</v>
      </c>
      <c r="Y69" s="97">
        <f t="shared" si="408"/>
        <v>2</v>
      </c>
      <c r="Z69" s="159">
        <f t="shared" si="396"/>
        <v>3</v>
      </c>
      <c r="AA69" s="143">
        <f t="shared" ref="AA69:AF69" si="409">RANDBETWEEN(0,2)</f>
        <v>2</v>
      </c>
      <c r="AB69" s="143">
        <f t="shared" si="409"/>
        <v>1</v>
      </c>
      <c r="AC69" s="144">
        <f t="shared" si="409"/>
        <v>2</v>
      </c>
      <c r="AD69" s="145">
        <f t="shared" si="409"/>
        <v>1</v>
      </c>
      <c r="AE69" s="145">
        <f t="shared" si="409"/>
        <v>1</v>
      </c>
      <c r="AF69" s="145">
        <f t="shared" si="409"/>
        <v>0</v>
      </c>
      <c r="AG69" s="160">
        <f t="shared" si="357"/>
        <v>4</v>
      </c>
      <c r="AH69" s="144">
        <f t="shared" ref="AH69:AJ69" si="410">RANDBETWEEN(1,10)</f>
        <v>4</v>
      </c>
      <c r="AI69" s="145">
        <f t="shared" si="410"/>
        <v>2</v>
      </c>
      <c r="AJ69" s="145">
        <f t="shared" si="410"/>
        <v>1</v>
      </c>
      <c r="AK69" s="147">
        <f t="shared" si="359"/>
        <v>7</v>
      </c>
      <c r="AL69" s="144"/>
      <c r="AM69" s="145"/>
      <c r="AN69" s="145"/>
      <c r="AO69" s="145"/>
      <c r="AP69" s="148"/>
      <c r="AQ69" s="144"/>
      <c r="AR69" s="145"/>
      <c r="AS69" s="145"/>
      <c r="AT69" s="149"/>
      <c r="AU69" s="144"/>
      <c r="AV69" s="145"/>
      <c r="AW69" s="145"/>
      <c r="AX69" s="150"/>
      <c r="AY69" s="92">
        <f t="shared" ref="AY69:AZ69" si="411">RANDBETWEEN(1,10)/10</f>
        <v>0.6</v>
      </c>
      <c r="AZ69" s="92">
        <f t="shared" si="411"/>
        <v>0.9</v>
      </c>
      <c r="BA69" s="93">
        <v>1.0</v>
      </c>
      <c r="BB69" s="93">
        <v>0.0</v>
      </c>
      <c r="BC69" s="94">
        <f>SUM(BC41,'ГОЧ'!$AY69)</f>
        <v>1201.5</v>
      </c>
      <c r="BD69" s="94">
        <f>SUM(BD41,'ГОЧ'!$AZ69)</f>
        <v>1201.5</v>
      </c>
      <c r="BE69" s="108" t="s">
        <v>167</v>
      </c>
      <c r="BF69" s="108"/>
    </row>
    <row r="70" ht="15.75" customHeight="1">
      <c r="A70" s="67">
        <f t="shared" si="347"/>
        <v>46256</v>
      </c>
      <c r="B70" s="138" t="s">
        <v>28</v>
      </c>
      <c r="C70" s="157">
        <f t="shared" si="348"/>
        <v>3</v>
      </c>
      <c r="D70" s="97">
        <f t="shared" ref="D70:L70" si="412">RANDBETWEEN(0,2)</f>
        <v>2</v>
      </c>
      <c r="E70" s="97">
        <f t="shared" si="412"/>
        <v>1</v>
      </c>
      <c r="F70" s="97">
        <f t="shared" si="412"/>
        <v>1</v>
      </c>
      <c r="G70" s="97">
        <f t="shared" si="412"/>
        <v>1</v>
      </c>
      <c r="H70" s="98">
        <f t="shared" si="412"/>
        <v>0</v>
      </c>
      <c r="I70" s="99">
        <f t="shared" si="412"/>
        <v>1</v>
      </c>
      <c r="J70" s="100">
        <f t="shared" si="412"/>
        <v>1</v>
      </c>
      <c r="K70" s="101">
        <f t="shared" si="412"/>
        <v>0</v>
      </c>
      <c r="L70" s="101">
        <f t="shared" si="412"/>
        <v>1</v>
      </c>
      <c r="M70" s="140">
        <f t="shared" si="350"/>
        <v>38</v>
      </c>
      <c r="N70" s="97">
        <f t="shared" ref="N70:T70" si="413">RANDBETWEEN(0,10)</f>
        <v>2</v>
      </c>
      <c r="O70" s="97">
        <f t="shared" si="413"/>
        <v>2</v>
      </c>
      <c r="P70" s="97">
        <f t="shared" si="413"/>
        <v>8</v>
      </c>
      <c r="Q70" s="97">
        <f t="shared" si="413"/>
        <v>10</v>
      </c>
      <c r="R70" s="97">
        <f t="shared" si="413"/>
        <v>5</v>
      </c>
      <c r="S70" s="97">
        <f t="shared" si="413"/>
        <v>9</v>
      </c>
      <c r="T70" s="97">
        <f t="shared" si="413"/>
        <v>2</v>
      </c>
      <c r="U70" s="103">
        <f t="shared" si="394"/>
        <v>11</v>
      </c>
      <c r="V70" s="158">
        <f t="shared" si="387"/>
        <v>2</v>
      </c>
      <c r="W70" s="97">
        <f t="shared" ref="W70:Y70" si="414">RANDBETWEEN(0,2)</f>
        <v>0</v>
      </c>
      <c r="X70" s="97">
        <f t="shared" si="414"/>
        <v>1</v>
      </c>
      <c r="Y70" s="97">
        <f t="shared" si="414"/>
        <v>1</v>
      </c>
      <c r="Z70" s="159">
        <f t="shared" si="396"/>
        <v>2</v>
      </c>
      <c r="AA70" s="106">
        <f t="shared" ref="AA70:AF70" si="415">RANDBETWEEN(0,2)</f>
        <v>0</v>
      </c>
      <c r="AB70" s="106">
        <f t="shared" si="415"/>
        <v>2</v>
      </c>
      <c r="AC70" s="107">
        <f t="shared" si="415"/>
        <v>0</v>
      </c>
      <c r="AD70" s="108">
        <f t="shared" si="415"/>
        <v>2</v>
      </c>
      <c r="AE70" s="108">
        <f t="shared" si="415"/>
        <v>2</v>
      </c>
      <c r="AF70" s="108">
        <f t="shared" si="415"/>
        <v>1</v>
      </c>
      <c r="AG70" s="160">
        <f t="shared" si="357"/>
        <v>5</v>
      </c>
      <c r="AH70" s="107">
        <f t="shared" ref="AH70:AJ70" si="416">RANDBETWEEN(1,10)</f>
        <v>4</v>
      </c>
      <c r="AI70" s="108">
        <f t="shared" si="416"/>
        <v>1</v>
      </c>
      <c r="AJ70" s="108">
        <f t="shared" si="416"/>
        <v>9</v>
      </c>
      <c r="AK70" s="147">
        <f t="shared" si="359"/>
        <v>14</v>
      </c>
      <c r="AL70" s="107"/>
      <c r="AM70" s="108"/>
      <c r="AN70" s="108"/>
      <c r="AO70" s="108"/>
      <c r="AP70" s="148"/>
      <c r="AQ70" s="107"/>
      <c r="AR70" s="108"/>
      <c r="AS70" s="108"/>
      <c r="AT70" s="149"/>
      <c r="AU70" s="107"/>
      <c r="AV70" s="108"/>
      <c r="AW70" s="108"/>
      <c r="AX70" s="150"/>
      <c r="AY70" s="92">
        <f t="shared" ref="AY70:AZ70" si="417">RANDBETWEEN(1,10)/10</f>
        <v>0.3</v>
      </c>
      <c r="AZ70" s="92">
        <f t="shared" si="417"/>
        <v>0.1</v>
      </c>
      <c r="BA70" s="93">
        <v>0.0</v>
      </c>
      <c r="BB70" s="93">
        <v>1.0</v>
      </c>
      <c r="BC70" s="94">
        <f>SUM(BC42,'ГОЧ'!$AY70)</f>
        <v>1200.5</v>
      </c>
      <c r="BD70" s="94">
        <f>SUM(BD42,'ГОЧ'!$AZ70)</f>
        <v>1200.3</v>
      </c>
      <c r="BE70" s="108"/>
      <c r="BF70" s="108" t="s">
        <v>168</v>
      </c>
    </row>
    <row r="71" ht="15.75" customHeight="1">
      <c r="A71" s="67">
        <f t="shared" si="347"/>
        <v>46256</v>
      </c>
      <c r="B71" s="114" t="s">
        <v>29</v>
      </c>
      <c r="C71" s="164">
        <f t="shared" si="348"/>
        <v>10</v>
      </c>
      <c r="D71" s="165">
        <f t="shared" ref="D71:L71" si="418">D66+D67+D68+D69+D70</f>
        <v>6</v>
      </c>
      <c r="E71" s="165">
        <f t="shared" si="418"/>
        <v>2</v>
      </c>
      <c r="F71" s="165">
        <f t="shared" si="418"/>
        <v>4</v>
      </c>
      <c r="G71" s="165">
        <f t="shared" si="418"/>
        <v>6</v>
      </c>
      <c r="H71" s="164">
        <f t="shared" si="418"/>
        <v>6</v>
      </c>
      <c r="I71" s="165">
        <f t="shared" si="418"/>
        <v>6</v>
      </c>
      <c r="J71" s="164">
        <f t="shared" si="418"/>
        <v>3</v>
      </c>
      <c r="K71" s="165">
        <f t="shared" si="418"/>
        <v>8</v>
      </c>
      <c r="L71" s="165">
        <f t="shared" si="418"/>
        <v>3</v>
      </c>
      <c r="M71" s="164">
        <f t="shared" si="350"/>
        <v>147</v>
      </c>
      <c r="N71" s="164">
        <f t="shared" ref="N71:U71" si="419">N66+N67+N68+N69+N70</f>
        <v>20</v>
      </c>
      <c r="O71" s="165">
        <f t="shared" si="419"/>
        <v>13</v>
      </c>
      <c r="P71" s="165">
        <f t="shared" si="419"/>
        <v>26</v>
      </c>
      <c r="Q71" s="165">
        <f t="shared" si="419"/>
        <v>17</v>
      </c>
      <c r="R71" s="165">
        <f t="shared" si="419"/>
        <v>11</v>
      </c>
      <c r="S71" s="165">
        <f t="shared" si="419"/>
        <v>38</v>
      </c>
      <c r="T71" s="165">
        <f t="shared" si="419"/>
        <v>22</v>
      </c>
      <c r="U71" s="164">
        <f t="shared" si="419"/>
        <v>86</v>
      </c>
      <c r="V71" s="164">
        <f t="shared" si="387"/>
        <v>11</v>
      </c>
      <c r="W71" s="165">
        <f t="shared" ref="W71:Y71" si="420">W66+W67+W68+W69+W70</f>
        <v>2</v>
      </c>
      <c r="X71" s="165">
        <f t="shared" si="420"/>
        <v>3</v>
      </c>
      <c r="Y71" s="165">
        <f t="shared" si="420"/>
        <v>6</v>
      </c>
      <c r="Z71" s="165">
        <f t="shared" si="396"/>
        <v>10</v>
      </c>
      <c r="AA71" s="165">
        <f t="shared" ref="AA71:AC71" si="421">AA66+AA67+AA68+AA69+AA70</f>
        <v>4</v>
      </c>
      <c r="AB71" s="165">
        <f t="shared" si="421"/>
        <v>6</v>
      </c>
      <c r="AC71" s="166">
        <f t="shared" si="421"/>
        <v>6</v>
      </c>
      <c r="AD71" s="167">
        <f>AE66+AD67+AD68+AD69+AD70</f>
        <v>8</v>
      </c>
      <c r="AE71" s="167">
        <f t="shared" ref="AE71:AF71" si="422">AE66+AE67+AE68+AE69+AE70</f>
        <v>8</v>
      </c>
      <c r="AF71" s="167">
        <f t="shared" si="422"/>
        <v>4</v>
      </c>
      <c r="AG71" s="168">
        <f t="shared" si="357"/>
        <v>26</v>
      </c>
      <c r="AH71" s="166">
        <f t="shared" ref="AH71:AJ71" si="423">AH66+AH67+AH68+AH69+AH70</f>
        <v>14</v>
      </c>
      <c r="AI71" s="166">
        <f t="shared" si="423"/>
        <v>21</v>
      </c>
      <c r="AJ71" s="166">
        <f t="shared" si="423"/>
        <v>23</v>
      </c>
      <c r="AK71" s="168">
        <f t="shared" si="359"/>
        <v>58</v>
      </c>
      <c r="AL71" s="166"/>
      <c r="AM71" s="167"/>
      <c r="AN71" s="167"/>
      <c r="AO71" s="167"/>
      <c r="AP71" s="169"/>
      <c r="AQ71" s="166"/>
      <c r="AR71" s="166"/>
      <c r="AS71" s="166"/>
      <c r="AT71" s="170"/>
      <c r="AU71" s="166"/>
      <c r="AV71" s="166"/>
      <c r="AW71" s="166"/>
      <c r="AX71" s="171"/>
      <c r="AY71" s="172">
        <f t="shared" ref="AY71:BD71" si="424">AY66+AY67+AY68+AY69+AY70</f>
        <v>2.9</v>
      </c>
      <c r="AZ71" s="172">
        <f t="shared" si="424"/>
        <v>3.2</v>
      </c>
      <c r="BA71" s="166">
        <f t="shared" si="424"/>
        <v>3</v>
      </c>
      <c r="BB71" s="166">
        <f t="shared" si="424"/>
        <v>3</v>
      </c>
      <c r="BC71" s="173">
        <f t="shared" si="424"/>
        <v>6005.9</v>
      </c>
      <c r="BD71" s="173">
        <f t="shared" si="424"/>
        <v>6005.5</v>
      </c>
      <c r="BE71" s="154" t="str">
        <f t="shared" ref="BE71:BF71" si="425">TEXTJOIN(", ",TRUE,BE66:BE70)</f>
        <v>Олександівка, Пантелеймонівка, Миколаївка</v>
      </c>
      <c r="BF71" s="154" t="str">
        <f t="shared" si="425"/>
        <v>Загреблі, Верхні води, Ступочки</v>
      </c>
    </row>
    <row r="72" ht="15.75" customHeight="1">
      <c r="A72" s="67">
        <f t="shared" si="347"/>
        <v>46256</v>
      </c>
      <c r="B72" s="124" t="s">
        <v>31</v>
      </c>
      <c r="C72" s="174">
        <f t="shared" si="348"/>
        <v>3</v>
      </c>
      <c r="D72" s="175">
        <f t="shared" ref="D72:L72" si="426">RANDBETWEEN(0,2)</f>
        <v>1</v>
      </c>
      <c r="E72" s="175">
        <f t="shared" si="426"/>
        <v>0</v>
      </c>
      <c r="F72" s="175">
        <f t="shared" si="426"/>
        <v>2</v>
      </c>
      <c r="G72" s="175">
        <f t="shared" si="426"/>
        <v>2</v>
      </c>
      <c r="H72" s="176">
        <f t="shared" si="426"/>
        <v>2</v>
      </c>
      <c r="I72" s="177">
        <f t="shared" si="426"/>
        <v>0</v>
      </c>
      <c r="J72" s="178">
        <f t="shared" si="426"/>
        <v>2</v>
      </c>
      <c r="K72" s="179">
        <f t="shared" si="426"/>
        <v>0</v>
      </c>
      <c r="L72" s="179">
        <f t="shared" si="426"/>
        <v>2</v>
      </c>
      <c r="M72" s="180">
        <f t="shared" si="350"/>
        <v>39</v>
      </c>
      <c r="N72" s="175">
        <f t="shared" ref="N72:T72" si="427">RANDBETWEEN(0,10)</f>
        <v>3</v>
      </c>
      <c r="O72" s="175">
        <f t="shared" si="427"/>
        <v>0</v>
      </c>
      <c r="P72" s="175">
        <f t="shared" si="427"/>
        <v>9</v>
      </c>
      <c r="Q72" s="175">
        <f t="shared" si="427"/>
        <v>5</v>
      </c>
      <c r="R72" s="175">
        <f t="shared" si="427"/>
        <v>5</v>
      </c>
      <c r="S72" s="175">
        <f t="shared" si="427"/>
        <v>9</v>
      </c>
      <c r="T72" s="175">
        <f t="shared" si="427"/>
        <v>8</v>
      </c>
      <c r="U72" s="181">
        <f t="shared" ref="U72:U77" si="434">RANDBETWEEN(10,30)</f>
        <v>12</v>
      </c>
      <c r="V72" s="182">
        <f t="shared" si="387"/>
        <v>3</v>
      </c>
      <c r="W72" s="175">
        <f t="shared" ref="W72:Y72" si="428">RANDBETWEEN(0,2)</f>
        <v>2</v>
      </c>
      <c r="X72" s="175">
        <f t="shared" si="428"/>
        <v>1</v>
      </c>
      <c r="Y72" s="175">
        <f t="shared" si="428"/>
        <v>0</v>
      </c>
      <c r="Z72" s="183">
        <f t="shared" si="396"/>
        <v>2</v>
      </c>
      <c r="AA72" s="184">
        <f t="shared" ref="AA72:AF72" si="429">RANDBETWEEN(0,2)</f>
        <v>2</v>
      </c>
      <c r="AB72" s="184">
        <f t="shared" si="429"/>
        <v>0</v>
      </c>
      <c r="AC72" s="185">
        <f t="shared" si="429"/>
        <v>0</v>
      </c>
      <c r="AD72" s="186">
        <f t="shared" si="429"/>
        <v>1</v>
      </c>
      <c r="AE72" s="186">
        <f t="shared" si="429"/>
        <v>1</v>
      </c>
      <c r="AF72" s="186">
        <f t="shared" si="429"/>
        <v>0</v>
      </c>
      <c r="AG72" s="187">
        <f t="shared" si="357"/>
        <v>2</v>
      </c>
      <c r="AH72" s="185">
        <f t="shared" ref="AH72:AJ72" si="430">RANDBETWEEN(1,10)</f>
        <v>1</v>
      </c>
      <c r="AI72" s="186">
        <f t="shared" si="430"/>
        <v>3</v>
      </c>
      <c r="AJ72" s="186">
        <f t="shared" si="430"/>
        <v>4</v>
      </c>
      <c r="AK72" s="188">
        <f t="shared" si="359"/>
        <v>8</v>
      </c>
      <c r="AL72" s="185"/>
      <c r="AM72" s="186"/>
      <c r="AN72" s="186"/>
      <c r="AO72" s="186"/>
      <c r="AP72" s="189"/>
      <c r="AQ72" s="185"/>
      <c r="AR72" s="186"/>
      <c r="AS72" s="186"/>
      <c r="AT72" s="190"/>
      <c r="AU72" s="185"/>
      <c r="AV72" s="186"/>
      <c r="AW72" s="186"/>
      <c r="AX72" s="191"/>
      <c r="AY72" s="92">
        <f t="shared" ref="AY72:AZ72" si="431">RANDBETWEEN(1,10)/10</f>
        <v>0.1</v>
      </c>
      <c r="AZ72" s="92">
        <f t="shared" si="431"/>
        <v>0.8</v>
      </c>
      <c r="BA72" s="93">
        <v>0.0</v>
      </c>
      <c r="BB72" s="93">
        <v>0.0</v>
      </c>
      <c r="BC72" s="94">
        <f>SUM(BC44,'ГОЧ'!$AY72)</f>
        <v>1200.3</v>
      </c>
      <c r="BD72" s="94">
        <f>SUM(BD44,'ГОЧ'!$AZ72)</f>
        <v>1201.7</v>
      </c>
      <c r="BE72" s="186"/>
      <c r="BF72" s="186"/>
    </row>
    <row r="73" ht="15.75" customHeight="1">
      <c r="A73" s="67">
        <f t="shared" si="347"/>
        <v>46256</v>
      </c>
      <c r="B73" s="138" t="s">
        <v>33</v>
      </c>
      <c r="C73" s="157">
        <f t="shared" si="348"/>
        <v>2</v>
      </c>
      <c r="D73" s="97">
        <f t="shared" ref="D73:L73" si="432">RANDBETWEEN(0,2)</f>
        <v>0</v>
      </c>
      <c r="E73" s="97">
        <f t="shared" si="432"/>
        <v>1</v>
      </c>
      <c r="F73" s="97">
        <f t="shared" si="432"/>
        <v>2</v>
      </c>
      <c r="G73" s="97">
        <f t="shared" si="432"/>
        <v>1</v>
      </c>
      <c r="H73" s="98">
        <f t="shared" si="432"/>
        <v>2</v>
      </c>
      <c r="I73" s="99">
        <f t="shared" si="432"/>
        <v>2</v>
      </c>
      <c r="J73" s="100">
        <f t="shared" si="432"/>
        <v>1</v>
      </c>
      <c r="K73" s="101">
        <f t="shared" si="432"/>
        <v>0</v>
      </c>
      <c r="L73" s="101">
        <f t="shared" si="432"/>
        <v>2</v>
      </c>
      <c r="M73" s="140">
        <f t="shared" si="350"/>
        <v>23</v>
      </c>
      <c r="N73" s="97">
        <f t="shared" ref="N73:T73" si="433">RANDBETWEEN(0,10)</f>
        <v>8</v>
      </c>
      <c r="O73" s="97">
        <f t="shared" si="433"/>
        <v>0</v>
      </c>
      <c r="P73" s="97">
        <f t="shared" si="433"/>
        <v>2</v>
      </c>
      <c r="Q73" s="97">
        <f t="shared" si="433"/>
        <v>2</v>
      </c>
      <c r="R73" s="97">
        <f t="shared" si="433"/>
        <v>4</v>
      </c>
      <c r="S73" s="97">
        <f t="shared" si="433"/>
        <v>0</v>
      </c>
      <c r="T73" s="97">
        <f t="shared" si="433"/>
        <v>7</v>
      </c>
      <c r="U73" s="103">
        <f t="shared" si="434"/>
        <v>17</v>
      </c>
      <c r="V73" s="158">
        <f t="shared" si="387"/>
        <v>3</v>
      </c>
      <c r="W73" s="97">
        <f t="shared" ref="W73:Y73" si="435">RANDBETWEEN(0,2)</f>
        <v>2</v>
      </c>
      <c r="X73" s="97">
        <f t="shared" si="435"/>
        <v>0</v>
      </c>
      <c r="Y73" s="97">
        <f t="shared" si="435"/>
        <v>1</v>
      </c>
      <c r="Z73" s="105">
        <f t="shared" si="396"/>
        <v>3</v>
      </c>
      <c r="AA73" s="143">
        <f t="shared" ref="AA73:AF73" si="436">RANDBETWEEN(0,2)</f>
        <v>1</v>
      </c>
      <c r="AB73" s="143">
        <f t="shared" si="436"/>
        <v>2</v>
      </c>
      <c r="AC73" s="144">
        <f t="shared" si="436"/>
        <v>0</v>
      </c>
      <c r="AD73" s="145">
        <f t="shared" si="436"/>
        <v>1</v>
      </c>
      <c r="AE73" s="145">
        <f t="shared" si="436"/>
        <v>1</v>
      </c>
      <c r="AF73" s="145">
        <f t="shared" si="436"/>
        <v>2</v>
      </c>
      <c r="AG73" s="86">
        <f t="shared" si="357"/>
        <v>4</v>
      </c>
      <c r="AH73" s="144">
        <f t="shared" ref="AH73:AJ73" si="437">RANDBETWEEN(1,10)</f>
        <v>4</v>
      </c>
      <c r="AI73" s="145">
        <f t="shared" si="437"/>
        <v>10</v>
      </c>
      <c r="AJ73" s="145">
        <f t="shared" si="437"/>
        <v>5</v>
      </c>
      <c r="AK73" s="192">
        <f t="shared" si="359"/>
        <v>19</v>
      </c>
      <c r="AL73" s="144"/>
      <c r="AM73" s="145"/>
      <c r="AN73" s="145"/>
      <c r="AO73" s="145"/>
      <c r="AP73" s="89"/>
      <c r="AQ73" s="144"/>
      <c r="AR73" s="145"/>
      <c r="AS73" s="145"/>
      <c r="AT73" s="193"/>
      <c r="AU73" s="144"/>
      <c r="AV73" s="145"/>
      <c r="AW73" s="145"/>
      <c r="AX73" s="194"/>
      <c r="AY73" s="92">
        <f t="shared" ref="AY73:AZ73" si="438">RANDBETWEEN(1,10)/10</f>
        <v>0.7</v>
      </c>
      <c r="AZ73" s="92">
        <f t="shared" si="438"/>
        <v>0.5</v>
      </c>
      <c r="BA73" s="93">
        <v>0.0</v>
      </c>
      <c r="BB73" s="93">
        <v>0.0</v>
      </c>
      <c r="BC73" s="94">
        <f>SUM(BC45,'ГОЧ'!$AY73)</f>
        <v>1201.6</v>
      </c>
      <c r="BD73" s="94">
        <f>SUM(BD45,'ГОЧ'!$AZ73)</f>
        <v>1201.3</v>
      </c>
      <c r="BE73" s="108"/>
      <c r="BF73" s="108"/>
    </row>
    <row r="74" ht="15.75" customHeight="1">
      <c r="A74" s="67">
        <f t="shared" si="347"/>
        <v>46256</v>
      </c>
      <c r="B74" s="138" t="s">
        <v>35</v>
      </c>
      <c r="C74" s="157">
        <f t="shared" si="348"/>
        <v>1</v>
      </c>
      <c r="D74" s="97">
        <f t="shared" ref="D74:L74" si="439">RANDBETWEEN(0,2)</f>
        <v>0</v>
      </c>
      <c r="E74" s="97">
        <f t="shared" si="439"/>
        <v>1</v>
      </c>
      <c r="F74" s="97">
        <f t="shared" si="439"/>
        <v>1</v>
      </c>
      <c r="G74" s="97">
        <f t="shared" si="439"/>
        <v>1</v>
      </c>
      <c r="H74" s="98">
        <f t="shared" si="439"/>
        <v>1</v>
      </c>
      <c r="I74" s="99">
        <f t="shared" si="439"/>
        <v>2</v>
      </c>
      <c r="J74" s="100">
        <f t="shared" si="439"/>
        <v>2</v>
      </c>
      <c r="K74" s="101">
        <f t="shared" si="439"/>
        <v>0</v>
      </c>
      <c r="L74" s="101">
        <f t="shared" si="439"/>
        <v>1</v>
      </c>
      <c r="M74" s="140">
        <f t="shared" si="350"/>
        <v>45</v>
      </c>
      <c r="N74" s="97">
        <f t="shared" ref="N74:T74" si="440">RANDBETWEEN(0,10)</f>
        <v>2</v>
      </c>
      <c r="O74" s="97">
        <f t="shared" si="440"/>
        <v>9</v>
      </c>
      <c r="P74" s="97">
        <f t="shared" si="440"/>
        <v>7</v>
      </c>
      <c r="Q74" s="97">
        <f t="shared" si="440"/>
        <v>8</v>
      </c>
      <c r="R74" s="97">
        <f t="shared" si="440"/>
        <v>6</v>
      </c>
      <c r="S74" s="97">
        <f t="shared" si="440"/>
        <v>10</v>
      </c>
      <c r="T74" s="97">
        <f t="shared" si="440"/>
        <v>3</v>
      </c>
      <c r="U74" s="103">
        <f t="shared" si="434"/>
        <v>26</v>
      </c>
      <c r="V74" s="158">
        <f t="shared" si="387"/>
        <v>5</v>
      </c>
      <c r="W74" s="97">
        <f t="shared" ref="W74:Y74" si="441">RANDBETWEEN(0,2)</f>
        <v>2</v>
      </c>
      <c r="X74" s="97">
        <f t="shared" si="441"/>
        <v>1</v>
      </c>
      <c r="Y74" s="97">
        <f t="shared" si="441"/>
        <v>2</v>
      </c>
      <c r="Z74" s="105">
        <f t="shared" si="396"/>
        <v>1</v>
      </c>
      <c r="AA74" s="106">
        <f t="shared" ref="AA74:AF74" si="442">RANDBETWEEN(0,2)</f>
        <v>0</v>
      </c>
      <c r="AB74" s="106">
        <f t="shared" si="442"/>
        <v>1</v>
      </c>
      <c r="AC74" s="107">
        <f t="shared" si="442"/>
        <v>0</v>
      </c>
      <c r="AD74" s="108">
        <f t="shared" si="442"/>
        <v>1</v>
      </c>
      <c r="AE74" s="108">
        <f t="shared" si="442"/>
        <v>2</v>
      </c>
      <c r="AF74" s="108">
        <f t="shared" si="442"/>
        <v>2</v>
      </c>
      <c r="AG74" s="86">
        <f t="shared" si="357"/>
        <v>5</v>
      </c>
      <c r="AH74" s="107">
        <f t="shared" ref="AH74:AJ74" si="443">RANDBETWEEN(1,10)</f>
        <v>4</v>
      </c>
      <c r="AI74" s="108">
        <f t="shared" si="443"/>
        <v>7</v>
      </c>
      <c r="AJ74" s="108">
        <f t="shared" si="443"/>
        <v>6</v>
      </c>
      <c r="AK74" s="192">
        <f t="shared" si="359"/>
        <v>17</v>
      </c>
      <c r="AL74" s="107"/>
      <c r="AM74" s="108"/>
      <c r="AN74" s="108"/>
      <c r="AO74" s="108"/>
      <c r="AP74" s="89"/>
      <c r="AQ74" s="107"/>
      <c r="AR74" s="108"/>
      <c r="AS74" s="108"/>
      <c r="AT74" s="193"/>
      <c r="AU74" s="107"/>
      <c r="AV74" s="108"/>
      <c r="AW74" s="108"/>
      <c r="AX74" s="194"/>
      <c r="AY74" s="92">
        <f t="shared" ref="AY74:AZ74" si="444">RANDBETWEEN(1,10)/10</f>
        <v>0.8</v>
      </c>
      <c r="AZ74" s="92">
        <f t="shared" si="444"/>
        <v>0.8</v>
      </c>
      <c r="BA74" s="93">
        <v>0.0</v>
      </c>
      <c r="BB74" s="93">
        <v>0.0</v>
      </c>
      <c r="BC74" s="94">
        <f>SUM(BC46,'ГОЧ'!$AY74)</f>
        <v>1201.5</v>
      </c>
      <c r="BD74" s="94">
        <f>SUM(BD46,'ГОЧ'!$AZ74)</f>
        <v>1201.8</v>
      </c>
      <c r="BE74" s="108"/>
      <c r="BF74" s="108"/>
    </row>
    <row r="75" ht="15.75" customHeight="1">
      <c r="A75" s="67">
        <f t="shared" si="347"/>
        <v>46256</v>
      </c>
      <c r="B75" s="138" t="s">
        <v>36</v>
      </c>
      <c r="C75" s="157">
        <f t="shared" si="348"/>
        <v>3</v>
      </c>
      <c r="D75" s="97">
        <f t="shared" ref="D75:L75" si="445">RANDBETWEEN(0,2)</f>
        <v>1</v>
      </c>
      <c r="E75" s="97">
        <f t="shared" si="445"/>
        <v>2</v>
      </c>
      <c r="F75" s="97">
        <f t="shared" si="445"/>
        <v>2</v>
      </c>
      <c r="G75" s="97">
        <f t="shared" si="445"/>
        <v>2</v>
      </c>
      <c r="H75" s="98">
        <f t="shared" si="445"/>
        <v>1</v>
      </c>
      <c r="I75" s="99">
        <f t="shared" si="445"/>
        <v>2</v>
      </c>
      <c r="J75" s="100">
        <f t="shared" si="445"/>
        <v>2</v>
      </c>
      <c r="K75" s="101">
        <f t="shared" si="445"/>
        <v>0</v>
      </c>
      <c r="L75" s="101">
        <f t="shared" si="445"/>
        <v>0</v>
      </c>
      <c r="M75" s="140">
        <f t="shared" si="350"/>
        <v>34</v>
      </c>
      <c r="N75" s="97">
        <f t="shared" ref="N75:T75" si="446">RANDBETWEEN(0,10)</f>
        <v>8</v>
      </c>
      <c r="O75" s="97">
        <f t="shared" si="446"/>
        <v>3</v>
      </c>
      <c r="P75" s="97">
        <f t="shared" si="446"/>
        <v>7</v>
      </c>
      <c r="Q75" s="97">
        <f t="shared" si="446"/>
        <v>10</v>
      </c>
      <c r="R75" s="97">
        <f t="shared" si="446"/>
        <v>0</v>
      </c>
      <c r="S75" s="97">
        <f t="shared" si="446"/>
        <v>4</v>
      </c>
      <c r="T75" s="97">
        <f t="shared" si="446"/>
        <v>2</v>
      </c>
      <c r="U75" s="103">
        <f t="shared" si="434"/>
        <v>27</v>
      </c>
      <c r="V75" s="158">
        <f t="shared" si="387"/>
        <v>3</v>
      </c>
      <c r="W75" s="97">
        <f t="shared" ref="W75:Y75" si="447">RANDBETWEEN(0,2)</f>
        <v>0</v>
      </c>
      <c r="X75" s="97">
        <f t="shared" si="447"/>
        <v>2</v>
      </c>
      <c r="Y75" s="97">
        <f t="shared" si="447"/>
        <v>1</v>
      </c>
      <c r="Z75" s="105">
        <f t="shared" si="396"/>
        <v>2</v>
      </c>
      <c r="AA75" s="143">
        <f t="shared" ref="AA75:AF75" si="448">RANDBETWEEN(0,2)</f>
        <v>0</v>
      </c>
      <c r="AB75" s="143">
        <f t="shared" si="448"/>
        <v>2</v>
      </c>
      <c r="AC75" s="144">
        <f t="shared" si="448"/>
        <v>1</v>
      </c>
      <c r="AD75" s="145">
        <f t="shared" si="448"/>
        <v>0</v>
      </c>
      <c r="AE75" s="145">
        <f t="shared" si="448"/>
        <v>1</v>
      </c>
      <c r="AF75" s="145">
        <f t="shared" si="448"/>
        <v>2</v>
      </c>
      <c r="AG75" s="86">
        <f t="shared" si="357"/>
        <v>4</v>
      </c>
      <c r="AH75" s="144">
        <f t="shared" ref="AH75:AJ75" si="449">RANDBETWEEN(1,10)</f>
        <v>2</v>
      </c>
      <c r="AI75" s="145">
        <f t="shared" si="449"/>
        <v>6</v>
      </c>
      <c r="AJ75" s="145">
        <f t="shared" si="449"/>
        <v>7</v>
      </c>
      <c r="AK75" s="192">
        <f t="shared" si="359"/>
        <v>15</v>
      </c>
      <c r="AL75" s="144"/>
      <c r="AM75" s="145"/>
      <c r="AN75" s="145"/>
      <c r="AO75" s="145"/>
      <c r="AP75" s="89"/>
      <c r="AQ75" s="144"/>
      <c r="AR75" s="145"/>
      <c r="AS75" s="145"/>
      <c r="AT75" s="193"/>
      <c r="AU75" s="144"/>
      <c r="AV75" s="145"/>
      <c r="AW75" s="145"/>
      <c r="AX75" s="194"/>
      <c r="AY75" s="92">
        <f t="shared" ref="AY75:AZ75" si="450">RANDBETWEEN(1,10)/10</f>
        <v>0.3</v>
      </c>
      <c r="AZ75" s="92">
        <f t="shared" si="450"/>
        <v>0.1</v>
      </c>
      <c r="BA75" s="93">
        <v>0.0</v>
      </c>
      <c r="BB75" s="93">
        <v>0.0</v>
      </c>
      <c r="BC75" s="94">
        <f>SUM(BC47,'ГОЧ'!$AY75)</f>
        <v>1201.3</v>
      </c>
      <c r="BD75" s="94">
        <f>SUM(BD47,'ГОЧ'!$AZ75)</f>
        <v>1200.7</v>
      </c>
      <c r="BE75" s="108"/>
      <c r="BF75" s="108"/>
    </row>
    <row r="76" ht="15.75" customHeight="1">
      <c r="A76" s="67">
        <f t="shared" si="347"/>
        <v>46256</v>
      </c>
      <c r="B76" s="195" t="s">
        <v>38</v>
      </c>
      <c r="C76" s="157">
        <f t="shared" si="348"/>
        <v>3</v>
      </c>
      <c r="D76" s="97">
        <f t="shared" ref="D76:L76" si="451">RANDBETWEEN(0,2)</f>
        <v>1</v>
      </c>
      <c r="E76" s="97">
        <f t="shared" si="451"/>
        <v>1</v>
      </c>
      <c r="F76" s="97">
        <f t="shared" si="451"/>
        <v>2</v>
      </c>
      <c r="G76" s="97">
        <f t="shared" si="451"/>
        <v>1</v>
      </c>
      <c r="H76" s="98">
        <f t="shared" si="451"/>
        <v>1</v>
      </c>
      <c r="I76" s="99">
        <f t="shared" si="451"/>
        <v>1</v>
      </c>
      <c r="J76" s="100">
        <f t="shared" si="451"/>
        <v>0</v>
      </c>
      <c r="K76" s="101">
        <f t="shared" si="451"/>
        <v>1</v>
      </c>
      <c r="L76" s="101">
        <f t="shared" si="451"/>
        <v>0</v>
      </c>
      <c r="M76" s="140">
        <f t="shared" si="350"/>
        <v>25</v>
      </c>
      <c r="N76" s="97">
        <f t="shared" ref="N76:T76" si="452">RANDBETWEEN(0,10)</f>
        <v>0</v>
      </c>
      <c r="O76" s="97">
        <f t="shared" si="452"/>
        <v>10</v>
      </c>
      <c r="P76" s="97">
        <f t="shared" si="452"/>
        <v>1</v>
      </c>
      <c r="Q76" s="97">
        <f t="shared" si="452"/>
        <v>2</v>
      </c>
      <c r="R76" s="97">
        <f t="shared" si="452"/>
        <v>6</v>
      </c>
      <c r="S76" s="97">
        <f t="shared" si="452"/>
        <v>0</v>
      </c>
      <c r="T76" s="97">
        <f t="shared" si="452"/>
        <v>6</v>
      </c>
      <c r="U76" s="103">
        <f t="shared" si="434"/>
        <v>24</v>
      </c>
      <c r="V76" s="158">
        <f t="shared" si="387"/>
        <v>4</v>
      </c>
      <c r="W76" s="97">
        <f t="shared" ref="W76:Y76" si="453">RANDBETWEEN(0,2)</f>
        <v>1</v>
      </c>
      <c r="X76" s="97">
        <f t="shared" si="453"/>
        <v>1</v>
      </c>
      <c r="Y76" s="97">
        <f t="shared" si="453"/>
        <v>2</v>
      </c>
      <c r="Z76" s="105">
        <f t="shared" si="396"/>
        <v>3</v>
      </c>
      <c r="AA76" s="106">
        <f t="shared" ref="AA76:AF76" si="454">RANDBETWEEN(0,2)</f>
        <v>1</v>
      </c>
      <c r="AB76" s="106">
        <f t="shared" si="454"/>
        <v>2</v>
      </c>
      <c r="AC76" s="107">
        <f t="shared" si="454"/>
        <v>0</v>
      </c>
      <c r="AD76" s="108">
        <f t="shared" si="454"/>
        <v>1</v>
      </c>
      <c r="AE76" s="108">
        <f t="shared" si="454"/>
        <v>2</v>
      </c>
      <c r="AF76" s="108">
        <f t="shared" si="454"/>
        <v>1</v>
      </c>
      <c r="AG76" s="86">
        <f t="shared" si="357"/>
        <v>4</v>
      </c>
      <c r="AH76" s="107">
        <f t="shared" ref="AH76:AJ76" si="455">RANDBETWEEN(1,10)</f>
        <v>6</v>
      </c>
      <c r="AI76" s="108">
        <f t="shared" si="455"/>
        <v>4</v>
      </c>
      <c r="AJ76" s="108">
        <f t="shared" si="455"/>
        <v>6</v>
      </c>
      <c r="AK76" s="192">
        <f t="shared" si="359"/>
        <v>16</v>
      </c>
      <c r="AL76" s="107"/>
      <c r="AM76" s="108"/>
      <c r="AN76" s="108"/>
      <c r="AO76" s="108"/>
      <c r="AP76" s="89"/>
      <c r="AQ76" s="107"/>
      <c r="AR76" s="108"/>
      <c r="AS76" s="108"/>
      <c r="AT76" s="193"/>
      <c r="AU76" s="107"/>
      <c r="AV76" s="108"/>
      <c r="AW76" s="108"/>
      <c r="AX76" s="194"/>
      <c r="AY76" s="92">
        <f t="shared" ref="AY76:AZ76" si="456">RANDBETWEEN(1,10)/10</f>
        <v>0.4</v>
      </c>
      <c r="AZ76" s="92">
        <f t="shared" si="456"/>
        <v>0.2</v>
      </c>
      <c r="BA76" s="93">
        <v>0.0</v>
      </c>
      <c r="BB76" s="93">
        <v>0.0</v>
      </c>
      <c r="BC76" s="94">
        <f>SUM(BC48,'ГОЧ'!$AY76)</f>
        <v>1201.1</v>
      </c>
      <c r="BD76" s="94">
        <f>SUM(BD48,'ГОЧ'!$AZ76)</f>
        <v>1200.4</v>
      </c>
      <c r="BE76" s="108"/>
      <c r="BF76" s="108"/>
    </row>
    <row r="77" ht="15.75" customHeight="1">
      <c r="A77" s="67">
        <f t="shared" si="347"/>
        <v>46256</v>
      </c>
      <c r="B77" s="138" t="s">
        <v>41</v>
      </c>
      <c r="C77" s="157">
        <f t="shared" si="348"/>
        <v>3</v>
      </c>
      <c r="D77" s="97">
        <f t="shared" ref="D77:L77" si="457">RANDBETWEEN(0,2)</f>
        <v>2</v>
      </c>
      <c r="E77" s="97">
        <f t="shared" si="457"/>
        <v>0</v>
      </c>
      <c r="F77" s="97">
        <f t="shared" si="457"/>
        <v>1</v>
      </c>
      <c r="G77" s="97">
        <f t="shared" si="457"/>
        <v>1</v>
      </c>
      <c r="H77" s="98">
        <f t="shared" si="457"/>
        <v>0</v>
      </c>
      <c r="I77" s="99">
        <f t="shared" si="457"/>
        <v>0</v>
      </c>
      <c r="J77" s="100">
        <f t="shared" si="457"/>
        <v>2</v>
      </c>
      <c r="K77" s="101">
        <f t="shared" si="457"/>
        <v>2</v>
      </c>
      <c r="L77" s="101">
        <f t="shared" si="457"/>
        <v>2</v>
      </c>
      <c r="M77" s="140">
        <f t="shared" si="350"/>
        <v>27</v>
      </c>
      <c r="N77" s="97">
        <f t="shared" ref="N77:T77" si="458">RANDBETWEEN(0,10)</f>
        <v>4</v>
      </c>
      <c r="O77" s="97">
        <f t="shared" si="458"/>
        <v>4</v>
      </c>
      <c r="P77" s="97">
        <f t="shared" si="458"/>
        <v>2</v>
      </c>
      <c r="Q77" s="97">
        <f t="shared" si="458"/>
        <v>4</v>
      </c>
      <c r="R77" s="97">
        <f t="shared" si="458"/>
        <v>5</v>
      </c>
      <c r="S77" s="97">
        <f t="shared" si="458"/>
        <v>8</v>
      </c>
      <c r="T77" s="97">
        <f t="shared" si="458"/>
        <v>0</v>
      </c>
      <c r="U77" s="103">
        <f t="shared" si="434"/>
        <v>28</v>
      </c>
      <c r="V77" s="158">
        <f t="shared" si="387"/>
        <v>1</v>
      </c>
      <c r="W77" s="97">
        <f t="shared" ref="W77:Y77" si="459">RANDBETWEEN(0,2)</f>
        <v>0</v>
      </c>
      <c r="X77" s="97">
        <f t="shared" si="459"/>
        <v>1</v>
      </c>
      <c r="Y77" s="97">
        <f t="shared" si="459"/>
        <v>0</v>
      </c>
      <c r="Z77" s="105">
        <f t="shared" si="396"/>
        <v>2</v>
      </c>
      <c r="AA77" s="143">
        <f t="shared" ref="AA77:AF77" si="460">RANDBETWEEN(0,2)</f>
        <v>2</v>
      </c>
      <c r="AB77" s="143">
        <f t="shared" si="460"/>
        <v>0</v>
      </c>
      <c r="AC77" s="144">
        <f t="shared" si="460"/>
        <v>1</v>
      </c>
      <c r="AD77" s="145">
        <f t="shared" si="460"/>
        <v>2</v>
      </c>
      <c r="AE77" s="145">
        <f t="shared" si="460"/>
        <v>2</v>
      </c>
      <c r="AF77" s="145">
        <f t="shared" si="460"/>
        <v>0</v>
      </c>
      <c r="AG77" s="86">
        <f t="shared" si="357"/>
        <v>5</v>
      </c>
      <c r="AH77" s="144">
        <f t="shared" ref="AH77:AJ77" si="461">RANDBETWEEN(1,10)</f>
        <v>4</v>
      </c>
      <c r="AI77" s="145">
        <f t="shared" si="461"/>
        <v>5</v>
      </c>
      <c r="AJ77" s="145">
        <f t="shared" si="461"/>
        <v>1</v>
      </c>
      <c r="AK77" s="192">
        <f t="shared" si="359"/>
        <v>10</v>
      </c>
      <c r="AL77" s="144"/>
      <c r="AM77" s="145"/>
      <c r="AN77" s="145"/>
      <c r="AO77" s="145"/>
      <c r="AP77" s="89"/>
      <c r="AQ77" s="144"/>
      <c r="AR77" s="145"/>
      <c r="AS77" s="145"/>
      <c r="AT77" s="193"/>
      <c r="AU77" s="144"/>
      <c r="AV77" s="145"/>
      <c r="AW77" s="145"/>
      <c r="AX77" s="194"/>
      <c r="AY77" s="92">
        <f t="shared" ref="AY77:AZ77" si="462">RANDBETWEEN(1,10)/10</f>
        <v>0.2</v>
      </c>
      <c r="AZ77" s="92">
        <f t="shared" si="462"/>
        <v>0.9</v>
      </c>
      <c r="BA77" s="93">
        <v>0.0</v>
      </c>
      <c r="BB77" s="93">
        <v>0.0</v>
      </c>
      <c r="BC77" s="94">
        <f>SUM(BC49,'ГОЧ'!$AY77)</f>
        <v>1200.9</v>
      </c>
      <c r="BD77" s="94">
        <f>SUM(BD49,'ГОЧ'!$AZ77)</f>
        <v>1201.6</v>
      </c>
      <c r="BE77" s="108"/>
      <c r="BF77" s="108"/>
    </row>
    <row r="78" ht="15.75" customHeight="1">
      <c r="A78" s="67">
        <f t="shared" si="347"/>
        <v>46256</v>
      </c>
      <c r="B78" s="114" t="s">
        <v>45</v>
      </c>
      <c r="C78" s="164">
        <f t="shared" si="348"/>
        <v>15</v>
      </c>
      <c r="D78" s="164">
        <f t="shared" ref="D78:U78" si="463">SUM(D72:D77)</f>
        <v>5</v>
      </c>
      <c r="E78" s="165">
        <f t="shared" si="463"/>
        <v>5</v>
      </c>
      <c r="F78" s="165">
        <f t="shared" si="463"/>
        <v>10</v>
      </c>
      <c r="G78" s="165">
        <f t="shared" si="463"/>
        <v>8</v>
      </c>
      <c r="H78" s="165">
        <f t="shared" si="463"/>
        <v>7</v>
      </c>
      <c r="I78" s="165">
        <f t="shared" si="463"/>
        <v>7</v>
      </c>
      <c r="J78" s="165">
        <f t="shared" si="463"/>
        <v>9</v>
      </c>
      <c r="K78" s="165">
        <f t="shared" si="463"/>
        <v>3</v>
      </c>
      <c r="L78" s="165">
        <f t="shared" si="463"/>
        <v>7</v>
      </c>
      <c r="M78" s="164">
        <f t="shared" si="463"/>
        <v>193</v>
      </c>
      <c r="N78" s="164">
        <f t="shared" si="463"/>
        <v>25</v>
      </c>
      <c r="O78" s="165">
        <f t="shared" si="463"/>
        <v>26</v>
      </c>
      <c r="P78" s="165">
        <f t="shared" si="463"/>
        <v>28</v>
      </c>
      <c r="Q78" s="165">
        <f t="shared" si="463"/>
        <v>31</v>
      </c>
      <c r="R78" s="165">
        <f t="shared" si="463"/>
        <v>26</v>
      </c>
      <c r="S78" s="165">
        <f t="shared" si="463"/>
        <v>31</v>
      </c>
      <c r="T78" s="165">
        <f t="shared" si="463"/>
        <v>26</v>
      </c>
      <c r="U78" s="164">
        <f t="shared" si="463"/>
        <v>134</v>
      </c>
      <c r="V78" s="164">
        <f t="shared" si="387"/>
        <v>19</v>
      </c>
      <c r="W78" s="165">
        <f t="shared" ref="W78:Y78" si="464">SUM(W72:W77)</f>
        <v>7</v>
      </c>
      <c r="X78" s="165">
        <f t="shared" si="464"/>
        <v>6</v>
      </c>
      <c r="Y78" s="165">
        <f t="shared" si="464"/>
        <v>6</v>
      </c>
      <c r="Z78" s="165">
        <f t="shared" si="396"/>
        <v>13</v>
      </c>
      <c r="AA78" s="165">
        <f t="shared" ref="AA78:AF78" si="465">SUM(AA72:AA77)</f>
        <v>6</v>
      </c>
      <c r="AB78" s="165">
        <f t="shared" si="465"/>
        <v>7</v>
      </c>
      <c r="AC78" s="166">
        <f t="shared" si="465"/>
        <v>2</v>
      </c>
      <c r="AD78" s="166">
        <f t="shared" si="465"/>
        <v>6</v>
      </c>
      <c r="AE78" s="166">
        <f t="shared" si="465"/>
        <v>9</v>
      </c>
      <c r="AF78" s="166">
        <f t="shared" si="465"/>
        <v>7</v>
      </c>
      <c r="AG78" s="168">
        <f t="shared" si="357"/>
        <v>24</v>
      </c>
      <c r="AH78" s="166">
        <f t="shared" ref="AH78:AJ78" si="466">SUM(AH72:AH77)</f>
        <v>21</v>
      </c>
      <c r="AI78" s="167">
        <f t="shared" si="466"/>
        <v>35</v>
      </c>
      <c r="AJ78" s="167">
        <f t="shared" si="466"/>
        <v>29</v>
      </c>
      <c r="AK78" s="168">
        <f t="shared" si="359"/>
        <v>85</v>
      </c>
      <c r="AL78" s="166"/>
      <c r="AM78" s="166"/>
      <c r="AN78" s="166"/>
      <c r="AO78" s="166"/>
      <c r="AP78" s="169"/>
      <c r="AQ78" s="166"/>
      <c r="AR78" s="167"/>
      <c r="AS78" s="167"/>
      <c r="AT78" s="170"/>
      <c r="AU78" s="166"/>
      <c r="AV78" s="167"/>
      <c r="AW78" s="167"/>
      <c r="AX78" s="171"/>
      <c r="AY78" s="196">
        <f t="shared" ref="AY78:BD78" si="467">SUM(AY72:AY77)</f>
        <v>2.5</v>
      </c>
      <c r="AZ78" s="196">
        <f t="shared" si="467"/>
        <v>3.3</v>
      </c>
      <c r="BA78" s="167">
        <f t="shared" si="467"/>
        <v>0</v>
      </c>
      <c r="BB78" s="167">
        <f t="shared" si="467"/>
        <v>0</v>
      </c>
      <c r="BC78" s="197">
        <f t="shared" si="467"/>
        <v>7206.7</v>
      </c>
      <c r="BD78" s="197">
        <f t="shared" si="467"/>
        <v>7207.5</v>
      </c>
      <c r="BE78" s="154" t="str">
        <f t="shared" ref="BE78:BF78" si="468">TEXTJOIN(", ",TRUE,BE72:BE77)</f>
        <v/>
      </c>
      <c r="BF78" s="154" t="str">
        <f t="shared" si="468"/>
        <v/>
      </c>
    </row>
    <row r="79" ht="15.75" customHeight="1">
      <c r="A79" s="67">
        <f t="shared" si="347"/>
        <v>46256</v>
      </c>
      <c r="B79" s="124" t="s">
        <v>49</v>
      </c>
      <c r="C79" s="174">
        <f t="shared" si="348"/>
        <v>1</v>
      </c>
      <c r="D79" s="175">
        <f t="shared" ref="D79:L79" si="469">RANDBETWEEN(0,2)</f>
        <v>0</v>
      </c>
      <c r="E79" s="175">
        <f t="shared" si="469"/>
        <v>1</v>
      </c>
      <c r="F79" s="175">
        <f t="shared" si="469"/>
        <v>1</v>
      </c>
      <c r="G79" s="175">
        <f t="shared" si="469"/>
        <v>1</v>
      </c>
      <c r="H79" s="176">
        <f t="shared" si="469"/>
        <v>2</v>
      </c>
      <c r="I79" s="177">
        <f t="shared" si="469"/>
        <v>2</v>
      </c>
      <c r="J79" s="178">
        <f t="shared" si="469"/>
        <v>0</v>
      </c>
      <c r="K79" s="179">
        <f t="shared" si="469"/>
        <v>2</v>
      </c>
      <c r="L79" s="179">
        <f t="shared" si="469"/>
        <v>2</v>
      </c>
      <c r="M79" s="180">
        <f t="shared" ref="M79:M84" si="476">SUM(N79:T79)</f>
        <v>32</v>
      </c>
      <c r="N79" s="175">
        <f t="shared" ref="N79:T79" si="470">RANDBETWEEN(0,10)</f>
        <v>10</v>
      </c>
      <c r="O79" s="175">
        <f t="shared" si="470"/>
        <v>1</v>
      </c>
      <c r="P79" s="175">
        <f t="shared" si="470"/>
        <v>4</v>
      </c>
      <c r="Q79" s="175">
        <f t="shared" si="470"/>
        <v>4</v>
      </c>
      <c r="R79" s="175">
        <f t="shared" si="470"/>
        <v>3</v>
      </c>
      <c r="S79" s="175">
        <f t="shared" si="470"/>
        <v>1</v>
      </c>
      <c r="T79" s="175">
        <f t="shared" si="470"/>
        <v>9</v>
      </c>
      <c r="U79" s="181">
        <f t="shared" ref="U79:U83" si="478">RANDBETWEEN(10,30)</f>
        <v>30</v>
      </c>
      <c r="V79" s="182">
        <f t="shared" si="387"/>
        <v>5</v>
      </c>
      <c r="W79" s="175">
        <f t="shared" ref="W79:Y79" si="471">RANDBETWEEN(0,2)</f>
        <v>2</v>
      </c>
      <c r="X79" s="175">
        <f t="shared" si="471"/>
        <v>1</v>
      </c>
      <c r="Y79" s="175">
        <f t="shared" si="471"/>
        <v>2</v>
      </c>
      <c r="Z79" s="183">
        <f t="shared" si="396"/>
        <v>2</v>
      </c>
      <c r="AA79" s="198">
        <f t="shared" ref="AA79:AF79" si="472">RANDBETWEEN(0,2)</f>
        <v>0</v>
      </c>
      <c r="AB79" s="198">
        <f t="shared" si="472"/>
        <v>2</v>
      </c>
      <c r="AC79" s="199">
        <f t="shared" si="472"/>
        <v>0</v>
      </c>
      <c r="AD79" s="200">
        <f t="shared" si="472"/>
        <v>0</v>
      </c>
      <c r="AE79" s="200">
        <f t="shared" si="472"/>
        <v>1</v>
      </c>
      <c r="AF79" s="200">
        <f t="shared" si="472"/>
        <v>2</v>
      </c>
      <c r="AG79" s="187">
        <f t="shared" si="357"/>
        <v>3</v>
      </c>
      <c r="AH79" s="199">
        <f t="shared" ref="AH79:AJ79" si="473">RANDBETWEEN(1,10)</f>
        <v>6</v>
      </c>
      <c r="AI79" s="200">
        <f t="shared" si="473"/>
        <v>9</v>
      </c>
      <c r="AJ79" s="200">
        <f t="shared" si="473"/>
        <v>4</v>
      </c>
      <c r="AK79" s="188">
        <f t="shared" si="359"/>
        <v>19</v>
      </c>
      <c r="AL79" s="199"/>
      <c r="AM79" s="200"/>
      <c r="AN79" s="200"/>
      <c r="AO79" s="200"/>
      <c r="AP79" s="189"/>
      <c r="AQ79" s="199"/>
      <c r="AR79" s="200"/>
      <c r="AS79" s="200"/>
      <c r="AT79" s="190"/>
      <c r="AU79" s="199"/>
      <c r="AV79" s="200"/>
      <c r="AW79" s="200"/>
      <c r="AX79" s="191"/>
      <c r="AY79" s="92">
        <f t="shared" ref="AY79:AZ79" si="474">RANDBETWEEN(1,10)/10</f>
        <v>0.2</v>
      </c>
      <c r="AZ79" s="92">
        <f t="shared" si="474"/>
        <v>0.5</v>
      </c>
      <c r="BA79" s="93">
        <v>0.0</v>
      </c>
      <c r="BB79" s="93">
        <v>0.0</v>
      </c>
      <c r="BC79" s="94">
        <f>SUM(BC51,'ГОЧ'!$AY79)</f>
        <v>1200.6</v>
      </c>
      <c r="BD79" s="94">
        <f>SUM(BD51,'ГОЧ'!$AZ79)</f>
        <v>1201.2</v>
      </c>
      <c r="BE79" s="186"/>
      <c r="BF79" s="186"/>
    </row>
    <row r="80" ht="15.75" customHeight="1">
      <c r="A80" s="67">
        <f t="shared" si="347"/>
        <v>46256</v>
      </c>
      <c r="B80" s="195" t="s">
        <v>53</v>
      </c>
      <c r="C80" s="157">
        <f t="shared" si="348"/>
        <v>2</v>
      </c>
      <c r="D80" s="97">
        <f t="shared" ref="D80:L80" si="475">RANDBETWEEN(0,2)</f>
        <v>0</v>
      </c>
      <c r="E80" s="97">
        <f t="shared" si="475"/>
        <v>1</v>
      </c>
      <c r="F80" s="97">
        <f t="shared" si="475"/>
        <v>2</v>
      </c>
      <c r="G80" s="97">
        <f t="shared" si="475"/>
        <v>2</v>
      </c>
      <c r="H80" s="98">
        <f t="shared" si="475"/>
        <v>0</v>
      </c>
      <c r="I80" s="99">
        <f t="shared" si="475"/>
        <v>0</v>
      </c>
      <c r="J80" s="100">
        <f t="shared" si="475"/>
        <v>2</v>
      </c>
      <c r="K80" s="101">
        <f t="shared" si="475"/>
        <v>0</v>
      </c>
      <c r="L80" s="101">
        <f t="shared" si="475"/>
        <v>0</v>
      </c>
      <c r="M80" s="140">
        <f t="shared" si="476"/>
        <v>24</v>
      </c>
      <c r="N80" s="97">
        <f t="shared" ref="N80:T80" si="477">RANDBETWEEN(0,10)</f>
        <v>1</v>
      </c>
      <c r="O80" s="97">
        <f t="shared" si="477"/>
        <v>1</v>
      </c>
      <c r="P80" s="97">
        <f t="shared" si="477"/>
        <v>5</v>
      </c>
      <c r="Q80" s="97">
        <f t="shared" si="477"/>
        <v>2</v>
      </c>
      <c r="R80" s="97">
        <f t="shared" si="477"/>
        <v>6</v>
      </c>
      <c r="S80" s="97">
        <f t="shared" si="477"/>
        <v>1</v>
      </c>
      <c r="T80" s="97">
        <f t="shared" si="477"/>
        <v>8</v>
      </c>
      <c r="U80" s="103">
        <f t="shared" si="478"/>
        <v>10</v>
      </c>
      <c r="V80" s="158">
        <f t="shared" si="387"/>
        <v>0</v>
      </c>
      <c r="W80" s="97">
        <f t="shared" ref="W80:Y80" si="479">RANDBETWEEN(0,2)</f>
        <v>0</v>
      </c>
      <c r="X80" s="97">
        <f t="shared" si="479"/>
        <v>0</v>
      </c>
      <c r="Y80" s="97">
        <f t="shared" si="479"/>
        <v>0</v>
      </c>
      <c r="Z80" s="105">
        <f t="shared" si="396"/>
        <v>3</v>
      </c>
      <c r="AA80" s="106">
        <f t="shared" ref="AA80:AF80" si="480">RANDBETWEEN(0,2)</f>
        <v>1</v>
      </c>
      <c r="AB80" s="106">
        <f t="shared" si="480"/>
        <v>2</v>
      </c>
      <c r="AC80" s="107">
        <f t="shared" si="480"/>
        <v>0</v>
      </c>
      <c r="AD80" s="108">
        <f t="shared" si="480"/>
        <v>0</v>
      </c>
      <c r="AE80" s="108">
        <f t="shared" si="480"/>
        <v>2</v>
      </c>
      <c r="AF80" s="108">
        <f t="shared" si="480"/>
        <v>2</v>
      </c>
      <c r="AG80" s="86">
        <f t="shared" si="357"/>
        <v>4</v>
      </c>
      <c r="AH80" s="107">
        <f t="shared" ref="AH80:AJ80" si="481">RANDBETWEEN(1,10)</f>
        <v>5</v>
      </c>
      <c r="AI80" s="108">
        <f t="shared" si="481"/>
        <v>5</v>
      </c>
      <c r="AJ80" s="108">
        <f t="shared" si="481"/>
        <v>2</v>
      </c>
      <c r="AK80" s="192">
        <f t="shared" si="359"/>
        <v>12</v>
      </c>
      <c r="AL80" s="107"/>
      <c r="AM80" s="108"/>
      <c r="AN80" s="108"/>
      <c r="AO80" s="108"/>
      <c r="AP80" s="89"/>
      <c r="AQ80" s="107"/>
      <c r="AR80" s="108"/>
      <c r="AS80" s="108"/>
      <c r="AT80" s="193"/>
      <c r="AU80" s="107"/>
      <c r="AV80" s="108"/>
      <c r="AW80" s="108"/>
      <c r="AX80" s="194"/>
      <c r="AY80" s="92">
        <f t="shared" ref="AY80:AZ80" si="482">RANDBETWEEN(1,10)/10</f>
        <v>0.7</v>
      </c>
      <c r="AZ80" s="92">
        <f t="shared" si="482"/>
        <v>0.3</v>
      </c>
      <c r="BA80" s="93">
        <v>0.0</v>
      </c>
      <c r="BB80" s="93">
        <v>0.0</v>
      </c>
      <c r="BC80" s="94">
        <f>SUM(BC52,'ГОЧ'!$AY80)</f>
        <v>1201.2</v>
      </c>
      <c r="BD80" s="94">
        <f>SUM(BD52,'ГОЧ'!$AZ80)</f>
        <v>1200.6</v>
      </c>
      <c r="BE80" s="108"/>
      <c r="BF80" s="108"/>
    </row>
    <row r="81" ht="15.75" customHeight="1">
      <c r="A81" s="67">
        <f t="shared" si="347"/>
        <v>46256</v>
      </c>
      <c r="B81" s="138" t="s">
        <v>57</v>
      </c>
      <c r="C81" s="157">
        <f t="shared" si="348"/>
        <v>2</v>
      </c>
      <c r="D81" s="97">
        <f t="shared" ref="D81:L81" si="483">RANDBETWEEN(0,2)</f>
        <v>1</v>
      </c>
      <c r="E81" s="97">
        <f t="shared" si="483"/>
        <v>2</v>
      </c>
      <c r="F81" s="97">
        <f t="shared" si="483"/>
        <v>1</v>
      </c>
      <c r="G81" s="97">
        <f t="shared" si="483"/>
        <v>0</v>
      </c>
      <c r="H81" s="98">
        <f t="shared" si="483"/>
        <v>1</v>
      </c>
      <c r="I81" s="99">
        <f t="shared" si="483"/>
        <v>1</v>
      </c>
      <c r="J81" s="100">
        <f t="shared" si="483"/>
        <v>0</v>
      </c>
      <c r="K81" s="101">
        <f t="shared" si="483"/>
        <v>2</v>
      </c>
      <c r="L81" s="101">
        <f t="shared" si="483"/>
        <v>1</v>
      </c>
      <c r="M81" s="140">
        <f t="shared" si="476"/>
        <v>33</v>
      </c>
      <c r="N81" s="97">
        <f t="shared" ref="N81:T81" si="484">RANDBETWEEN(0,10)</f>
        <v>2</v>
      </c>
      <c r="O81" s="97">
        <f t="shared" si="484"/>
        <v>7</v>
      </c>
      <c r="P81" s="97">
        <f t="shared" si="484"/>
        <v>8</v>
      </c>
      <c r="Q81" s="97">
        <f t="shared" si="484"/>
        <v>2</v>
      </c>
      <c r="R81" s="97">
        <f t="shared" si="484"/>
        <v>6</v>
      </c>
      <c r="S81" s="97">
        <f t="shared" si="484"/>
        <v>4</v>
      </c>
      <c r="T81" s="97">
        <f t="shared" si="484"/>
        <v>4</v>
      </c>
      <c r="U81" s="103">
        <f t="shared" si="478"/>
        <v>13</v>
      </c>
      <c r="V81" s="158">
        <f t="shared" si="387"/>
        <v>1</v>
      </c>
      <c r="W81" s="97">
        <f t="shared" ref="W81:Y81" si="485">RANDBETWEEN(0,2)</f>
        <v>0</v>
      </c>
      <c r="X81" s="97">
        <f t="shared" si="485"/>
        <v>1</v>
      </c>
      <c r="Y81" s="97">
        <f t="shared" si="485"/>
        <v>0</v>
      </c>
      <c r="Z81" s="105">
        <f t="shared" si="396"/>
        <v>4</v>
      </c>
      <c r="AA81" s="143">
        <f t="shared" ref="AA81:AF81" si="486">RANDBETWEEN(0,2)</f>
        <v>2</v>
      </c>
      <c r="AB81" s="143">
        <f t="shared" si="486"/>
        <v>2</v>
      </c>
      <c r="AC81" s="144">
        <f t="shared" si="486"/>
        <v>2</v>
      </c>
      <c r="AD81" s="145">
        <f t="shared" si="486"/>
        <v>1</v>
      </c>
      <c r="AE81" s="145">
        <f t="shared" si="486"/>
        <v>2</v>
      </c>
      <c r="AF81" s="145">
        <f t="shared" si="486"/>
        <v>1</v>
      </c>
      <c r="AG81" s="86">
        <f t="shared" si="357"/>
        <v>6</v>
      </c>
      <c r="AH81" s="144">
        <f t="shared" ref="AH81:AJ81" si="487">RANDBETWEEN(1,10)</f>
        <v>1</v>
      </c>
      <c r="AI81" s="145">
        <f t="shared" si="487"/>
        <v>5</v>
      </c>
      <c r="AJ81" s="145">
        <f t="shared" si="487"/>
        <v>10</v>
      </c>
      <c r="AK81" s="192">
        <f t="shared" si="359"/>
        <v>16</v>
      </c>
      <c r="AL81" s="144"/>
      <c r="AM81" s="145"/>
      <c r="AN81" s="145"/>
      <c r="AO81" s="145"/>
      <c r="AP81" s="89"/>
      <c r="AQ81" s="144"/>
      <c r="AR81" s="145"/>
      <c r="AS81" s="145"/>
      <c r="AT81" s="193"/>
      <c r="AU81" s="144"/>
      <c r="AV81" s="145"/>
      <c r="AW81" s="145"/>
      <c r="AX81" s="194"/>
      <c r="AY81" s="92">
        <f t="shared" ref="AY81:AZ81" si="488">RANDBETWEEN(1,10)/10</f>
        <v>0.3</v>
      </c>
      <c r="AZ81" s="92">
        <f t="shared" si="488"/>
        <v>0.6</v>
      </c>
      <c r="BA81" s="93">
        <v>0.0</v>
      </c>
      <c r="BB81" s="93">
        <v>0.0</v>
      </c>
      <c r="BC81" s="94">
        <f>SUM(BC53,'ГОЧ'!$AY81)</f>
        <v>1201.3</v>
      </c>
      <c r="BD81" s="94">
        <f>SUM(BD53,'ГОЧ'!$AZ81)</f>
        <v>1201.3</v>
      </c>
      <c r="BE81" s="108"/>
      <c r="BF81" s="108"/>
    </row>
    <row r="82" ht="15.75" customHeight="1">
      <c r="A82" s="67">
        <f t="shared" si="347"/>
        <v>46256</v>
      </c>
      <c r="B82" s="138" t="s">
        <v>60</v>
      </c>
      <c r="C82" s="157">
        <f t="shared" si="348"/>
        <v>1</v>
      </c>
      <c r="D82" s="97">
        <f t="shared" ref="D82:L82" si="489">RANDBETWEEN(0,2)</f>
        <v>0</v>
      </c>
      <c r="E82" s="97">
        <f t="shared" si="489"/>
        <v>0</v>
      </c>
      <c r="F82" s="97">
        <f t="shared" si="489"/>
        <v>1</v>
      </c>
      <c r="G82" s="97">
        <f t="shared" si="489"/>
        <v>1</v>
      </c>
      <c r="H82" s="98">
        <f t="shared" si="489"/>
        <v>0</v>
      </c>
      <c r="I82" s="99">
        <f t="shared" si="489"/>
        <v>1</v>
      </c>
      <c r="J82" s="100">
        <f t="shared" si="489"/>
        <v>2</v>
      </c>
      <c r="K82" s="101">
        <f t="shared" si="489"/>
        <v>2</v>
      </c>
      <c r="L82" s="101">
        <f t="shared" si="489"/>
        <v>1</v>
      </c>
      <c r="M82" s="140">
        <f t="shared" si="476"/>
        <v>35</v>
      </c>
      <c r="N82" s="97">
        <f t="shared" ref="N82:T82" si="490">RANDBETWEEN(0,10)</f>
        <v>2</v>
      </c>
      <c r="O82" s="97">
        <f t="shared" si="490"/>
        <v>10</v>
      </c>
      <c r="P82" s="97">
        <f t="shared" si="490"/>
        <v>5</v>
      </c>
      <c r="Q82" s="97">
        <f t="shared" si="490"/>
        <v>10</v>
      </c>
      <c r="R82" s="97">
        <f t="shared" si="490"/>
        <v>1</v>
      </c>
      <c r="S82" s="97">
        <f t="shared" si="490"/>
        <v>6</v>
      </c>
      <c r="T82" s="97">
        <f t="shared" si="490"/>
        <v>1</v>
      </c>
      <c r="U82" s="103">
        <f t="shared" si="478"/>
        <v>29</v>
      </c>
      <c r="V82" s="158">
        <f t="shared" si="387"/>
        <v>5</v>
      </c>
      <c r="W82" s="97">
        <f t="shared" ref="W82:Y82" si="491">RANDBETWEEN(0,2)</f>
        <v>2</v>
      </c>
      <c r="X82" s="97">
        <f t="shared" si="491"/>
        <v>2</v>
      </c>
      <c r="Y82" s="97">
        <f t="shared" si="491"/>
        <v>1</v>
      </c>
      <c r="Z82" s="105">
        <f t="shared" si="396"/>
        <v>1</v>
      </c>
      <c r="AA82" s="106">
        <f t="shared" ref="AA82:AF82" si="492">RANDBETWEEN(0,2)</f>
        <v>0</v>
      </c>
      <c r="AB82" s="106">
        <f t="shared" si="492"/>
        <v>1</v>
      </c>
      <c r="AC82" s="107">
        <f t="shared" si="492"/>
        <v>0</v>
      </c>
      <c r="AD82" s="108">
        <f t="shared" si="492"/>
        <v>0</v>
      </c>
      <c r="AE82" s="108">
        <f t="shared" si="492"/>
        <v>2</v>
      </c>
      <c r="AF82" s="108">
        <f t="shared" si="492"/>
        <v>1</v>
      </c>
      <c r="AG82" s="86">
        <f t="shared" si="357"/>
        <v>3</v>
      </c>
      <c r="AH82" s="107">
        <f t="shared" ref="AH82:AJ82" si="493">RANDBETWEEN(1,10)</f>
        <v>10</v>
      </c>
      <c r="AI82" s="108">
        <f t="shared" si="493"/>
        <v>3</v>
      </c>
      <c r="AJ82" s="108">
        <f t="shared" si="493"/>
        <v>6</v>
      </c>
      <c r="AK82" s="192">
        <f t="shared" si="359"/>
        <v>19</v>
      </c>
      <c r="AL82" s="107"/>
      <c r="AM82" s="108"/>
      <c r="AN82" s="108"/>
      <c r="AO82" s="108"/>
      <c r="AP82" s="89"/>
      <c r="AQ82" s="107"/>
      <c r="AR82" s="108"/>
      <c r="AS82" s="108"/>
      <c r="AT82" s="193"/>
      <c r="AU82" s="107"/>
      <c r="AV82" s="108"/>
      <c r="AW82" s="108"/>
      <c r="AX82" s="194"/>
      <c r="AY82" s="92">
        <f t="shared" ref="AY82:AZ82" si="494">RANDBETWEEN(1,10)/10</f>
        <v>0.2</v>
      </c>
      <c r="AZ82" s="92">
        <f t="shared" si="494"/>
        <v>0.9</v>
      </c>
      <c r="BA82" s="93">
        <v>0.0</v>
      </c>
      <c r="BB82" s="93">
        <v>0.0</v>
      </c>
      <c r="BC82" s="94">
        <f>SUM(BC54,'ГОЧ'!$AY82)</f>
        <v>1200.9</v>
      </c>
      <c r="BD82" s="94">
        <f>SUM(BD54,'ГОЧ'!$AZ82)</f>
        <v>1201.5</v>
      </c>
      <c r="BE82" s="108"/>
      <c r="BF82" s="108"/>
    </row>
    <row r="83" ht="15.75" customHeight="1">
      <c r="A83" s="67">
        <f t="shared" si="347"/>
        <v>46256</v>
      </c>
      <c r="B83" s="195" t="s">
        <v>64</v>
      </c>
      <c r="C83" s="157">
        <f t="shared" si="348"/>
        <v>2</v>
      </c>
      <c r="D83" s="97">
        <f t="shared" ref="D83:L83" si="495">RANDBETWEEN(0,2)</f>
        <v>0</v>
      </c>
      <c r="E83" s="97">
        <f t="shared" si="495"/>
        <v>1</v>
      </c>
      <c r="F83" s="97">
        <f t="shared" si="495"/>
        <v>2</v>
      </c>
      <c r="G83" s="97">
        <f t="shared" si="495"/>
        <v>0</v>
      </c>
      <c r="H83" s="98">
        <f t="shared" si="495"/>
        <v>2</v>
      </c>
      <c r="I83" s="99">
        <f t="shared" si="495"/>
        <v>0</v>
      </c>
      <c r="J83" s="100">
        <f t="shared" si="495"/>
        <v>0</v>
      </c>
      <c r="K83" s="101">
        <f t="shared" si="495"/>
        <v>2</v>
      </c>
      <c r="L83" s="101">
        <f t="shared" si="495"/>
        <v>1</v>
      </c>
      <c r="M83" s="140">
        <f t="shared" si="476"/>
        <v>40</v>
      </c>
      <c r="N83" s="97">
        <f t="shared" ref="N83:T83" si="496">RANDBETWEEN(0,10)</f>
        <v>7</v>
      </c>
      <c r="O83" s="97">
        <f t="shared" si="496"/>
        <v>1</v>
      </c>
      <c r="P83" s="97">
        <f t="shared" si="496"/>
        <v>9</v>
      </c>
      <c r="Q83" s="97">
        <f t="shared" si="496"/>
        <v>0</v>
      </c>
      <c r="R83" s="97">
        <f t="shared" si="496"/>
        <v>10</v>
      </c>
      <c r="S83" s="97">
        <f t="shared" si="496"/>
        <v>10</v>
      </c>
      <c r="T83" s="97">
        <f t="shared" si="496"/>
        <v>3</v>
      </c>
      <c r="U83" s="103">
        <f t="shared" si="478"/>
        <v>20</v>
      </c>
      <c r="V83" s="158">
        <f t="shared" si="387"/>
        <v>6</v>
      </c>
      <c r="W83" s="97">
        <f t="shared" ref="W83:Y83" si="497">RANDBETWEEN(0,2)</f>
        <v>2</v>
      </c>
      <c r="X83" s="97">
        <f t="shared" si="497"/>
        <v>2</v>
      </c>
      <c r="Y83" s="97">
        <f t="shared" si="497"/>
        <v>2</v>
      </c>
      <c r="Z83" s="105">
        <f t="shared" si="396"/>
        <v>2</v>
      </c>
      <c r="AA83" s="143">
        <f t="shared" ref="AA83:AF83" si="498">RANDBETWEEN(0,2)</f>
        <v>1</v>
      </c>
      <c r="AB83" s="143">
        <f t="shared" si="498"/>
        <v>1</v>
      </c>
      <c r="AC83" s="144">
        <f t="shared" si="498"/>
        <v>0</v>
      </c>
      <c r="AD83" s="145">
        <f t="shared" si="498"/>
        <v>0</v>
      </c>
      <c r="AE83" s="145">
        <f t="shared" si="498"/>
        <v>2</v>
      </c>
      <c r="AF83" s="145">
        <f t="shared" si="498"/>
        <v>2</v>
      </c>
      <c r="AG83" s="86">
        <f t="shared" si="357"/>
        <v>4</v>
      </c>
      <c r="AH83" s="144">
        <f t="shared" ref="AH83:AJ83" si="499">RANDBETWEEN(1,10)</f>
        <v>1</v>
      </c>
      <c r="AI83" s="145">
        <f t="shared" si="499"/>
        <v>5</v>
      </c>
      <c r="AJ83" s="145">
        <f t="shared" si="499"/>
        <v>4</v>
      </c>
      <c r="AK83" s="192">
        <f t="shared" si="359"/>
        <v>10</v>
      </c>
      <c r="AL83" s="144"/>
      <c r="AM83" s="145"/>
      <c r="AN83" s="145"/>
      <c r="AO83" s="145"/>
      <c r="AP83" s="89"/>
      <c r="AQ83" s="144"/>
      <c r="AR83" s="145"/>
      <c r="AS83" s="145"/>
      <c r="AT83" s="193"/>
      <c r="AU83" s="144"/>
      <c r="AV83" s="145"/>
      <c r="AW83" s="145"/>
      <c r="AX83" s="194"/>
      <c r="AY83" s="92">
        <f t="shared" ref="AY83:AZ83" si="500">RANDBETWEEN(1,10)/10</f>
        <v>0.4</v>
      </c>
      <c r="AZ83" s="92">
        <f t="shared" si="500"/>
        <v>0.4</v>
      </c>
      <c r="BA83" s="93">
        <v>0.0</v>
      </c>
      <c r="BB83" s="93">
        <v>0.0</v>
      </c>
      <c r="BC83" s="94">
        <f>SUM(BC55,'ГОЧ'!$AY83)</f>
        <v>1201.3</v>
      </c>
      <c r="BD83" s="94">
        <f>SUM(BD55,'ГОЧ'!$AZ83)</f>
        <v>1201.1</v>
      </c>
      <c r="BE83" s="108"/>
      <c r="BF83" s="108"/>
    </row>
    <row r="84" ht="15.75" customHeight="1">
      <c r="A84" s="67">
        <f t="shared" si="347"/>
        <v>46256</v>
      </c>
      <c r="B84" s="201" t="s">
        <v>67</v>
      </c>
      <c r="C84" s="164">
        <f t="shared" si="348"/>
        <v>8</v>
      </c>
      <c r="D84" s="164">
        <f t="shared" ref="D84:L84" si="501">SUM(D79:D83)</f>
        <v>1</v>
      </c>
      <c r="E84" s="165">
        <f t="shared" si="501"/>
        <v>5</v>
      </c>
      <c r="F84" s="165">
        <f t="shared" si="501"/>
        <v>7</v>
      </c>
      <c r="G84" s="165">
        <f t="shared" si="501"/>
        <v>4</v>
      </c>
      <c r="H84" s="165">
        <f t="shared" si="501"/>
        <v>5</v>
      </c>
      <c r="I84" s="165">
        <f t="shared" si="501"/>
        <v>4</v>
      </c>
      <c r="J84" s="165">
        <f t="shared" si="501"/>
        <v>4</v>
      </c>
      <c r="K84" s="165">
        <f t="shared" si="501"/>
        <v>8</v>
      </c>
      <c r="L84" s="165">
        <f t="shared" si="501"/>
        <v>5</v>
      </c>
      <c r="M84" s="164">
        <f t="shared" si="476"/>
        <v>164</v>
      </c>
      <c r="N84" s="164">
        <f t="shared" ref="N84:U84" si="502">SUM(N79:N83)</f>
        <v>22</v>
      </c>
      <c r="O84" s="165">
        <f t="shared" si="502"/>
        <v>20</v>
      </c>
      <c r="P84" s="165">
        <f t="shared" si="502"/>
        <v>31</v>
      </c>
      <c r="Q84" s="165">
        <f t="shared" si="502"/>
        <v>18</v>
      </c>
      <c r="R84" s="165">
        <f t="shared" si="502"/>
        <v>26</v>
      </c>
      <c r="S84" s="165">
        <f t="shared" si="502"/>
        <v>22</v>
      </c>
      <c r="T84" s="165">
        <f t="shared" si="502"/>
        <v>25</v>
      </c>
      <c r="U84" s="164">
        <f t="shared" si="502"/>
        <v>102</v>
      </c>
      <c r="V84" s="164">
        <f t="shared" si="387"/>
        <v>17</v>
      </c>
      <c r="W84" s="165">
        <f t="shared" ref="W84:Y84" si="503">SUM(W79:W83)</f>
        <v>6</v>
      </c>
      <c r="X84" s="165">
        <f t="shared" si="503"/>
        <v>6</v>
      </c>
      <c r="Y84" s="165">
        <f t="shared" si="503"/>
        <v>5</v>
      </c>
      <c r="Z84" s="164">
        <f>SUM(AA84:AB84)</f>
        <v>12</v>
      </c>
      <c r="AA84" s="164">
        <f t="shared" ref="AA84:AF84" si="504">SUM(AA79:AA83)</f>
        <v>4</v>
      </c>
      <c r="AB84" s="165">
        <f t="shared" si="504"/>
        <v>8</v>
      </c>
      <c r="AC84" s="166">
        <f t="shared" si="504"/>
        <v>2</v>
      </c>
      <c r="AD84" s="166">
        <f t="shared" si="504"/>
        <v>1</v>
      </c>
      <c r="AE84" s="166">
        <f t="shared" si="504"/>
        <v>9</v>
      </c>
      <c r="AF84" s="166">
        <f t="shared" si="504"/>
        <v>8</v>
      </c>
      <c r="AG84" s="168">
        <f t="shared" si="357"/>
        <v>20</v>
      </c>
      <c r="AH84" s="166">
        <f t="shared" ref="AH84:AJ84" si="505">SUM(AH79:AH83)</f>
        <v>23</v>
      </c>
      <c r="AI84" s="167">
        <f t="shared" si="505"/>
        <v>27</v>
      </c>
      <c r="AJ84" s="167">
        <f t="shared" si="505"/>
        <v>26</v>
      </c>
      <c r="AK84" s="168">
        <f t="shared" si="359"/>
        <v>76</v>
      </c>
      <c r="AL84" s="166"/>
      <c r="AM84" s="166"/>
      <c r="AN84" s="166"/>
      <c r="AO84" s="166"/>
      <c r="AP84" s="169"/>
      <c r="AQ84" s="166"/>
      <c r="AR84" s="167"/>
      <c r="AS84" s="167"/>
      <c r="AT84" s="170"/>
      <c r="AU84" s="166"/>
      <c r="AV84" s="167"/>
      <c r="AW84" s="167"/>
      <c r="AX84" s="171"/>
      <c r="AY84" s="196">
        <f t="shared" ref="AY84:BD84" si="506">SUM(AY79:AY83)</f>
        <v>1.8</v>
      </c>
      <c r="AZ84" s="196">
        <f t="shared" si="506"/>
        <v>2.7</v>
      </c>
      <c r="BA84" s="167">
        <f t="shared" si="506"/>
        <v>0</v>
      </c>
      <c r="BB84" s="167">
        <f t="shared" si="506"/>
        <v>0</v>
      </c>
      <c r="BC84" s="197">
        <f t="shared" si="506"/>
        <v>6005.3</v>
      </c>
      <c r="BD84" s="197">
        <f t="shared" si="506"/>
        <v>6005.7</v>
      </c>
      <c r="BE84" s="154" t="str">
        <f t="shared" ref="BE84:BF84" si="507">TEXTJOIN(", ",TRUE,BE79:BE83)</f>
        <v/>
      </c>
      <c r="BF84" s="154" t="str">
        <f t="shared" si="507"/>
        <v/>
      </c>
    </row>
    <row r="85" ht="15.75" customHeight="1">
      <c r="A85" s="67">
        <f t="shared" si="347"/>
        <v>46256</v>
      </c>
      <c r="B85" s="202" t="s">
        <v>72</v>
      </c>
      <c r="C85" s="203">
        <f t="shared" ref="C85:AK85" si="508">SUM(C59+C60+C61+C65,C64,C71,C78,C84)</f>
        <v>43</v>
      </c>
      <c r="D85" s="203">
        <f t="shared" si="508"/>
        <v>18</v>
      </c>
      <c r="E85" s="203">
        <f t="shared" si="508"/>
        <v>14</v>
      </c>
      <c r="F85" s="203">
        <f t="shared" si="508"/>
        <v>25</v>
      </c>
      <c r="G85" s="203">
        <f t="shared" si="508"/>
        <v>24</v>
      </c>
      <c r="H85" s="203">
        <f t="shared" si="508"/>
        <v>22</v>
      </c>
      <c r="I85" s="203">
        <f t="shared" si="508"/>
        <v>20</v>
      </c>
      <c r="J85" s="203">
        <f t="shared" si="508"/>
        <v>23</v>
      </c>
      <c r="K85" s="203">
        <f t="shared" si="508"/>
        <v>24</v>
      </c>
      <c r="L85" s="203">
        <f t="shared" si="508"/>
        <v>17</v>
      </c>
      <c r="M85" s="203">
        <f t="shared" si="508"/>
        <v>691</v>
      </c>
      <c r="N85" s="203">
        <f t="shared" si="508"/>
        <v>93</v>
      </c>
      <c r="O85" s="203">
        <f t="shared" si="508"/>
        <v>91</v>
      </c>
      <c r="P85" s="203">
        <f t="shared" si="508"/>
        <v>106</v>
      </c>
      <c r="Q85" s="203">
        <f t="shared" si="508"/>
        <v>89</v>
      </c>
      <c r="R85" s="203">
        <f t="shared" si="508"/>
        <v>71</v>
      </c>
      <c r="S85" s="203">
        <f t="shared" si="508"/>
        <v>112</v>
      </c>
      <c r="T85" s="203">
        <f t="shared" si="508"/>
        <v>129</v>
      </c>
      <c r="U85" s="203">
        <f t="shared" si="508"/>
        <v>402</v>
      </c>
      <c r="V85" s="203">
        <f t="shared" si="508"/>
        <v>60</v>
      </c>
      <c r="W85" s="203">
        <f t="shared" si="508"/>
        <v>21</v>
      </c>
      <c r="X85" s="203">
        <f t="shared" si="508"/>
        <v>21</v>
      </c>
      <c r="Y85" s="203">
        <f t="shared" si="508"/>
        <v>18</v>
      </c>
      <c r="Z85" s="203">
        <f t="shared" si="508"/>
        <v>44</v>
      </c>
      <c r="AA85" s="203">
        <f t="shared" si="508"/>
        <v>19</v>
      </c>
      <c r="AB85" s="203">
        <f t="shared" si="508"/>
        <v>25</v>
      </c>
      <c r="AC85" s="204">
        <f t="shared" si="508"/>
        <v>16</v>
      </c>
      <c r="AD85" s="204">
        <f t="shared" si="508"/>
        <v>20</v>
      </c>
      <c r="AE85" s="204">
        <f t="shared" si="508"/>
        <v>29</v>
      </c>
      <c r="AF85" s="204">
        <f t="shared" si="508"/>
        <v>23</v>
      </c>
      <c r="AG85" s="204">
        <f t="shared" si="508"/>
        <v>88</v>
      </c>
      <c r="AH85" s="204">
        <f t="shared" si="508"/>
        <v>95</v>
      </c>
      <c r="AI85" s="204">
        <f t="shared" si="508"/>
        <v>114</v>
      </c>
      <c r="AJ85" s="204">
        <f t="shared" si="508"/>
        <v>113</v>
      </c>
      <c r="AK85" s="204">
        <f t="shared" si="508"/>
        <v>322</v>
      </c>
      <c r="AL85" s="204"/>
      <c r="AM85" s="204"/>
      <c r="AN85" s="204"/>
      <c r="AO85" s="204"/>
      <c r="AP85" s="151"/>
      <c r="AQ85" s="204"/>
      <c r="AR85" s="204"/>
      <c r="AS85" s="204"/>
      <c r="AT85" s="152"/>
      <c r="AU85" s="204"/>
      <c r="AV85" s="204"/>
      <c r="AW85" s="204"/>
      <c r="AX85" s="153"/>
      <c r="AY85" s="205">
        <f t="shared" ref="AY85:BD85" si="509">SUM(AY59+AY60+AY61+AY65,AY64,AY71,AY78,AY84)</f>
        <v>12.1</v>
      </c>
      <c r="AZ85" s="205">
        <f t="shared" si="509"/>
        <v>15.6</v>
      </c>
      <c r="BA85" s="206">
        <f t="shared" si="509"/>
        <v>5</v>
      </c>
      <c r="BB85" s="206">
        <f t="shared" si="509"/>
        <v>3</v>
      </c>
      <c r="BC85" s="207">
        <f t="shared" si="509"/>
        <v>26426</v>
      </c>
      <c r="BD85" s="207">
        <f t="shared" si="509"/>
        <v>26429.4</v>
      </c>
      <c r="BE85" s="154" t="str">
        <f t="shared" ref="BE85:BF85" si="510">TEXTJOIN(", ",TRUE,BE84,BE78,BE71,BE65,BE64,BE61,BE60,BE59)</f>
        <v>Олександівка, Пантелеймонівка, Миколаївка, Курськ, Рильск</v>
      </c>
      <c r="BF85" s="154" t="str">
        <f t="shared" si="510"/>
        <v>Загреблі, Верхні води, Ступочки</v>
      </c>
    </row>
    <row r="86" ht="15.75" customHeight="1">
      <c r="A86" s="55">
        <f>A85+1</f>
        <v>46257</v>
      </c>
      <c r="B86" s="56"/>
      <c r="C86" s="57"/>
      <c r="D86" s="58"/>
      <c r="E86" s="59"/>
      <c r="F86" s="58"/>
      <c r="G86" s="59"/>
      <c r="H86" s="57"/>
      <c r="I86" s="60"/>
      <c r="J86" s="57"/>
      <c r="K86" s="57"/>
      <c r="L86" s="57"/>
      <c r="M86" s="57"/>
      <c r="N86" s="60"/>
      <c r="O86" s="60"/>
      <c r="P86" s="60"/>
      <c r="Q86" s="60"/>
      <c r="R86" s="60"/>
      <c r="S86" s="60"/>
      <c r="T86" s="60"/>
      <c r="U86" s="57"/>
      <c r="V86" s="58"/>
      <c r="W86" s="61"/>
      <c r="X86" s="61"/>
      <c r="Y86" s="61"/>
      <c r="Z86" s="57"/>
      <c r="AA86" s="60"/>
      <c r="AB86" s="60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4"/>
      <c r="AQ86" s="62"/>
      <c r="AR86" s="62"/>
      <c r="AS86" s="62"/>
      <c r="AT86" s="65"/>
      <c r="AU86" s="62"/>
      <c r="AV86" s="62"/>
      <c r="AW86" s="62"/>
      <c r="AX86" s="66"/>
      <c r="AY86" s="208"/>
      <c r="AZ86" s="208"/>
      <c r="BA86" s="62"/>
      <c r="BB86" s="62"/>
      <c r="BC86" s="209"/>
      <c r="BD86" s="209"/>
      <c r="BE86" s="62"/>
      <c r="BF86" s="62"/>
    </row>
    <row r="87" ht="15.75" customHeight="1">
      <c r="A87" s="67">
        <f t="shared" ref="A87:A113" si="517">A86</f>
        <v>46257</v>
      </c>
      <c r="B87" s="70" t="s">
        <v>8</v>
      </c>
      <c r="C87" s="72">
        <f t="shared" ref="C87:C112" si="518">SUM(D87,F87)</f>
        <v>2</v>
      </c>
      <c r="D87" s="74">
        <f t="shared" ref="D87:L87" si="511">RANDBETWEEN(0,2)</f>
        <v>2</v>
      </c>
      <c r="E87" s="74">
        <f t="shared" si="511"/>
        <v>2</v>
      </c>
      <c r="F87" s="74">
        <f t="shared" si="511"/>
        <v>0</v>
      </c>
      <c r="G87" s="74">
        <f t="shared" si="511"/>
        <v>2</v>
      </c>
      <c r="H87" s="75">
        <f t="shared" si="511"/>
        <v>2</v>
      </c>
      <c r="I87" s="76">
        <f t="shared" si="511"/>
        <v>2</v>
      </c>
      <c r="J87" s="77">
        <f t="shared" si="511"/>
        <v>0</v>
      </c>
      <c r="K87" s="78">
        <f t="shared" si="511"/>
        <v>1</v>
      </c>
      <c r="L87" s="78">
        <f t="shared" si="511"/>
        <v>2</v>
      </c>
      <c r="M87" s="79">
        <f t="shared" ref="M87:M105" si="520">SUM(N87:T87)</f>
        <v>30</v>
      </c>
      <c r="N87" s="74">
        <f t="shared" ref="N87:T87" si="512">RANDBETWEEN(0,10)</f>
        <v>7</v>
      </c>
      <c r="O87" s="74">
        <f t="shared" si="512"/>
        <v>0</v>
      </c>
      <c r="P87" s="74">
        <f t="shared" si="512"/>
        <v>1</v>
      </c>
      <c r="Q87" s="74">
        <f t="shared" si="512"/>
        <v>5</v>
      </c>
      <c r="R87" s="74">
        <f t="shared" si="512"/>
        <v>8</v>
      </c>
      <c r="S87" s="74">
        <f t="shared" si="512"/>
        <v>9</v>
      </c>
      <c r="T87" s="74">
        <f t="shared" si="512"/>
        <v>0</v>
      </c>
      <c r="U87" s="81">
        <f t="shared" ref="U87:U88" si="522">RANDBETWEEN(10,30)</f>
        <v>13</v>
      </c>
      <c r="V87" s="82">
        <f t="shared" ref="V87:V92" si="523">SUM(W87:Y87)</f>
        <v>2</v>
      </c>
      <c r="W87" s="74">
        <f t="shared" ref="W87:Y87" si="513">RANDBETWEEN(0,2)</f>
        <v>0</v>
      </c>
      <c r="X87" s="74">
        <f t="shared" si="513"/>
        <v>2</v>
      </c>
      <c r="Y87" s="74">
        <f t="shared" si="513"/>
        <v>0</v>
      </c>
      <c r="Z87" s="83">
        <f t="shared" ref="Z87:Z89" si="525">AA87+AB87</f>
        <v>2</v>
      </c>
      <c r="AA87" s="84">
        <f t="shared" ref="AA87:AF87" si="514">RANDBETWEEN(0,2)</f>
        <v>0</v>
      </c>
      <c r="AB87" s="84">
        <f t="shared" si="514"/>
        <v>2</v>
      </c>
      <c r="AC87" s="85">
        <f t="shared" si="514"/>
        <v>0</v>
      </c>
      <c r="AD87" s="85">
        <f t="shared" si="514"/>
        <v>2</v>
      </c>
      <c r="AE87" s="85">
        <f t="shared" si="514"/>
        <v>2</v>
      </c>
      <c r="AF87" s="85">
        <f t="shared" si="514"/>
        <v>0</v>
      </c>
      <c r="AG87" s="86">
        <f t="shared" ref="AG87:AG112" si="527">SUM(AC87:AF87)</f>
        <v>4</v>
      </c>
      <c r="AH87" s="87">
        <f t="shared" ref="AH87:AJ87" si="515">RANDBETWEEN(1,10)</f>
        <v>7</v>
      </c>
      <c r="AI87" s="85">
        <f t="shared" si="515"/>
        <v>8</v>
      </c>
      <c r="AJ87" s="85">
        <f t="shared" si="515"/>
        <v>2</v>
      </c>
      <c r="AK87" s="88">
        <f t="shared" ref="AK87:AK112" si="529">SUM(AH87:AJ87)</f>
        <v>17</v>
      </c>
      <c r="AL87" s="85"/>
      <c r="AM87" s="85"/>
      <c r="AN87" s="85"/>
      <c r="AO87" s="85"/>
      <c r="AP87" s="89"/>
      <c r="AQ87" s="87"/>
      <c r="AR87" s="85"/>
      <c r="AS87" s="85"/>
      <c r="AT87" s="90"/>
      <c r="AU87" s="87"/>
      <c r="AV87" s="85"/>
      <c r="AW87" s="85"/>
      <c r="AX87" s="91"/>
      <c r="AY87" s="92">
        <f t="shared" ref="AY87:AZ87" si="516">RANDBETWEEN(1,10)/10</f>
        <v>1</v>
      </c>
      <c r="AZ87" s="92">
        <f t="shared" si="516"/>
        <v>0.6</v>
      </c>
      <c r="BA87" s="93">
        <v>0.0</v>
      </c>
      <c r="BB87" s="93">
        <v>0.0</v>
      </c>
      <c r="BC87" s="94">
        <f>SUM(BC59,'ГОЧ'!$AY87)</f>
        <v>1202.3</v>
      </c>
      <c r="BD87" s="94">
        <f>SUM(BD59,'ГОЧ'!$AZ87)</f>
        <v>1202.3</v>
      </c>
      <c r="BE87" s="85"/>
      <c r="BF87" s="85"/>
    </row>
    <row r="88" ht="15.75" customHeight="1">
      <c r="A88" s="67">
        <f t="shared" si="517"/>
        <v>46257</v>
      </c>
      <c r="B88" s="95" t="s">
        <v>10</v>
      </c>
      <c r="C88" s="96">
        <f t="shared" si="518"/>
        <v>3</v>
      </c>
      <c r="D88" s="97">
        <f t="shared" ref="D88:L88" si="519">RANDBETWEEN(0,2)</f>
        <v>2</v>
      </c>
      <c r="E88" s="97">
        <f t="shared" si="519"/>
        <v>1</v>
      </c>
      <c r="F88" s="97">
        <f t="shared" si="519"/>
        <v>1</v>
      </c>
      <c r="G88" s="97">
        <f t="shared" si="519"/>
        <v>2</v>
      </c>
      <c r="H88" s="98">
        <f t="shared" si="519"/>
        <v>1</v>
      </c>
      <c r="I88" s="99">
        <f t="shared" si="519"/>
        <v>2</v>
      </c>
      <c r="J88" s="100">
        <f t="shared" si="519"/>
        <v>1</v>
      </c>
      <c r="K88" s="101">
        <f t="shared" si="519"/>
        <v>0</v>
      </c>
      <c r="L88" s="101">
        <f t="shared" si="519"/>
        <v>0</v>
      </c>
      <c r="M88" s="102">
        <f t="shared" si="520"/>
        <v>15</v>
      </c>
      <c r="N88" s="97">
        <f t="shared" ref="N88:T88" si="521">RANDBETWEEN(0,10)</f>
        <v>2</v>
      </c>
      <c r="O88" s="97">
        <f t="shared" si="521"/>
        <v>4</v>
      </c>
      <c r="P88" s="97">
        <f t="shared" si="521"/>
        <v>0</v>
      </c>
      <c r="Q88" s="97">
        <f t="shared" si="521"/>
        <v>0</v>
      </c>
      <c r="R88" s="97">
        <f t="shared" si="521"/>
        <v>0</v>
      </c>
      <c r="S88" s="97">
        <f t="shared" si="521"/>
        <v>5</v>
      </c>
      <c r="T88" s="97">
        <f t="shared" si="521"/>
        <v>4</v>
      </c>
      <c r="U88" s="103">
        <f t="shared" si="522"/>
        <v>16</v>
      </c>
      <c r="V88" s="104">
        <f t="shared" si="523"/>
        <v>2</v>
      </c>
      <c r="W88" s="97">
        <f t="shared" ref="W88:Y88" si="524">RANDBETWEEN(0,2)</f>
        <v>0</v>
      </c>
      <c r="X88" s="97">
        <f t="shared" si="524"/>
        <v>2</v>
      </c>
      <c r="Y88" s="97">
        <f t="shared" si="524"/>
        <v>0</v>
      </c>
      <c r="Z88" s="105">
        <f t="shared" si="525"/>
        <v>2</v>
      </c>
      <c r="AA88" s="106">
        <f t="shared" ref="AA88:AF88" si="526">RANDBETWEEN(0,2)</f>
        <v>1</v>
      </c>
      <c r="AB88" s="106">
        <f t="shared" si="526"/>
        <v>1</v>
      </c>
      <c r="AC88" s="107">
        <f t="shared" si="526"/>
        <v>2</v>
      </c>
      <c r="AD88" s="108">
        <f t="shared" si="526"/>
        <v>2</v>
      </c>
      <c r="AE88" s="108">
        <f t="shared" si="526"/>
        <v>0</v>
      </c>
      <c r="AF88" s="108">
        <f t="shared" si="526"/>
        <v>2</v>
      </c>
      <c r="AG88" s="109">
        <f t="shared" si="527"/>
        <v>6</v>
      </c>
      <c r="AH88" s="107">
        <f t="shared" ref="AH88:AJ88" si="528">RANDBETWEEN(1,10)</f>
        <v>10</v>
      </c>
      <c r="AI88" s="108">
        <f t="shared" si="528"/>
        <v>9</v>
      </c>
      <c r="AJ88" s="108">
        <f t="shared" si="528"/>
        <v>2</v>
      </c>
      <c r="AK88" s="110">
        <f t="shared" si="529"/>
        <v>21</v>
      </c>
      <c r="AL88" s="107"/>
      <c r="AM88" s="108"/>
      <c r="AN88" s="108"/>
      <c r="AO88" s="108"/>
      <c r="AP88" s="111"/>
      <c r="AQ88" s="107"/>
      <c r="AR88" s="108"/>
      <c r="AS88" s="108"/>
      <c r="AT88" s="112"/>
      <c r="AU88" s="107"/>
      <c r="AV88" s="108"/>
      <c r="AW88" s="108"/>
      <c r="AX88" s="113"/>
      <c r="AY88" s="92">
        <f t="shared" ref="AY88:AZ88" si="530">RANDBETWEEN(1,10)/10</f>
        <v>0.3</v>
      </c>
      <c r="AZ88" s="92">
        <f t="shared" si="530"/>
        <v>1</v>
      </c>
      <c r="BA88" s="93">
        <v>0.0</v>
      </c>
      <c r="BB88" s="93">
        <v>0.0</v>
      </c>
      <c r="BC88" s="94">
        <f>SUM(BC60,'ГОЧ'!$AY88)</f>
        <v>1201.3</v>
      </c>
      <c r="BD88" s="94">
        <f>SUM(BD60,'ГОЧ'!$AZ88)</f>
        <v>1202.6</v>
      </c>
      <c r="BE88" s="108"/>
      <c r="BF88" s="108"/>
    </row>
    <row r="89" ht="15.75" customHeight="1">
      <c r="A89" s="67">
        <f t="shared" si="517"/>
        <v>46257</v>
      </c>
      <c r="B89" s="114" t="s">
        <v>12</v>
      </c>
      <c r="C89" s="115">
        <f t="shared" si="518"/>
        <v>0</v>
      </c>
      <c r="D89" s="115">
        <v>0.0</v>
      </c>
      <c r="E89" s="116">
        <v>0.0</v>
      </c>
      <c r="F89" s="116">
        <v>0.0</v>
      </c>
      <c r="G89" s="116">
        <v>0.0</v>
      </c>
      <c r="H89" s="115">
        <v>0.0</v>
      </c>
      <c r="I89" s="116">
        <v>0.0</v>
      </c>
      <c r="J89" s="115">
        <v>0.0</v>
      </c>
      <c r="K89" s="116">
        <v>0.0</v>
      </c>
      <c r="L89" s="116">
        <v>0.0</v>
      </c>
      <c r="M89" s="115">
        <f t="shared" si="520"/>
        <v>0</v>
      </c>
      <c r="N89" s="115">
        <v>0.0</v>
      </c>
      <c r="O89" s="116">
        <v>0.0</v>
      </c>
      <c r="P89" s="116">
        <v>0.0</v>
      </c>
      <c r="Q89" s="116">
        <v>0.0</v>
      </c>
      <c r="R89" s="116">
        <v>0.0</v>
      </c>
      <c r="S89" s="116">
        <v>0.0</v>
      </c>
      <c r="T89" s="116">
        <v>0.0</v>
      </c>
      <c r="U89" s="115">
        <v>0.0</v>
      </c>
      <c r="V89" s="115">
        <f t="shared" si="523"/>
        <v>0</v>
      </c>
      <c r="W89" s="116">
        <v>0.0</v>
      </c>
      <c r="X89" s="116">
        <v>0.0</v>
      </c>
      <c r="Y89" s="116">
        <v>0.0</v>
      </c>
      <c r="Z89" s="116">
        <f t="shared" si="525"/>
        <v>0</v>
      </c>
      <c r="AA89" s="116">
        <v>0.0</v>
      </c>
      <c r="AB89" s="116">
        <v>0.0</v>
      </c>
      <c r="AC89" s="117">
        <v>0.0</v>
      </c>
      <c r="AD89" s="118">
        <v>0.0</v>
      </c>
      <c r="AE89" s="118">
        <v>0.0</v>
      </c>
      <c r="AF89" s="118">
        <v>0.0</v>
      </c>
      <c r="AG89" s="119">
        <f t="shared" si="527"/>
        <v>0</v>
      </c>
      <c r="AH89" s="117">
        <v>0.0</v>
      </c>
      <c r="AI89" s="118">
        <v>0.0</v>
      </c>
      <c r="AJ89" s="118">
        <v>0.0</v>
      </c>
      <c r="AK89" s="119">
        <f t="shared" si="529"/>
        <v>0</v>
      </c>
      <c r="AL89" s="117"/>
      <c r="AM89" s="118"/>
      <c r="AN89" s="118"/>
      <c r="AO89" s="118"/>
      <c r="AP89" s="111"/>
      <c r="AQ89" s="117"/>
      <c r="AR89" s="118"/>
      <c r="AS89" s="118"/>
      <c r="AT89" s="120"/>
      <c r="AU89" s="117"/>
      <c r="AV89" s="118"/>
      <c r="AW89" s="118"/>
      <c r="AX89" s="121"/>
      <c r="AY89" s="122">
        <f t="shared" ref="AY89:BD89" si="531">SUM(AY87:AY88)</f>
        <v>1.3</v>
      </c>
      <c r="AZ89" s="122">
        <f t="shared" si="531"/>
        <v>1.6</v>
      </c>
      <c r="BA89" s="118">
        <f t="shared" si="531"/>
        <v>0</v>
      </c>
      <c r="BB89" s="118">
        <f t="shared" si="531"/>
        <v>0</v>
      </c>
      <c r="BC89" s="123">
        <f t="shared" si="531"/>
        <v>2403.6</v>
      </c>
      <c r="BD89" s="123">
        <f t="shared" si="531"/>
        <v>2404.9</v>
      </c>
      <c r="BE89" s="118"/>
      <c r="BF89" s="118"/>
    </row>
    <row r="90" ht="15.75" customHeight="1">
      <c r="A90" s="67">
        <f t="shared" si="517"/>
        <v>46257</v>
      </c>
      <c r="B90" s="124" t="s">
        <v>14</v>
      </c>
      <c r="C90" s="96">
        <f t="shared" si="518"/>
        <v>0</v>
      </c>
      <c r="D90" s="125">
        <f t="shared" ref="D90:L90" si="532">RANDBETWEEN(0,2)</f>
        <v>0</v>
      </c>
      <c r="E90" s="125">
        <f t="shared" si="532"/>
        <v>0</v>
      </c>
      <c r="F90" s="125">
        <f t="shared" si="532"/>
        <v>0</v>
      </c>
      <c r="G90" s="125">
        <f t="shared" si="532"/>
        <v>1</v>
      </c>
      <c r="H90" s="126">
        <f t="shared" si="532"/>
        <v>0</v>
      </c>
      <c r="I90" s="127">
        <f t="shared" si="532"/>
        <v>0</v>
      </c>
      <c r="J90" s="128">
        <f t="shared" si="532"/>
        <v>2</v>
      </c>
      <c r="K90" s="130">
        <f t="shared" si="532"/>
        <v>1</v>
      </c>
      <c r="L90" s="130">
        <f t="shared" si="532"/>
        <v>1</v>
      </c>
      <c r="M90" s="102">
        <f t="shared" si="520"/>
        <v>33</v>
      </c>
      <c r="N90" s="125">
        <f t="shared" ref="N90:T90" si="533">RANDBETWEEN(0,10)</f>
        <v>2</v>
      </c>
      <c r="O90" s="125">
        <f t="shared" si="533"/>
        <v>7</v>
      </c>
      <c r="P90" s="125">
        <f t="shared" si="533"/>
        <v>2</v>
      </c>
      <c r="Q90" s="125">
        <f t="shared" si="533"/>
        <v>6</v>
      </c>
      <c r="R90" s="125">
        <f t="shared" si="533"/>
        <v>9</v>
      </c>
      <c r="S90" s="125">
        <f t="shared" si="533"/>
        <v>2</v>
      </c>
      <c r="T90" s="125">
        <f t="shared" si="533"/>
        <v>5</v>
      </c>
      <c r="U90" s="103">
        <f t="shared" ref="U90:U91" si="540">RANDBETWEEN(10,30)</f>
        <v>13</v>
      </c>
      <c r="V90" s="131">
        <f t="shared" si="523"/>
        <v>2</v>
      </c>
      <c r="W90" s="125">
        <f t="shared" ref="W90:Y90" si="534">RANDBETWEEN(0,2)</f>
        <v>0</v>
      </c>
      <c r="X90" s="125">
        <f t="shared" si="534"/>
        <v>0</v>
      </c>
      <c r="Y90" s="125">
        <f t="shared" si="534"/>
        <v>2</v>
      </c>
      <c r="Z90" s="132">
        <f t="shared" ref="Z90:Z93" si="542">SUM(AA90:AB90)</f>
        <v>3</v>
      </c>
      <c r="AA90" s="133">
        <f t="shared" ref="AA90:AF90" si="535">RANDBETWEEN(0,2)</f>
        <v>2</v>
      </c>
      <c r="AB90" s="133">
        <f t="shared" si="535"/>
        <v>1</v>
      </c>
      <c r="AC90" s="134">
        <f t="shared" si="535"/>
        <v>1</v>
      </c>
      <c r="AD90" s="134">
        <f t="shared" si="535"/>
        <v>0</v>
      </c>
      <c r="AE90" s="134">
        <f t="shared" si="535"/>
        <v>0</v>
      </c>
      <c r="AF90" s="134">
        <f t="shared" si="535"/>
        <v>1</v>
      </c>
      <c r="AG90" s="135">
        <f t="shared" si="527"/>
        <v>2</v>
      </c>
      <c r="AH90" s="136">
        <f t="shared" ref="AH90:AJ90" si="536">RANDBETWEEN(1,10)</f>
        <v>1</v>
      </c>
      <c r="AI90" s="134">
        <f t="shared" si="536"/>
        <v>4</v>
      </c>
      <c r="AJ90" s="134">
        <f t="shared" si="536"/>
        <v>8</v>
      </c>
      <c r="AK90" s="137">
        <f t="shared" si="529"/>
        <v>13</v>
      </c>
      <c r="AL90" s="134"/>
      <c r="AM90" s="134"/>
      <c r="AN90" s="134"/>
      <c r="AO90" s="134"/>
      <c r="AP90" s="111"/>
      <c r="AQ90" s="136"/>
      <c r="AR90" s="134"/>
      <c r="AS90" s="134"/>
      <c r="AT90" s="120"/>
      <c r="AU90" s="136"/>
      <c r="AV90" s="134"/>
      <c r="AW90" s="134"/>
      <c r="AX90" s="121"/>
      <c r="AY90" s="92">
        <f t="shared" ref="AY90:AZ90" si="537">RANDBETWEEN(1,10)/10</f>
        <v>0.2</v>
      </c>
      <c r="AZ90" s="92">
        <f t="shared" si="537"/>
        <v>0.8</v>
      </c>
      <c r="BA90" s="93">
        <v>0.0</v>
      </c>
      <c r="BB90" s="93">
        <v>0.0</v>
      </c>
      <c r="BC90" s="94">
        <f>SUM(BC62,'ГОЧ'!$AY90)</f>
        <v>1201.6</v>
      </c>
      <c r="BD90" s="94">
        <f>SUM(BD62,'ГОЧ'!$AZ90)</f>
        <v>1201.9</v>
      </c>
      <c r="BE90" s="108"/>
      <c r="BF90" s="108"/>
    </row>
    <row r="91" ht="15.75" customHeight="1">
      <c r="A91" s="67">
        <f t="shared" si="517"/>
        <v>46257</v>
      </c>
      <c r="B91" s="138" t="s">
        <v>16</v>
      </c>
      <c r="C91" s="139">
        <f t="shared" si="518"/>
        <v>2</v>
      </c>
      <c r="D91" s="97">
        <f t="shared" ref="D91:L91" si="538">RANDBETWEEN(0,2)</f>
        <v>0</v>
      </c>
      <c r="E91" s="97">
        <f t="shared" si="538"/>
        <v>2</v>
      </c>
      <c r="F91" s="97">
        <f t="shared" si="538"/>
        <v>2</v>
      </c>
      <c r="G91" s="97">
        <f t="shared" si="538"/>
        <v>1</v>
      </c>
      <c r="H91" s="98">
        <f t="shared" si="538"/>
        <v>0</v>
      </c>
      <c r="I91" s="99">
        <f t="shared" si="538"/>
        <v>2</v>
      </c>
      <c r="J91" s="100">
        <f t="shared" si="538"/>
        <v>0</v>
      </c>
      <c r="K91" s="101">
        <f t="shared" si="538"/>
        <v>1</v>
      </c>
      <c r="L91" s="101">
        <f t="shared" si="538"/>
        <v>1</v>
      </c>
      <c r="M91" s="140">
        <f t="shared" si="520"/>
        <v>37</v>
      </c>
      <c r="N91" s="97">
        <f t="shared" ref="N91:T91" si="539">RANDBETWEEN(0,10)</f>
        <v>5</v>
      </c>
      <c r="O91" s="97">
        <f t="shared" si="539"/>
        <v>2</v>
      </c>
      <c r="P91" s="97">
        <f t="shared" si="539"/>
        <v>7</v>
      </c>
      <c r="Q91" s="97">
        <f t="shared" si="539"/>
        <v>8</v>
      </c>
      <c r="R91" s="97">
        <f t="shared" si="539"/>
        <v>2</v>
      </c>
      <c r="S91" s="97">
        <f t="shared" si="539"/>
        <v>4</v>
      </c>
      <c r="T91" s="97">
        <f t="shared" si="539"/>
        <v>9</v>
      </c>
      <c r="U91" s="103">
        <f t="shared" si="540"/>
        <v>14</v>
      </c>
      <c r="V91" s="141">
        <f t="shared" si="523"/>
        <v>2</v>
      </c>
      <c r="W91" s="97">
        <f t="shared" ref="W91:Y91" si="541">RANDBETWEEN(0,2)</f>
        <v>0</v>
      </c>
      <c r="X91" s="97">
        <f t="shared" si="541"/>
        <v>2</v>
      </c>
      <c r="Y91" s="97">
        <f t="shared" si="541"/>
        <v>0</v>
      </c>
      <c r="Z91" s="142">
        <f t="shared" si="542"/>
        <v>1</v>
      </c>
      <c r="AA91" s="143">
        <f t="shared" ref="AA91:AF91" si="543">RANDBETWEEN(0,2)</f>
        <v>1</v>
      </c>
      <c r="AB91" s="143">
        <f t="shared" si="543"/>
        <v>0</v>
      </c>
      <c r="AC91" s="144">
        <f t="shared" si="543"/>
        <v>0</v>
      </c>
      <c r="AD91" s="145">
        <f t="shared" si="543"/>
        <v>2</v>
      </c>
      <c r="AE91" s="145">
        <f t="shared" si="543"/>
        <v>1</v>
      </c>
      <c r="AF91" s="145">
        <f t="shared" si="543"/>
        <v>0</v>
      </c>
      <c r="AG91" s="146">
        <f t="shared" si="527"/>
        <v>3</v>
      </c>
      <c r="AH91" s="144">
        <f t="shared" ref="AH91:AJ91" si="544">RANDBETWEEN(1,10)</f>
        <v>2</v>
      </c>
      <c r="AI91" s="145">
        <f t="shared" si="544"/>
        <v>1</v>
      </c>
      <c r="AJ91" s="145">
        <f t="shared" si="544"/>
        <v>3</v>
      </c>
      <c r="AK91" s="147">
        <f t="shared" si="529"/>
        <v>6</v>
      </c>
      <c r="AL91" s="144"/>
      <c r="AM91" s="145"/>
      <c r="AN91" s="145"/>
      <c r="AO91" s="145"/>
      <c r="AP91" s="148"/>
      <c r="AQ91" s="144"/>
      <c r="AR91" s="145"/>
      <c r="AS91" s="145"/>
      <c r="AT91" s="149"/>
      <c r="AU91" s="144"/>
      <c r="AV91" s="145"/>
      <c r="AW91" s="145"/>
      <c r="AX91" s="150"/>
      <c r="AY91" s="92">
        <f t="shared" ref="AY91:AZ91" si="545">RANDBETWEEN(1,10)/10</f>
        <v>0.3</v>
      </c>
      <c r="AZ91" s="92">
        <f t="shared" si="545"/>
        <v>0.8</v>
      </c>
      <c r="BA91" s="93">
        <v>0.0</v>
      </c>
      <c r="BB91" s="93">
        <v>0.0</v>
      </c>
      <c r="BC91" s="94">
        <f>SUM(BC63,'ГОЧ'!$AY91)</f>
        <v>1201.4</v>
      </c>
      <c r="BD91" s="94">
        <f>SUM(BD63,'ГОЧ'!$AZ91)</f>
        <v>1201.8</v>
      </c>
      <c r="BE91" s="108"/>
      <c r="BF91" s="108"/>
    </row>
    <row r="92" ht="15.75" customHeight="1">
      <c r="A92" s="67">
        <f t="shared" si="517"/>
        <v>46257</v>
      </c>
      <c r="B92" s="114" t="s">
        <v>18</v>
      </c>
      <c r="C92" s="115">
        <f t="shared" si="518"/>
        <v>2</v>
      </c>
      <c r="D92" s="115">
        <f t="shared" ref="D92:L92" si="546">SUM(D90:D91)</f>
        <v>0</v>
      </c>
      <c r="E92" s="116">
        <f t="shared" si="546"/>
        <v>2</v>
      </c>
      <c r="F92" s="116">
        <f t="shared" si="546"/>
        <v>2</v>
      </c>
      <c r="G92" s="116">
        <f t="shared" si="546"/>
        <v>2</v>
      </c>
      <c r="H92" s="115">
        <f t="shared" si="546"/>
        <v>0</v>
      </c>
      <c r="I92" s="116">
        <f t="shared" si="546"/>
        <v>2</v>
      </c>
      <c r="J92" s="115">
        <f t="shared" si="546"/>
        <v>2</v>
      </c>
      <c r="K92" s="116">
        <f t="shared" si="546"/>
        <v>2</v>
      </c>
      <c r="L92" s="116">
        <f t="shared" si="546"/>
        <v>2</v>
      </c>
      <c r="M92" s="115">
        <f t="shared" si="520"/>
        <v>59</v>
      </c>
      <c r="N92" s="115">
        <f t="shared" ref="N92:Q92" si="547">SUM(N90:N91)</f>
        <v>7</v>
      </c>
      <c r="O92" s="116">
        <f t="shared" si="547"/>
        <v>9</v>
      </c>
      <c r="P92" s="116">
        <f t="shared" si="547"/>
        <v>9</v>
      </c>
      <c r="Q92" s="116">
        <f t="shared" si="547"/>
        <v>14</v>
      </c>
      <c r="R92" s="116">
        <v>0.0</v>
      </c>
      <c r="S92" s="116">
        <f t="shared" ref="S92:U92" si="548">SUM(S90:S91)</f>
        <v>6</v>
      </c>
      <c r="T92" s="116">
        <f t="shared" si="548"/>
        <v>14</v>
      </c>
      <c r="U92" s="115">
        <f t="shared" si="548"/>
        <v>27</v>
      </c>
      <c r="V92" s="115">
        <f t="shared" si="523"/>
        <v>4</v>
      </c>
      <c r="W92" s="116">
        <f t="shared" ref="W92:Y92" si="549">SUM(W90:W91)</f>
        <v>0</v>
      </c>
      <c r="X92" s="116">
        <f t="shared" si="549"/>
        <v>2</v>
      </c>
      <c r="Y92" s="116">
        <f t="shared" si="549"/>
        <v>2</v>
      </c>
      <c r="Z92" s="116">
        <f t="shared" si="542"/>
        <v>4</v>
      </c>
      <c r="AA92" s="116">
        <f t="shared" ref="AA92:AF92" si="550">SUM(AA90:AA91)</f>
        <v>3</v>
      </c>
      <c r="AB92" s="116">
        <f t="shared" si="550"/>
        <v>1</v>
      </c>
      <c r="AC92" s="118">
        <f t="shared" si="550"/>
        <v>1</v>
      </c>
      <c r="AD92" s="118">
        <f t="shared" si="550"/>
        <v>2</v>
      </c>
      <c r="AE92" s="118">
        <f t="shared" si="550"/>
        <v>1</v>
      </c>
      <c r="AF92" s="118">
        <f t="shared" si="550"/>
        <v>1</v>
      </c>
      <c r="AG92" s="117">
        <f t="shared" si="527"/>
        <v>5</v>
      </c>
      <c r="AH92" s="117">
        <f t="shared" ref="AH92:AJ92" si="551">SUM(AH90:AH91)</f>
        <v>3</v>
      </c>
      <c r="AI92" s="118">
        <f t="shared" si="551"/>
        <v>5</v>
      </c>
      <c r="AJ92" s="118">
        <f t="shared" si="551"/>
        <v>11</v>
      </c>
      <c r="AK92" s="117">
        <f t="shared" si="529"/>
        <v>19</v>
      </c>
      <c r="AL92" s="118"/>
      <c r="AM92" s="118"/>
      <c r="AN92" s="118"/>
      <c r="AO92" s="118"/>
      <c r="AP92" s="151"/>
      <c r="AQ92" s="117"/>
      <c r="AR92" s="118"/>
      <c r="AS92" s="118"/>
      <c r="AT92" s="152"/>
      <c r="AU92" s="117"/>
      <c r="AV92" s="118"/>
      <c r="AW92" s="118"/>
      <c r="AX92" s="153"/>
      <c r="AY92" s="122">
        <f t="shared" ref="AY92:BD92" si="552">SUM(AY90:AY91)</f>
        <v>0.5</v>
      </c>
      <c r="AZ92" s="122">
        <f t="shared" si="552"/>
        <v>1.6</v>
      </c>
      <c r="BA92" s="118">
        <f t="shared" si="552"/>
        <v>0</v>
      </c>
      <c r="BB92" s="118">
        <f t="shared" si="552"/>
        <v>0</v>
      </c>
      <c r="BC92" s="123">
        <f t="shared" si="552"/>
        <v>2403</v>
      </c>
      <c r="BD92" s="123">
        <f t="shared" si="552"/>
        <v>2403.7</v>
      </c>
      <c r="BE92" s="154" t="str">
        <f t="shared" ref="BE92:BF92" si="553">TEXTJOIN(", ",TRUE,BE90:BE91)</f>
        <v/>
      </c>
      <c r="BF92" s="154" t="str">
        <f t="shared" si="553"/>
        <v/>
      </c>
    </row>
    <row r="93" ht="15.75" customHeight="1">
      <c r="A93" s="67">
        <f t="shared" si="517"/>
        <v>46257</v>
      </c>
      <c r="B93" s="114" t="s">
        <v>20</v>
      </c>
      <c r="C93" s="115">
        <f t="shared" si="518"/>
        <v>5</v>
      </c>
      <c r="D93" s="115">
        <v>3.0</v>
      </c>
      <c r="E93" s="116">
        <v>0.0</v>
      </c>
      <c r="F93" s="116">
        <v>2.0</v>
      </c>
      <c r="G93" s="116">
        <v>2.0</v>
      </c>
      <c r="H93" s="115">
        <v>0.0</v>
      </c>
      <c r="I93" s="116">
        <v>0.0</v>
      </c>
      <c r="J93" s="115">
        <v>1.0</v>
      </c>
      <c r="K93" s="116">
        <v>1.0</v>
      </c>
      <c r="L93" s="116">
        <v>0.0</v>
      </c>
      <c r="M93" s="115">
        <f t="shared" si="520"/>
        <v>38</v>
      </c>
      <c r="N93" s="115">
        <v>0.0</v>
      </c>
      <c r="O93" s="116">
        <v>0.0</v>
      </c>
      <c r="P93" s="116">
        <v>0.0</v>
      </c>
      <c r="Q93" s="116">
        <v>9.0</v>
      </c>
      <c r="R93" s="116">
        <v>0.0</v>
      </c>
      <c r="S93" s="116">
        <v>0.0</v>
      </c>
      <c r="T93" s="116">
        <v>29.0</v>
      </c>
      <c r="U93" s="115">
        <v>7.0</v>
      </c>
      <c r="V93" s="115">
        <f t="shared" ref="V93:V112" si="557">W93+X93+Y93</f>
        <v>0</v>
      </c>
      <c r="W93" s="116">
        <v>0.0</v>
      </c>
      <c r="X93" s="116">
        <v>0.0</v>
      </c>
      <c r="Y93" s="116">
        <v>0.0</v>
      </c>
      <c r="Z93" s="116">
        <f t="shared" si="542"/>
        <v>0</v>
      </c>
      <c r="AA93" s="116">
        <v>0.0</v>
      </c>
      <c r="AB93" s="116">
        <v>0.0</v>
      </c>
      <c r="AC93" s="117">
        <v>0.0</v>
      </c>
      <c r="AD93" s="118">
        <v>1.0</v>
      </c>
      <c r="AE93" s="118">
        <v>0.0</v>
      </c>
      <c r="AF93" s="118">
        <v>0.0</v>
      </c>
      <c r="AG93" s="119">
        <f t="shared" si="527"/>
        <v>1</v>
      </c>
      <c r="AH93" s="117">
        <v>6.0</v>
      </c>
      <c r="AI93" s="118">
        <v>5.0</v>
      </c>
      <c r="AJ93" s="118">
        <v>0.0</v>
      </c>
      <c r="AK93" s="119">
        <f t="shared" si="529"/>
        <v>11</v>
      </c>
      <c r="AL93" s="117"/>
      <c r="AM93" s="118"/>
      <c r="AN93" s="118"/>
      <c r="AO93" s="118"/>
      <c r="AP93" s="111"/>
      <c r="AQ93" s="117"/>
      <c r="AR93" s="118"/>
      <c r="AS93" s="118"/>
      <c r="AT93" s="120"/>
      <c r="AU93" s="117"/>
      <c r="AV93" s="118"/>
      <c r="AW93" s="118"/>
      <c r="AX93" s="121"/>
      <c r="AY93" s="122">
        <f t="shared" ref="AY93:AZ93" si="554">RANDBETWEEN(1,10)</f>
        <v>9</v>
      </c>
      <c r="AZ93" s="122">
        <f t="shared" si="554"/>
        <v>8</v>
      </c>
      <c r="BA93" s="118">
        <v>2.0</v>
      </c>
      <c r="BB93" s="118">
        <v>0.0</v>
      </c>
      <c r="BC93" s="123">
        <v>1.0</v>
      </c>
      <c r="BD93" s="123">
        <v>2.0</v>
      </c>
      <c r="BE93" s="118" t="s">
        <v>157</v>
      </c>
      <c r="BF93" s="118"/>
    </row>
    <row r="94" ht="15.75" customHeight="1">
      <c r="A94" s="67">
        <f t="shared" si="517"/>
        <v>46257</v>
      </c>
      <c r="B94" s="124" t="s">
        <v>21</v>
      </c>
      <c r="C94" s="155">
        <f t="shared" si="518"/>
        <v>2</v>
      </c>
      <c r="D94" s="125">
        <f t="shared" ref="D94:L94" si="555">RANDBETWEEN(0,2)</f>
        <v>2</v>
      </c>
      <c r="E94" s="125">
        <f t="shared" si="555"/>
        <v>1</v>
      </c>
      <c r="F94" s="125">
        <f t="shared" si="555"/>
        <v>0</v>
      </c>
      <c r="G94" s="125">
        <f t="shared" si="555"/>
        <v>2</v>
      </c>
      <c r="H94" s="126">
        <f t="shared" si="555"/>
        <v>0</v>
      </c>
      <c r="I94" s="127">
        <f t="shared" si="555"/>
        <v>0</v>
      </c>
      <c r="J94" s="128">
        <f t="shared" si="555"/>
        <v>2</v>
      </c>
      <c r="K94" s="130">
        <f t="shared" si="555"/>
        <v>0</v>
      </c>
      <c r="L94" s="130">
        <f t="shared" si="555"/>
        <v>1</v>
      </c>
      <c r="M94" s="102">
        <f t="shared" si="520"/>
        <v>27</v>
      </c>
      <c r="N94" s="125">
        <f t="shared" ref="N94:T94" si="556">RANDBETWEEN(0,10)</f>
        <v>5</v>
      </c>
      <c r="O94" s="125">
        <f t="shared" si="556"/>
        <v>2</v>
      </c>
      <c r="P94" s="125">
        <f t="shared" si="556"/>
        <v>0</v>
      </c>
      <c r="Q94" s="125">
        <f t="shared" si="556"/>
        <v>0</v>
      </c>
      <c r="R94" s="125">
        <f t="shared" si="556"/>
        <v>9</v>
      </c>
      <c r="S94" s="125">
        <f t="shared" si="556"/>
        <v>6</v>
      </c>
      <c r="T94" s="125">
        <f t="shared" si="556"/>
        <v>5</v>
      </c>
      <c r="U94" s="103">
        <f t="shared" ref="U94:U98" si="564">RANDBETWEEN(10,30)</f>
        <v>19</v>
      </c>
      <c r="V94" s="104">
        <f t="shared" si="557"/>
        <v>3</v>
      </c>
      <c r="W94" s="125">
        <f t="shared" ref="W94:Y94" si="558">RANDBETWEEN(0,2)</f>
        <v>2</v>
      </c>
      <c r="X94" s="125">
        <f t="shared" si="558"/>
        <v>1</v>
      </c>
      <c r="Y94" s="125">
        <f t="shared" si="558"/>
        <v>0</v>
      </c>
      <c r="Z94" s="105">
        <f t="shared" ref="Z94:Z111" si="566">AA94+AB94</f>
        <v>4</v>
      </c>
      <c r="AA94" s="133">
        <f t="shared" ref="AA94:AF94" si="559">RANDBETWEEN(0,2)</f>
        <v>2</v>
      </c>
      <c r="AB94" s="133">
        <f t="shared" si="559"/>
        <v>2</v>
      </c>
      <c r="AC94" s="136">
        <f t="shared" si="559"/>
        <v>1</v>
      </c>
      <c r="AD94" s="134">
        <f t="shared" si="559"/>
        <v>0</v>
      </c>
      <c r="AE94" s="134">
        <f t="shared" si="559"/>
        <v>0</v>
      </c>
      <c r="AF94" s="134">
        <f t="shared" si="559"/>
        <v>0</v>
      </c>
      <c r="AG94" s="156">
        <f t="shared" si="527"/>
        <v>1</v>
      </c>
      <c r="AH94" s="136">
        <f t="shared" ref="AH94:AJ94" si="560">RANDBETWEEN(1,10)</f>
        <v>7</v>
      </c>
      <c r="AI94" s="134">
        <f t="shared" si="560"/>
        <v>5</v>
      </c>
      <c r="AJ94" s="134">
        <f t="shared" si="560"/>
        <v>5</v>
      </c>
      <c r="AK94" s="137">
        <f t="shared" si="529"/>
        <v>17</v>
      </c>
      <c r="AL94" s="136"/>
      <c r="AM94" s="134"/>
      <c r="AN94" s="134"/>
      <c r="AO94" s="134"/>
      <c r="AP94" s="111"/>
      <c r="AQ94" s="136"/>
      <c r="AR94" s="134"/>
      <c r="AS94" s="134"/>
      <c r="AT94" s="120"/>
      <c r="AU94" s="136"/>
      <c r="AV94" s="134"/>
      <c r="AW94" s="134"/>
      <c r="AX94" s="121"/>
      <c r="AY94" s="92">
        <f t="shared" ref="AY94:AZ94" si="561">RANDBETWEEN(1,10)/10</f>
        <v>0.8</v>
      </c>
      <c r="AZ94" s="92">
        <f t="shared" si="561"/>
        <v>0.2</v>
      </c>
      <c r="BA94" s="93">
        <v>1.0</v>
      </c>
      <c r="BB94" s="93">
        <v>0.0</v>
      </c>
      <c r="BC94" s="94">
        <f>SUM(BC66,'ГОЧ'!$AY94)</f>
        <v>1202.2</v>
      </c>
      <c r="BD94" s="94">
        <f>SUM(BD66,'ГОЧ'!$AZ94)</f>
        <v>1201.8</v>
      </c>
      <c r="BE94" s="108" t="s">
        <v>162</v>
      </c>
      <c r="BF94" s="108"/>
    </row>
    <row r="95" ht="15.75" customHeight="1">
      <c r="A95" s="67">
        <f t="shared" si="517"/>
        <v>46257</v>
      </c>
      <c r="B95" s="138" t="s">
        <v>23</v>
      </c>
      <c r="C95" s="157">
        <f t="shared" si="518"/>
        <v>2</v>
      </c>
      <c r="D95" s="97">
        <f t="shared" ref="D95:L95" si="562">RANDBETWEEN(0,2)</f>
        <v>0</v>
      </c>
      <c r="E95" s="97">
        <f t="shared" si="562"/>
        <v>1</v>
      </c>
      <c r="F95" s="97">
        <f t="shared" si="562"/>
        <v>2</v>
      </c>
      <c r="G95" s="97">
        <f t="shared" si="562"/>
        <v>2</v>
      </c>
      <c r="H95" s="98">
        <f t="shared" si="562"/>
        <v>0</v>
      </c>
      <c r="I95" s="99">
        <f t="shared" si="562"/>
        <v>1</v>
      </c>
      <c r="J95" s="100">
        <f t="shared" si="562"/>
        <v>1</v>
      </c>
      <c r="K95" s="101">
        <f t="shared" si="562"/>
        <v>2</v>
      </c>
      <c r="L95" s="101">
        <f t="shared" si="562"/>
        <v>2</v>
      </c>
      <c r="M95" s="140">
        <f t="shared" si="520"/>
        <v>38</v>
      </c>
      <c r="N95" s="97">
        <f t="shared" ref="N95:T95" si="563">RANDBETWEEN(0,10)</f>
        <v>6</v>
      </c>
      <c r="O95" s="97">
        <f t="shared" si="563"/>
        <v>2</v>
      </c>
      <c r="P95" s="97">
        <f t="shared" si="563"/>
        <v>6</v>
      </c>
      <c r="Q95" s="97">
        <f t="shared" si="563"/>
        <v>9</v>
      </c>
      <c r="R95" s="97">
        <f t="shared" si="563"/>
        <v>10</v>
      </c>
      <c r="S95" s="97">
        <f t="shared" si="563"/>
        <v>3</v>
      </c>
      <c r="T95" s="97">
        <f t="shared" si="563"/>
        <v>2</v>
      </c>
      <c r="U95" s="103">
        <f t="shared" si="564"/>
        <v>21</v>
      </c>
      <c r="V95" s="158">
        <f t="shared" si="557"/>
        <v>5</v>
      </c>
      <c r="W95" s="97">
        <f t="shared" ref="W95:Y95" si="565">RANDBETWEEN(0,2)</f>
        <v>2</v>
      </c>
      <c r="X95" s="97">
        <f t="shared" si="565"/>
        <v>1</v>
      </c>
      <c r="Y95" s="97">
        <f t="shared" si="565"/>
        <v>2</v>
      </c>
      <c r="Z95" s="159">
        <f t="shared" si="566"/>
        <v>4</v>
      </c>
      <c r="AA95" s="143">
        <f t="shared" ref="AA95:AF95" si="567">RANDBETWEEN(0,2)</f>
        <v>2</v>
      </c>
      <c r="AB95" s="143">
        <f t="shared" si="567"/>
        <v>2</v>
      </c>
      <c r="AC95" s="144">
        <f t="shared" si="567"/>
        <v>2</v>
      </c>
      <c r="AD95" s="145">
        <f t="shared" si="567"/>
        <v>1</v>
      </c>
      <c r="AE95" s="145">
        <f t="shared" si="567"/>
        <v>0</v>
      </c>
      <c r="AF95" s="145">
        <f t="shared" si="567"/>
        <v>0</v>
      </c>
      <c r="AG95" s="160">
        <f t="shared" si="527"/>
        <v>3</v>
      </c>
      <c r="AH95" s="144">
        <f t="shared" ref="AH95:AJ95" si="568">RANDBETWEEN(1,10)</f>
        <v>10</v>
      </c>
      <c r="AI95" s="145">
        <f t="shared" si="568"/>
        <v>3</v>
      </c>
      <c r="AJ95" s="145">
        <f t="shared" si="568"/>
        <v>4</v>
      </c>
      <c r="AK95" s="147">
        <f t="shared" si="529"/>
        <v>17</v>
      </c>
      <c r="AL95" s="144"/>
      <c r="AM95" s="145"/>
      <c r="AN95" s="145"/>
      <c r="AO95" s="145"/>
      <c r="AP95" s="148"/>
      <c r="AQ95" s="144"/>
      <c r="AR95" s="145"/>
      <c r="AS95" s="145"/>
      <c r="AT95" s="149"/>
      <c r="AU95" s="144"/>
      <c r="AV95" s="145"/>
      <c r="AW95" s="145"/>
      <c r="AX95" s="150"/>
      <c r="AY95" s="92">
        <f t="shared" ref="AY95:AZ95" si="569">RANDBETWEEN(1,10)/10</f>
        <v>0.9</v>
      </c>
      <c r="AZ95" s="92">
        <f t="shared" si="569"/>
        <v>0.4</v>
      </c>
      <c r="BA95" s="93">
        <v>1.0</v>
      </c>
      <c r="BB95" s="93">
        <v>2.0</v>
      </c>
      <c r="BC95" s="94">
        <f>SUM(BC67,'ГОЧ'!$AY95)</f>
        <v>1202.6</v>
      </c>
      <c r="BD95" s="94">
        <f>SUM(BD67,'ГОЧ'!$AZ95)</f>
        <v>1201.9</v>
      </c>
      <c r="BE95" s="108" t="s">
        <v>165</v>
      </c>
      <c r="BF95" s="108" t="s">
        <v>166</v>
      </c>
    </row>
    <row r="96" ht="15.75" customHeight="1">
      <c r="A96" s="67">
        <f t="shared" si="517"/>
        <v>46257</v>
      </c>
      <c r="B96" s="138" t="s">
        <v>25</v>
      </c>
      <c r="C96" s="157">
        <f t="shared" si="518"/>
        <v>0</v>
      </c>
      <c r="D96" s="97">
        <f t="shared" ref="D96:L96" si="570">RANDBETWEEN(0,2)</f>
        <v>0</v>
      </c>
      <c r="E96" s="97">
        <f t="shared" si="570"/>
        <v>0</v>
      </c>
      <c r="F96" s="97">
        <f t="shared" si="570"/>
        <v>0</v>
      </c>
      <c r="G96" s="97">
        <f t="shared" si="570"/>
        <v>1</v>
      </c>
      <c r="H96" s="98">
        <f t="shared" si="570"/>
        <v>2</v>
      </c>
      <c r="I96" s="99">
        <f t="shared" si="570"/>
        <v>0</v>
      </c>
      <c r="J96" s="100">
        <f t="shared" si="570"/>
        <v>0</v>
      </c>
      <c r="K96" s="101">
        <f t="shared" si="570"/>
        <v>1</v>
      </c>
      <c r="L96" s="101">
        <f t="shared" si="570"/>
        <v>0</v>
      </c>
      <c r="M96" s="140">
        <f t="shared" si="520"/>
        <v>15</v>
      </c>
      <c r="N96" s="97">
        <f t="shared" ref="N96:T96" si="571">RANDBETWEEN(0,10)</f>
        <v>0</v>
      </c>
      <c r="O96" s="97">
        <f t="shared" si="571"/>
        <v>1</v>
      </c>
      <c r="P96" s="97">
        <f t="shared" si="571"/>
        <v>6</v>
      </c>
      <c r="Q96" s="97">
        <f t="shared" si="571"/>
        <v>0</v>
      </c>
      <c r="R96" s="97">
        <f t="shared" si="571"/>
        <v>0</v>
      </c>
      <c r="S96" s="97">
        <f t="shared" si="571"/>
        <v>0</v>
      </c>
      <c r="T96" s="97">
        <f t="shared" si="571"/>
        <v>8</v>
      </c>
      <c r="U96" s="103">
        <f t="shared" si="564"/>
        <v>14</v>
      </c>
      <c r="V96" s="158">
        <f t="shared" si="557"/>
        <v>3</v>
      </c>
      <c r="W96" s="97">
        <f t="shared" ref="W96:Y96" si="572">RANDBETWEEN(0,2)</f>
        <v>0</v>
      </c>
      <c r="X96" s="97">
        <f t="shared" si="572"/>
        <v>2</v>
      </c>
      <c r="Y96" s="97">
        <f t="shared" si="572"/>
        <v>1</v>
      </c>
      <c r="Z96" s="159">
        <f t="shared" si="566"/>
        <v>3</v>
      </c>
      <c r="AA96" s="106">
        <f t="shared" ref="AA96:AF96" si="573">RANDBETWEEN(0,2)</f>
        <v>1</v>
      </c>
      <c r="AB96" s="106">
        <f t="shared" si="573"/>
        <v>2</v>
      </c>
      <c r="AC96" s="107">
        <f t="shared" si="573"/>
        <v>2</v>
      </c>
      <c r="AD96" s="108">
        <f t="shared" si="573"/>
        <v>1</v>
      </c>
      <c r="AE96" s="108">
        <f t="shared" si="573"/>
        <v>0</v>
      </c>
      <c r="AF96" s="108">
        <f t="shared" si="573"/>
        <v>2</v>
      </c>
      <c r="AG96" s="160">
        <f t="shared" si="527"/>
        <v>5</v>
      </c>
      <c r="AH96" s="107">
        <f t="shared" ref="AH96:AJ96" si="574">RANDBETWEEN(1,10)</f>
        <v>2</v>
      </c>
      <c r="AI96" s="108">
        <f t="shared" si="574"/>
        <v>4</v>
      </c>
      <c r="AJ96" s="108">
        <f t="shared" si="574"/>
        <v>2</v>
      </c>
      <c r="AK96" s="147">
        <f t="shared" si="529"/>
        <v>8</v>
      </c>
      <c r="AL96" s="107"/>
      <c r="AM96" s="108"/>
      <c r="AN96" s="108"/>
      <c r="AO96" s="108"/>
      <c r="AP96" s="148"/>
      <c r="AQ96" s="107"/>
      <c r="AR96" s="108"/>
      <c r="AS96" s="108"/>
      <c r="AT96" s="149"/>
      <c r="AU96" s="107"/>
      <c r="AV96" s="108"/>
      <c r="AW96" s="108"/>
      <c r="AX96" s="150"/>
      <c r="AY96" s="92">
        <f t="shared" ref="AY96:AZ96" si="575">RANDBETWEEN(1,10)/10</f>
        <v>1</v>
      </c>
      <c r="AZ96" s="92">
        <f t="shared" si="575"/>
        <v>0.5</v>
      </c>
      <c r="BA96" s="93">
        <v>0.0</v>
      </c>
      <c r="BB96" s="93">
        <v>0.0</v>
      </c>
      <c r="BC96" s="94">
        <f>SUM(BC68,'ГОЧ'!$AY96)</f>
        <v>1201.8</v>
      </c>
      <c r="BD96" s="94">
        <f>SUM(BD68,'ГОЧ'!$AZ96)</f>
        <v>1201.1</v>
      </c>
      <c r="BE96" s="108"/>
      <c r="BF96" s="108"/>
    </row>
    <row r="97" ht="15.75" customHeight="1">
      <c r="A97" s="67">
        <f t="shared" si="517"/>
        <v>46257</v>
      </c>
      <c r="B97" s="138" t="s">
        <v>26</v>
      </c>
      <c r="C97" s="157">
        <f t="shared" si="518"/>
        <v>3</v>
      </c>
      <c r="D97" s="97">
        <f t="shared" ref="D97:L97" si="576">RANDBETWEEN(0,2)</f>
        <v>1</v>
      </c>
      <c r="E97" s="97">
        <f t="shared" si="576"/>
        <v>2</v>
      </c>
      <c r="F97" s="97">
        <f t="shared" si="576"/>
        <v>2</v>
      </c>
      <c r="G97" s="97">
        <f t="shared" si="576"/>
        <v>2</v>
      </c>
      <c r="H97" s="98">
        <f t="shared" si="576"/>
        <v>1</v>
      </c>
      <c r="I97" s="99">
        <f t="shared" si="576"/>
        <v>2</v>
      </c>
      <c r="J97" s="100">
        <f t="shared" si="576"/>
        <v>1</v>
      </c>
      <c r="K97" s="101">
        <f t="shared" si="576"/>
        <v>1</v>
      </c>
      <c r="L97" s="101">
        <f t="shared" si="576"/>
        <v>1</v>
      </c>
      <c r="M97" s="140">
        <f t="shared" si="520"/>
        <v>41</v>
      </c>
      <c r="N97" s="97">
        <f t="shared" ref="N97:T97" si="577">RANDBETWEEN(0,10)</f>
        <v>10</v>
      </c>
      <c r="O97" s="97">
        <f t="shared" si="577"/>
        <v>2</v>
      </c>
      <c r="P97" s="97">
        <f t="shared" si="577"/>
        <v>3</v>
      </c>
      <c r="Q97" s="97">
        <f t="shared" si="577"/>
        <v>7</v>
      </c>
      <c r="R97" s="97">
        <f t="shared" si="577"/>
        <v>6</v>
      </c>
      <c r="S97" s="97">
        <f t="shared" si="577"/>
        <v>4</v>
      </c>
      <c r="T97" s="97">
        <f t="shared" si="577"/>
        <v>9</v>
      </c>
      <c r="U97" s="103">
        <f t="shared" si="564"/>
        <v>10</v>
      </c>
      <c r="V97" s="158">
        <f t="shared" si="557"/>
        <v>3</v>
      </c>
      <c r="W97" s="97">
        <f t="shared" ref="W97:Y97" si="578">RANDBETWEEN(0,2)</f>
        <v>1</v>
      </c>
      <c r="X97" s="97">
        <f t="shared" si="578"/>
        <v>2</v>
      </c>
      <c r="Y97" s="97">
        <f t="shared" si="578"/>
        <v>0</v>
      </c>
      <c r="Z97" s="159">
        <f t="shared" si="566"/>
        <v>1</v>
      </c>
      <c r="AA97" s="143">
        <f t="shared" ref="AA97:AF97" si="579">RANDBETWEEN(0,2)</f>
        <v>0</v>
      </c>
      <c r="AB97" s="143">
        <f t="shared" si="579"/>
        <v>1</v>
      </c>
      <c r="AC97" s="144">
        <f t="shared" si="579"/>
        <v>0</v>
      </c>
      <c r="AD97" s="145">
        <f t="shared" si="579"/>
        <v>2</v>
      </c>
      <c r="AE97" s="145">
        <f t="shared" si="579"/>
        <v>1</v>
      </c>
      <c r="AF97" s="145">
        <f t="shared" si="579"/>
        <v>0</v>
      </c>
      <c r="AG97" s="160">
        <f t="shared" si="527"/>
        <v>3</v>
      </c>
      <c r="AH97" s="144">
        <f t="shared" ref="AH97:AJ97" si="580">RANDBETWEEN(1,10)</f>
        <v>2</v>
      </c>
      <c r="AI97" s="145">
        <f t="shared" si="580"/>
        <v>9</v>
      </c>
      <c r="AJ97" s="145">
        <f t="shared" si="580"/>
        <v>4</v>
      </c>
      <c r="AK97" s="147">
        <f t="shared" si="529"/>
        <v>15</v>
      </c>
      <c r="AL97" s="144"/>
      <c r="AM97" s="145"/>
      <c r="AN97" s="145"/>
      <c r="AO97" s="145"/>
      <c r="AP97" s="148"/>
      <c r="AQ97" s="144"/>
      <c r="AR97" s="145"/>
      <c r="AS97" s="145"/>
      <c r="AT97" s="149"/>
      <c r="AU97" s="144"/>
      <c r="AV97" s="145"/>
      <c r="AW97" s="145"/>
      <c r="AX97" s="150"/>
      <c r="AY97" s="92">
        <f t="shared" ref="AY97:AZ97" si="581">RANDBETWEEN(1,10)/10</f>
        <v>0.1</v>
      </c>
      <c r="AZ97" s="92">
        <f t="shared" si="581"/>
        <v>0.2</v>
      </c>
      <c r="BA97" s="93">
        <v>1.0</v>
      </c>
      <c r="BB97" s="93">
        <v>0.0</v>
      </c>
      <c r="BC97" s="94">
        <f>SUM(BC69,'ГОЧ'!$AY97)</f>
        <v>1201.6</v>
      </c>
      <c r="BD97" s="94">
        <f>SUM(BD69,'ГОЧ'!$AZ97)</f>
        <v>1201.7</v>
      </c>
      <c r="BE97" s="108" t="s">
        <v>167</v>
      </c>
      <c r="BF97" s="108"/>
    </row>
    <row r="98" ht="15.75" customHeight="1">
      <c r="A98" s="67">
        <f t="shared" si="517"/>
        <v>46257</v>
      </c>
      <c r="B98" s="138" t="s">
        <v>28</v>
      </c>
      <c r="C98" s="157">
        <f t="shared" si="518"/>
        <v>2</v>
      </c>
      <c r="D98" s="97">
        <f t="shared" ref="D98:L98" si="582">RANDBETWEEN(0,2)</f>
        <v>1</v>
      </c>
      <c r="E98" s="97">
        <f t="shared" si="582"/>
        <v>0</v>
      </c>
      <c r="F98" s="97">
        <f t="shared" si="582"/>
        <v>1</v>
      </c>
      <c r="G98" s="97">
        <f t="shared" si="582"/>
        <v>2</v>
      </c>
      <c r="H98" s="98">
        <f t="shared" si="582"/>
        <v>2</v>
      </c>
      <c r="I98" s="99">
        <f t="shared" si="582"/>
        <v>1</v>
      </c>
      <c r="J98" s="100">
        <f t="shared" si="582"/>
        <v>0</v>
      </c>
      <c r="K98" s="101">
        <f t="shared" si="582"/>
        <v>1</v>
      </c>
      <c r="L98" s="101">
        <f t="shared" si="582"/>
        <v>2</v>
      </c>
      <c r="M98" s="140">
        <f t="shared" si="520"/>
        <v>28</v>
      </c>
      <c r="N98" s="97">
        <f t="shared" ref="N98:T98" si="583">RANDBETWEEN(0,10)</f>
        <v>3</v>
      </c>
      <c r="O98" s="97">
        <f t="shared" si="583"/>
        <v>1</v>
      </c>
      <c r="P98" s="97">
        <f t="shared" si="583"/>
        <v>7</v>
      </c>
      <c r="Q98" s="97">
        <f t="shared" si="583"/>
        <v>2</v>
      </c>
      <c r="R98" s="97">
        <f t="shared" si="583"/>
        <v>10</v>
      </c>
      <c r="S98" s="97">
        <f t="shared" si="583"/>
        <v>5</v>
      </c>
      <c r="T98" s="97">
        <f t="shared" si="583"/>
        <v>0</v>
      </c>
      <c r="U98" s="103">
        <f t="shared" si="564"/>
        <v>15</v>
      </c>
      <c r="V98" s="158">
        <f t="shared" si="557"/>
        <v>5</v>
      </c>
      <c r="W98" s="97">
        <f t="shared" ref="W98:Y98" si="584">RANDBETWEEN(0,2)</f>
        <v>2</v>
      </c>
      <c r="X98" s="97">
        <f t="shared" si="584"/>
        <v>2</v>
      </c>
      <c r="Y98" s="97">
        <f t="shared" si="584"/>
        <v>1</v>
      </c>
      <c r="Z98" s="159">
        <f t="shared" si="566"/>
        <v>1</v>
      </c>
      <c r="AA98" s="106">
        <f t="shared" ref="AA98:AF98" si="585">RANDBETWEEN(0,2)</f>
        <v>1</v>
      </c>
      <c r="AB98" s="106">
        <f t="shared" si="585"/>
        <v>0</v>
      </c>
      <c r="AC98" s="107">
        <f t="shared" si="585"/>
        <v>1</v>
      </c>
      <c r="AD98" s="108">
        <f t="shared" si="585"/>
        <v>2</v>
      </c>
      <c r="AE98" s="108">
        <f t="shared" si="585"/>
        <v>1</v>
      </c>
      <c r="AF98" s="108">
        <f t="shared" si="585"/>
        <v>1</v>
      </c>
      <c r="AG98" s="160">
        <f t="shared" si="527"/>
        <v>5</v>
      </c>
      <c r="AH98" s="107">
        <f t="shared" ref="AH98:AJ98" si="586">RANDBETWEEN(1,10)</f>
        <v>10</v>
      </c>
      <c r="AI98" s="108">
        <f t="shared" si="586"/>
        <v>2</v>
      </c>
      <c r="AJ98" s="108">
        <f t="shared" si="586"/>
        <v>9</v>
      </c>
      <c r="AK98" s="147">
        <f t="shared" si="529"/>
        <v>21</v>
      </c>
      <c r="AL98" s="107"/>
      <c r="AM98" s="108"/>
      <c r="AN98" s="108"/>
      <c r="AO98" s="108"/>
      <c r="AP98" s="148"/>
      <c r="AQ98" s="107"/>
      <c r="AR98" s="108"/>
      <c r="AS98" s="108"/>
      <c r="AT98" s="149"/>
      <c r="AU98" s="107"/>
      <c r="AV98" s="108"/>
      <c r="AW98" s="108"/>
      <c r="AX98" s="150"/>
      <c r="AY98" s="92">
        <f t="shared" ref="AY98:AZ98" si="587">RANDBETWEEN(1,10)/10</f>
        <v>0.5</v>
      </c>
      <c r="AZ98" s="92">
        <f t="shared" si="587"/>
        <v>0.5</v>
      </c>
      <c r="BA98" s="93">
        <v>0.0</v>
      </c>
      <c r="BB98" s="93">
        <v>1.0</v>
      </c>
      <c r="BC98" s="94">
        <f>SUM(BC70,'ГОЧ'!$AY98)</f>
        <v>1201</v>
      </c>
      <c r="BD98" s="94">
        <f>SUM(BD70,'ГОЧ'!$AZ98)</f>
        <v>1200.8</v>
      </c>
      <c r="BE98" s="108"/>
      <c r="BF98" s="108" t="s">
        <v>168</v>
      </c>
    </row>
    <row r="99" ht="15.75" customHeight="1">
      <c r="A99" s="67">
        <f t="shared" si="517"/>
        <v>46257</v>
      </c>
      <c r="B99" s="114" t="s">
        <v>29</v>
      </c>
      <c r="C99" s="164">
        <f t="shared" si="518"/>
        <v>9</v>
      </c>
      <c r="D99" s="165">
        <f t="shared" ref="D99:L99" si="588">D94+D95+D96+D97+D98</f>
        <v>4</v>
      </c>
      <c r="E99" s="165">
        <f t="shared" si="588"/>
        <v>4</v>
      </c>
      <c r="F99" s="165">
        <f t="shared" si="588"/>
        <v>5</v>
      </c>
      <c r="G99" s="165">
        <f t="shared" si="588"/>
        <v>9</v>
      </c>
      <c r="H99" s="164">
        <f t="shared" si="588"/>
        <v>5</v>
      </c>
      <c r="I99" s="165">
        <f t="shared" si="588"/>
        <v>4</v>
      </c>
      <c r="J99" s="164">
        <f t="shared" si="588"/>
        <v>4</v>
      </c>
      <c r="K99" s="165">
        <f t="shared" si="588"/>
        <v>5</v>
      </c>
      <c r="L99" s="165">
        <f t="shared" si="588"/>
        <v>6</v>
      </c>
      <c r="M99" s="164">
        <f t="shared" si="520"/>
        <v>149</v>
      </c>
      <c r="N99" s="164">
        <f t="shared" ref="N99:U99" si="589">N94+N95+N96+N97+N98</f>
        <v>24</v>
      </c>
      <c r="O99" s="165">
        <f t="shared" si="589"/>
        <v>8</v>
      </c>
      <c r="P99" s="165">
        <f t="shared" si="589"/>
        <v>22</v>
      </c>
      <c r="Q99" s="165">
        <f t="shared" si="589"/>
        <v>18</v>
      </c>
      <c r="R99" s="165">
        <f t="shared" si="589"/>
        <v>35</v>
      </c>
      <c r="S99" s="165">
        <f t="shared" si="589"/>
        <v>18</v>
      </c>
      <c r="T99" s="165">
        <f t="shared" si="589"/>
        <v>24</v>
      </c>
      <c r="U99" s="164">
        <f t="shared" si="589"/>
        <v>79</v>
      </c>
      <c r="V99" s="164">
        <f t="shared" si="557"/>
        <v>19</v>
      </c>
      <c r="W99" s="165">
        <f t="shared" ref="W99:Y99" si="590">W94+W95+W96+W97+W98</f>
        <v>7</v>
      </c>
      <c r="X99" s="165">
        <f t="shared" si="590"/>
        <v>8</v>
      </c>
      <c r="Y99" s="165">
        <f t="shared" si="590"/>
        <v>4</v>
      </c>
      <c r="Z99" s="165">
        <f t="shared" si="566"/>
        <v>13</v>
      </c>
      <c r="AA99" s="165">
        <f t="shared" ref="AA99:AC99" si="591">AA94+AA95+AA96+AA97+AA98</f>
        <v>6</v>
      </c>
      <c r="AB99" s="165">
        <f t="shared" si="591"/>
        <v>7</v>
      </c>
      <c r="AC99" s="166">
        <f t="shared" si="591"/>
        <v>6</v>
      </c>
      <c r="AD99" s="167">
        <f>AE94+AD95+AD96+AD97+AD98</f>
        <v>6</v>
      </c>
      <c r="AE99" s="167">
        <f t="shared" ref="AE99:AF99" si="592">AE94+AE95+AE96+AE97+AE98</f>
        <v>2</v>
      </c>
      <c r="AF99" s="167">
        <f t="shared" si="592"/>
        <v>3</v>
      </c>
      <c r="AG99" s="168">
        <f t="shared" si="527"/>
        <v>17</v>
      </c>
      <c r="AH99" s="166">
        <f t="shared" ref="AH99:AJ99" si="593">AH94+AH95+AH96+AH97+AH98</f>
        <v>31</v>
      </c>
      <c r="AI99" s="166">
        <f t="shared" si="593"/>
        <v>23</v>
      </c>
      <c r="AJ99" s="166">
        <f t="shared" si="593"/>
        <v>24</v>
      </c>
      <c r="AK99" s="168">
        <f t="shared" si="529"/>
        <v>78</v>
      </c>
      <c r="AL99" s="166"/>
      <c r="AM99" s="167"/>
      <c r="AN99" s="167"/>
      <c r="AO99" s="167"/>
      <c r="AP99" s="169"/>
      <c r="AQ99" s="166"/>
      <c r="AR99" s="166"/>
      <c r="AS99" s="166"/>
      <c r="AT99" s="170"/>
      <c r="AU99" s="166"/>
      <c r="AV99" s="166"/>
      <c r="AW99" s="166"/>
      <c r="AX99" s="171"/>
      <c r="AY99" s="172">
        <f t="shared" ref="AY99:BD99" si="594">AY94+AY95+AY96+AY97+AY98</f>
        <v>3.3</v>
      </c>
      <c r="AZ99" s="172">
        <f t="shared" si="594"/>
        <v>1.8</v>
      </c>
      <c r="BA99" s="166">
        <f t="shared" si="594"/>
        <v>3</v>
      </c>
      <c r="BB99" s="166">
        <f t="shared" si="594"/>
        <v>3</v>
      </c>
      <c r="BC99" s="173">
        <f t="shared" si="594"/>
        <v>6009.2</v>
      </c>
      <c r="BD99" s="173">
        <f t="shared" si="594"/>
        <v>6007.3</v>
      </c>
      <c r="BE99" s="154" t="str">
        <f t="shared" ref="BE99:BF99" si="595">TEXTJOIN(", ",TRUE,BE94:BE98)</f>
        <v>Олександівка, Пантелеймонівка, Миколаївка</v>
      </c>
      <c r="BF99" s="154" t="str">
        <f t="shared" si="595"/>
        <v>Загреблі, Верхні води, Ступочки</v>
      </c>
    </row>
    <row r="100" ht="15.75" customHeight="1">
      <c r="A100" s="67">
        <f t="shared" si="517"/>
        <v>46257</v>
      </c>
      <c r="B100" s="124" t="s">
        <v>31</v>
      </c>
      <c r="C100" s="174">
        <f t="shared" si="518"/>
        <v>1</v>
      </c>
      <c r="D100" s="175">
        <f t="shared" ref="D100:L100" si="596">RANDBETWEEN(0,2)</f>
        <v>1</v>
      </c>
      <c r="E100" s="175">
        <f t="shared" si="596"/>
        <v>2</v>
      </c>
      <c r="F100" s="175">
        <f t="shared" si="596"/>
        <v>0</v>
      </c>
      <c r="G100" s="175">
        <f t="shared" si="596"/>
        <v>0</v>
      </c>
      <c r="H100" s="176">
        <f t="shared" si="596"/>
        <v>1</v>
      </c>
      <c r="I100" s="177">
        <f t="shared" si="596"/>
        <v>2</v>
      </c>
      <c r="J100" s="178">
        <f t="shared" si="596"/>
        <v>2</v>
      </c>
      <c r="K100" s="179">
        <f t="shared" si="596"/>
        <v>0</v>
      </c>
      <c r="L100" s="179">
        <f t="shared" si="596"/>
        <v>1</v>
      </c>
      <c r="M100" s="180">
        <f t="shared" si="520"/>
        <v>35</v>
      </c>
      <c r="N100" s="175">
        <f t="shared" ref="N100:T100" si="597">RANDBETWEEN(0,10)</f>
        <v>6</v>
      </c>
      <c r="O100" s="175">
        <f t="shared" si="597"/>
        <v>6</v>
      </c>
      <c r="P100" s="175">
        <f t="shared" si="597"/>
        <v>0</v>
      </c>
      <c r="Q100" s="175">
        <f t="shared" si="597"/>
        <v>6</v>
      </c>
      <c r="R100" s="175">
        <f t="shared" si="597"/>
        <v>7</v>
      </c>
      <c r="S100" s="175">
        <f t="shared" si="597"/>
        <v>9</v>
      </c>
      <c r="T100" s="175">
        <f t="shared" si="597"/>
        <v>1</v>
      </c>
      <c r="U100" s="181">
        <f t="shared" ref="U100:U105" si="604">RANDBETWEEN(10,30)</f>
        <v>21</v>
      </c>
      <c r="V100" s="182">
        <f t="shared" si="557"/>
        <v>4</v>
      </c>
      <c r="W100" s="175">
        <f t="shared" ref="W100:Y100" si="598">RANDBETWEEN(0,2)</f>
        <v>0</v>
      </c>
      <c r="X100" s="175">
        <f t="shared" si="598"/>
        <v>2</v>
      </c>
      <c r="Y100" s="175">
        <f t="shared" si="598"/>
        <v>2</v>
      </c>
      <c r="Z100" s="183">
        <f t="shared" si="566"/>
        <v>1</v>
      </c>
      <c r="AA100" s="184">
        <f t="shared" ref="AA100:AF100" si="599">RANDBETWEEN(0,2)</f>
        <v>1</v>
      </c>
      <c r="AB100" s="184">
        <f t="shared" si="599"/>
        <v>0</v>
      </c>
      <c r="AC100" s="185">
        <f t="shared" si="599"/>
        <v>0</v>
      </c>
      <c r="AD100" s="186">
        <f t="shared" si="599"/>
        <v>0</v>
      </c>
      <c r="AE100" s="186">
        <f t="shared" si="599"/>
        <v>2</v>
      </c>
      <c r="AF100" s="186">
        <f t="shared" si="599"/>
        <v>2</v>
      </c>
      <c r="AG100" s="187">
        <f t="shared" si="527"/>
        <v>4</v>
      </c>
      <c r="AH100" s="185">
        <f t="shared" ref="AH100:AJ100" si="600">RANDBETWEEN(1,10)</f>
        <v>2</v>
      </c>
      <c r="AI100" s="186">
        <f t="shared" si="600"/>
        <v>7</v>
      </c>
      <c r="AJ100" s="186">
        <f t="shared" si="600"/>
        <v>10</v>
      </c>
      <c r="AK100" s="188">
        <f t="shared" si="529"/>
        <v>19</v>
      </c>
      <c r="AL100" s="185"/>
      <c r="AM100" s="186"/>
      <c r="AN100" s="186"/>
      <c r="AO100" s="186"/>
      <c r="AP100" s="189"/>
      <c r="AQ100" s="185"/>
      <c r="AR100" s="186"/>
      <c r="AS100" s="186"/>
      <c r="AT100" s="190"/>
      <c r="AU100" s="185"/>
      <c r="AV100" s="186"/>
      <c r="AW100" s="186"/>
      <c r="AX100" s="191"/>
      <c r="AY100" s="92">
        <f t="shared" ref="AY100:AZ100" si="601">RANDBETWEEN(1,10)/10</f>
        <v>0.4</v>
      </c>
      <c r="AZ100" s="92">
        <f t="shared" si="601"/>
        <v>0.6</v>
      </c>
      <c r="BA100" s="93">
        <v>0.0</v>
      </c>
      <c r="BB100" s="93">
        <v>0.0</v>
      </c>
      <c r="BC100" s="94">
        <f>SUM(BC72,'ГОЧ'!$AY100)</f>
        <v>1200.7</v>
      </c>
      <c r="BD100" s="94">
        <f>SUM(BD72,'ГОЧ'!$AZ100)</f>
        <v>1202.3</v>
      </c>
      <c r="BE100" s="186"/>
      <c r="BF100" s="186"/>
    </row>
    <row r="101" ht="15.75" customHeight="1">
      <c r="A101" s="67">
        <f t="shared" si="517"/>
        <v>46257</v>
      </c>
      <c r="B101" s="138" t="s">
        <v>33</v>
      </c>
      <c r="C101" s="157">
        <f t="shared" si="518"/>
        <v>0</v>
      </c>
      <c r="D101" s="97">
        <f t="shared" ref="D101:L101" si="602">RANDBETWEEN(0,2)</f>
        <v>0</v>
      </c>
      <c r="E101" s="97">
        <f t="shared" si="602"/>
        <v>2</v>
      </c>
      <c r="F101" s="97">
        <f t="shared" si="602"/>
        <v>0</v>
      </c>
      <c r="G101" s="97">
        <f t="shared" si="602"/>
        <v>2</v>
      </c>
      <c r="H101" s="98">
        <f t="shared" si="602"/>
        <v>1</v>
      </c>
      <c r="I101" s="99">
        <f t="shared" si="602"/>
        <v>0</v>
      </c>
      <c r="J101" s="100">
        <f t="shared" si="602"/>
        <v>1</v>
      </c>
      <c r="K101" s="101">
        <f t="shared" si="602"/>
        <v>1</v>
      </c>
      <c r="L101" s="101">
        <f t="shared" si="602"/>
        <v>2</v>
      </c>
      <c r="M101" s="140">
        <f t="shared" si="520"/>
        <v>27</v>
      </c>
      <c r="N101" s="97">
        <f t="shared" ref="N101:T101" si="603">RANDBETWEEN(0,10)</f>
        <v>0</v>
      </c>
      <c r="O101" s="97">
        <f t="shared" si="603"/>
        <v>10</v>
      </c>
      <c r="P101" s="97">
        <f t="shared" si="603"/>
        <v>3</v>
      </c>
      <c r="Q101" s="97">
        <f t="shared" si="603"/>
        <v>6</v>
      </c>
      <c r="R101" s="97">
        <f t="shared" si="603"/>
        <v>4</v>
      </c>
      <c r="S101" s="97">
        <f t="shared" si="603"/>
        <v>2</v>
      </c>
      <c r="T101" s="97">
        <f t="shared" si="603"/>
        <v>2</v>
      </c>
      <c r="U101" s="103">
        <f t="shared" si="604"/>
        <v>10</v>
      </c>
      <c r="V101" s="158">
        <f t="shared" si="557"/>
        <v>5</v>
      </c>
      <c r="W101" s="97">
        <f t="shared" ref="W101:Y101" si="605">RANDBETWEEN(0,2)</f>
        <v>2</v>
      </c>
      <c r="X101" s="97">
        <f t="shared" si="605"/>
        <v>2</v>
      </c>
      <c r="Y101" s="97">
        <f t="shared" si="605"/>
        <v>1</v>
      </c>
      <c r="Z101" s="105">
        <f t="shared" si="566"/>
        <v>4</v>
      </c>
      <c r="AA101" s="143">
        <f t="shared" ref="AA101:AF101" si="606">RANDBETWEEN(0,2)</f>
        <v>2</v>
      </c>
      <c r="AB101" s="143">
        <f t="shared" si="606"/>
        <v>2</v>
      </c>
      <c r="AC101" s="144">
        <f t="shared" si="606"/>
        <v>2</v>
      </c>
      <c r="AD101" s="145">
        <f t="shared" si="606"/>
        <v>2</v>
      </c>
      <c r="AE101" s="145">
        <f t="shared" si="606"/>
        <v>0</v>
      </c>
      <c r="AF101" s="145">
        <f t="shared" si="606"/>
        <v>0</v>
      </c>
      <c r="AG101" s="86">
        <f t="shared" si="527"/>
        <v>4</v>
      </c>
      <c r="AH101" s="144">
        <f t="shared" ref="AH101:AJ101" si="607">RANDBETWEEN(1,10)</f>
        <v>3</v>
      </c>
      <c r="AI101" s="145">
        <f t="shared" si="607"/>
        <v>9</v>
      </c>
      <c r="AJ101" s="145">
        <f t="shared" si="607"/>
        <v>10</v>
      </c>
      <c r="AK101" s="192">
        <f t="shared" si="529"/>
        <v>22</v>
      </c>
      <c r="AL101" s="144"/>
      <c r="AM101" s="145"/>
      <c r="AN101" s="145"/>
      <c r="AO101" s="145"/>
      <c r="AP101" s="89"/>
      <c r="AQ101" s="144"/>
      <c r="AR101" s="145"/>
      <c r="AS101" s="145"/>
      <c r="AT101" s="193"/>
      <c r="AU101" s="144"/>
      <c r="AV101" s="145"/>
      <c r="AW101" s="145"/>
      <c r="AX101" s="194"/>
      <c r="AY101" s="92">
        <f t="shared" ref="AY101:AZ101" si="608">RANDBETWEEN(1,10)/10</f>
        <v>0.2</v>
      </c>
      <c r="AZ101" s="92">
        <f t="shared" si="608"/>
        <v>0.1</v>
      </c>
      <c r="BA101" s="93">
        <v>0.0</v>
      </c>
      <c r="BB101" s="93">
        <v>0.0</v>
      </c>
      <c r="BC101" s="94">
        <f>SUM(BC73,'ГОЧ'!$AY101)</f>
        <v>1201.8</v>
      </c>
      <c r="BD101" s="94">
        <f>SUM(BD73,'ГОЧ'!$AZ101)</f>
        <v>1201.4</v>
      </c>
      <c r="BE101" s="108"/>
      <c r="BF101" s="108"/>
    </row>
    <row r="102" ht="15.75" customHeight="1">
      <c r="A102" s="67">
        <f t="shared" si="517"/>
        <v>46257</v>
      </c>
      <c r="B102" s="138" t="s">
        <v>35</v>
      </c>
      <c r="C102" s="157">
        <f t="shared" si="518"/>
        <v>2</v>
      </c>
      <c r="D102" s="97">
        <f t="shared" ref="D102:L102" si="609">RANDBETWEEN(0,2)</f>
        <v>2</v>
      </c>
      <c r="E102" s="97">
        <f t="shared" si="609"/>
        <v>2</v>
      </c>
      <c r="F102" s="97">
        <f t="shared" si="609"/>
        <v>0</v>
      </c>
      <c r="G102" s="97">
        <f t="shared" si="609"/>
        <v>1</v>
      </c>
      <c r="H102" s="98">
        <f t="shared" si="609"/>
        <v>1</v>
      </c>
      <c r="I102" s="99">
        <f t="shared" si="609"/>
        <v>0</v>
      </c>
      <c r="J102" s="100">
        <f t="shared" si="609"/>
        <v>2</v>
      </c>
      <c r="K102" s="101">
        <f t="shared" si="609"/>
        <v>2</v>
      </c>
      <c r="L102" s="101">
        <f t="shared" si="609"/>
        <v>1</v>
      </c>
      <c r="M102" s="140">
        <f t="shared" si="520"/>
        <v>36</v>
      </c>
      <c r="N102" s="97">
        <f t="shared" ref="N102:T102" si="610">RANDBETWEEN(0,10)</f>
        <v>5</v>
      </c>
      <c r="O102" s="97">
        <f t="shared" si="610"/>
        <v>0</v>
      </c>
      <c r="P102" s="97">
        <f t="shared" si="610"/>
        <v>10</v>
      </c>
      <c r="Q102" s="97">
        <f t="shared" si="610"/>
        <v>7</v>
      </c>
      <c r="R102" s="97">
        <f t="shared" si="610"/>
        <v>2</v>
      </c>
      <c r="S102" s="97">
        <f t="shared" si="610"/>
        <v>7</v>
      </c>
      <c r="T102" s="97">
        <f t="shared" si="610"/>
        <v>5</v>
      </c>
      <c r="U102" s="103">
        <f t="shared" si="604"/>
        <v>28</v>
      </c>
      <c r="V102" s="158">
        <f t="shared" si="557"/>
        <v>4</v>
      </c>
      <c r="W102" s="97">
        <f t="shared" ref="W102:Y102" si="611">RANDBETWEEN(0,2)</f>
        <v>2</v>
      </c>
      <c r="X102" s="97">
        <f t="shared" si="611"/>
        <v>2</v>
      </c>
      <c r="Y102" s="97">
        <f t="shared" si="611"/>
        <v>0</v>
      </c>
      <c r="Z102" s="105">
        <f t="shared" si="566"/>
        <v>3</v>
      </c>
      <c r="AA102" s="106">
        <f t="shared" ref="AA102:AF102" si="612">RANDBETWEEN(0,2)</f>
        <v>2</v>
      </c>
      <c r="AB102" s="106">
        <f t="shared" si="612"/>
        <v>1</v>
      </c>
      <c r="AC102" s="107">
        <f t="shared" si="612"/>
        <v>0</v>
      </c>
      <c r="AD102" s="108">
        <f t="shared" si="612"/>
        <v>1</v>
      </c>
      <c r="AE102" s="108">
        <f t="shared" si="612"/>
        <v>0</v>
      </c>
      <c r="AF102" s="108">
        <f t="shared" si="612"/>
        <v>2</v>
      </c>
      <c r="AG102" s="86">
        <f t="shared" si="527"/>
        <v>3</v>
      </c>
      <c r="AH102" s="107">
        <f t="shared" ref="AH102:AJ102" si="613">RANDBETWEEN(1,10)</f>
        <v>4</v>
      </c>
      <c r="AI102" s="108">
        <f t="shared" si="613"/>
        <v>5</v>
      </c>
      <c r="AJ102" s="108">
        <f t="shared" si="613"/>
        <v>9</v>
      </c>
      <c r="AK102" s="192">
        <f t="shared" si="529"/>
        <v>18</v>
      </c>
      <c r="AL102" s="107"/>
      <c r="AM102" s="108"/>
      <c r="AN102" s="108"/>
      <c r="AO102" s="108"/>
      <c r="AP102" s="89"/>
      <c r="AQ102" s="107"/>
      <c r="AR102" s="108"/>
      <c r="AS102" s="108"/>
      <c r="AT102" s="193"/>
      <c r="AU102" s="107"/>
      <c r="AV102" s="108"/>
      <c r="AW102" s="108"/>
      <c r="AX102" s="194"/>
      <c r="AY102" s="92">
        <f t="shared" ref="AY102:AZ102" si="614">RANDBETWEEN(1,10)/10</f>
        <v>0.6</v>
      </c>
      <c r="AZ102" s="92">
        <f t="shared" si="614"/>
        <v>0.6</v>
      </c>
      <c r="BA102" s="93">
        <v>0.0</v>
      </c>
      <c r="BB102" s="93">
        <v>0.0</v>
      </c>
      <c r="BC102" s="94">
        <f>SUM(BC74,'ГОЧ'!$AY102)</f>
        <v>1202.1</v>
      </c>
      <c r="BD102" s="94">
        <f>SUM(BD74,'ГОЧ'!$AZ102)</f>
        <v>1202.4</v>
      </c>
      <c r="BE102" s="108"/>
      <c r="BF102" s="108"/>
    </row>
    <row r="103" ht="15.75" customHeight="1">
      <c r="A103" s="67">
        <f t="shared" si="517"/>
        <v>46257</v>
      </c>
      <c r="B103" s="138" t="s">
        <v>36</v>
      </c>
      <c r="C103" s="157">
        <f t="shared" si="518"/>
        <v>2</v>
      </c>
      <c r="D103" s="97">
        <f t="shared" ref="D103:L103" si="615">RANDBETWEEN(0,2)</f>
        <v>0</v>
      </c>
      <c r="E103" s="97">
        <f t="shared" si="615"/>
        <v>1</v>
      </c>
      <c r="F103" s="97">
        <f t="shared" si="615"/>
        <v>2</v>
      </c>
      <c r="G103" s="97">
        <f t="shared" si="615"/>
        <v>0</v>
      </c>
      <c r="H103" s="98">
        <f t="shared" si="615"/>
        <v>1</v>
      </c>
      <c r="I103" s="99">
        <f t="shared" si="615"/>
        <v>1</v>
      </c>
      <c r="J103" s="100">
        <f t="shared" si="615"/>
        <v>0</v>
      </c>
      <c r="K103" s="101">
        <f t="shared" si="615"/>
        <v>2</v>
      </c>
      <c r="L103" s="101">
        <f t="shared" si="615"/>
        <v>1</v>
      </c>
      <c r="M103" s="140">
        <f t="shared" si="520"/>
        <v>34</v>
      </c>
      <c r="N103" s="97">
        <f t="shared" ref="N103:T103" si="616">RANDBETWEEN(0,10)</f>
        <v>8</v>
      </c>
      <c r="O103" s="97">
        <f t="shared" si="616"/>
        <v>3</v>
      </c>
      <c r="P103" s="97">
        <f t="shared" si="616"/>
        <v>0</v>
      </c>
      <c r="Q103" s="97">
        <f t="shared" si="616"/>
        <v>7</v>
      </c>
      <c r="R103" s="97">
        <f t="shared" si="616"/>
        <v>8</v>
      </c>
      <c r="S103" s="97">
        <f t="shared" si="616"/>
        <v>3</v>
      </c>
      <c r="T103" s="97">
        <f t="shared" si="616"/>
        <v>5</v>
      </c>
      <c r="U103" s="103">
        <f t="shared" si="604"/>
        <v>13</v>
      </c>
      <c r="V103" s="158">
        <f t="shared" si="557"/>
        <v>3</v>
      </c>
      <c r="W103" s="97">
        <f t="shared" ref="W103:Y103" si="617">RANDBETWEEN(0,2)</f>
        <v>1</v>
      </c>
      <c r="X103" s="97">
        <f t="shared" si="617"/>
        <v>1</v>
      </c>
      <c r="Y103" s="97">
        <f t="shared" si="617"/>
        <v>1</v>
      </c>
      <c r="Z103" s="105">
        <f t="shared" si="566"/>
        <v>4</v>
      </c>
      <c r="AA103" s="143">
        <f t="shared" ref="AA103:AF103" si="618">RANDBETWEEN(0,2)</f>
        <v>2</v>
      </c>
      <c r="AB103" s="143">
        <f t="shared" si="618"/>
        <v>2</v>
      </c>
      <c r="AC103" s="144">
        <f t="shared" si="618"/>
        <v>2</v>
      </c>
      <c r="AD103" s="145">
        <f t="shared" si="618"/>
        <v>0</v>
      </c>
      <c r="AE103" s="145">
        <f t="shared" si="618"/>
        <v>0</v>
      </c>
      <c r="AF103" s="145">
        <f t="shared" si="618"/>
        <v>2</v>
      </c>
      <c r="AG103" s="86">
        <f t="shared" si="527"/>
        <v>4</v>
      </c>
      <c r="AH103" s="144">
        <f t="shared" ref="AH103:AJ103" si="619">RANDBETWEEN(1,10)</f>
        <v>9</v>
      </c>
      <c r="AI103" s="145">
        <f t="shared" si="619"/>
        <v>5</v>
      </c>
      <c r="AJ103" s="145">
        <f t="shared" si="619"/>
        <v>10</v>
      </c>
      <c r="AK103" s="192">
        <f t="shared" si="529"/>
        <v>24</v>
      </c>
      <c r="AL103" s="144"/>
      <c r="AM103" s="145"/>
      <c r="AN103" s="145"/>
      <c r="AO103" s="145"/>
      <c r="AP103" s="89"/>
      <c r="AQ103" s="144"/>
      <c r="AR103" s="145"/>
      <c r="AS103" s="145"/>
      <c r="AT103" s="193"/>
      <c r="AU103" s="144"/>
      <c r="AV103" s="145"/>
      <c r="AW103" s="145"/>
      <c r="AX103" s="194"/>
      <c r="AY103" s="92">
        <f t="shared" ref="AY103:AZ103" si="620">RANDBETWEEN(1,10)/10</f>
        <v>0.7</v>
      </c>
      <c r="AZ103" s="92">
        <f t="shared" si="620"/>
        <v>0.5</v>
      </c>
      <c r="BA103" s="93">
        <v>0.0</v>
      </c>
      <c r="BB103" s="93">
        <v>0.0</v>
      </c>
      <c r="BC103" s="94">
        <f>SUM(BC75,'ГОЧ'!$AY103)</f>
        <v>1202</v>
      </c>
      <c r="BD103" s="94">
        <f>SUM(BD75,'ГОЧ'!$AZ103)</f>
        <v>1201.2</v>
      </c>
      <c r="BE103" s="108"/>
      <c r="BF103" s="108"/>
    </row>
    <row r="104" ht="15.75" customHeight="1">
      <c r="A104" s="67">
        <f t="shared" si="517"/>
        <v>46257</v>
      </c>
      <c r="B104" s="195" t="s">
        <v>38</v>
      </c>
      <c r="C104" s="157">
        <f t="shared" si="518"/>
        <v>2</v>
      </c>
      <c r="D104" s="97">
        <f t="shared" ref="D104:L104" si="621">RANDBETWEEN(0,2)</f>
        <v>1</v>
      </c>
      <c r="E104" s="97">
        <f t="shared" si="621"/>
        <v>2</v>
      </c>
      <c r="F104" s="97">
        <f t="shared" si="621"/>
        <v>1</v>
      </c>
      <c r="G104" s="97">
        <f t="shared" si="621"/>
        <v>2</v>
      </c>
      <c r="H104" s="98">
        <f t="shared" si="621"/>
        <v>1</v>
      </c>
      <c r="I104" s="99">
        <f t="shared" si="621"/>
        <v>0</v>
      </c>
      <c r="J104" s="100">
        <f t="shared" si="621"/>
        <v>1</v>
      </c>
      <c r="K104" s="101">
        <f t="shared" si="621"/>
        <v>1</v>
      </c>
      <c r="L104" s="101">
        <f t="shared" si="621"/>
        <v>1</v>
      </c>
      <c r="M104" s="140">
        <f t="shared" si="520"/>
        <v>31</v>
      </c>
      <c r="N104" s="97">
        <f t="shared" ref="N104:T104" si="622">RANDBETWEEN(0,10)</f>
        <v>5</v>
      </c>
      <c r="O104" s="97">
        <f t="shared" si="622"/>
        <v>0</v>
      </c>
      <c r="P104" s="97">
        <f t="shared" si="622"/>
        <v>6</v>
      </c>
      <c r="Q104" s="97">
        <f t="shared" si="622"/>
        <v>3</v>
      </c>
      <c r="R104" s="97">
        <f t="shared" si="622"/>
        <v>1</v>
      </c>
      <c r="S104" s="97">
        <f t="shared" si="622"/>
        <v>7</v>
      </c>
      <c r="T104" s="97">
        <f t="shared" si="622"/>
        <v>9</v>
      </c>
      <c r="U104" s="103">
        <f t="shared" si="604"/>
        <v>24</v>
      </c>
      <c r="V104" s="158">
        <f t="shared" si="557"/>
        <v>6</v>
      </c>
      <c r="W104" s="97">
        <f t="shared" ref="W104:Y104" si="623">RANDBETWEEN(0,2)</f>
        <v>2</v>
      </c>
      <c r="X104" s="97">
        <f t="shared" si="623"/>
        <v>2</v>
      </c>
      <c r="Y104" s="97">
        <f t="shared" si="623"/>
        <v>2</v>
      </c>
      <c r="Z104" s="105">
        <f t="shared" si="566"/>
        <v>0</v>
      </c>
      <c r="AA104" s="106">
        <f t="shared" ref="AA104:AF104" si="624">RANDBETWEEN(0,2)</f>
        <v>0</v>
      </c>
      <c r="AB104" s="106">
        <f t="shared" si="624"/>
        <v>0</v>
      </c>
      <c r="AC104" s="107">
        <f t="shared" si="624"/>
        <v>0</v>
      </c>
      <c r="AD104" s="108">
        <f t="shared" si="624"/>
        <v>0</v>
      </c>
      <c r="AE104" s="108">
        <f t="shared" si="624"/>
        <v>2</v>
      </c>
      <c r="AF104" s="108">
        <f t="shared" si="624"/>
        <v>1</v>
      </c>
      <c r="AG104" s="86">
        <f t="shared" si="527"/>
        <v>3</v>
      </c>
      <c r="AH104" s="107">
        <f t="shared" ref="AH104:AJ104" si="625">RANDBETWEEN(1,10)</f>
        <v>9</v>
      </c>
      <c r="AI104" s="108">
        <f t="shared" si="625"/>
        <v>10</v>
      </c>
      <c r="AJ104" s="108">
        <f t="shared" si="625"/>
        <v>3</v>
      </c>
      <c r="AK104" s="192">
        <f t="shared" si="529"/>
        <v>22</v>
      </c>
      <c r="AL104" s="107"/>
      <c r="AM104" s="108"/>
      <c r="AN104" s="108"/>
      <c r="AO104" s="108"/>
      <c r="AP104" s="89"/>
      <c r="AQ104" s="107"/>
      <c r="AR104" s="108"/>
      <c r="AS104" s="108"/>
      <c r="AT104" s="193"/>
      <c r="AU104" s="107"/>
      <c r="AV104" s="108"/>
      <c r="AW104" s="108"/>
      <c r="AX104" s="194"/>
      <c r="AY104" s="92">
        <f t="shared" ref="AY104:AZ104" si="626">RANDBETWEEN(1,10)/10</f>
        <v>0.5</v>
      </c>
      <c r="AZ104" s="92">
        <f t="shared" si="626"/>
        <v>0.3</v>
      </c>
      <c r="BA104" s="93">
        <v>0.0</v>
      </c>
      <c r="BB104" s="93">
        <v>0.0</v>
      </c>
      <c r="BC104" s="94">
        <f>SUM(BC76,'ГОЧ'!$AY104)</f>
        <v>1201.6</v>
      </c>
      <c r="BD104" s="94">
        <f>SUM(BD76,'ГОЧ'!$AZ104)</f>
        <v>1200.7</v>
      </c>
      <c r="BE104" s="108"/>
      <c r="BF104" s="108"/>
    </row>
    <row r="105" ht="15.75" customHeight="1">
      <c r="A105" s="67">
        <f t="shared" si="517"/>
        <v>46257</v>
      </c>
      <c r="B105" s="138" t="s">
        <v>41</v>
      </c>
      <c r="C105" s="157">
        <f t="shared" si="518"/>
        <v>1</v>
      </c>
      <c r="D105" s="97">
        <f t="shared" ref="D105:L105" si="627">RANDBETWEEN(0,2)</f>
        <v>0</v>
      </c>
      <c r="E105" s="97">
        <f t="shared" si="627"/>
        <v>0</v>
      </c>
      <c r="F105" s="97">
        <f t="shared" si="627"/>
        <v>1</v>
      </c>
      <c r="G105" s="97">
        <f t="shared" si="627"/>
        <v>1</v>
      </c>
      <c r="H105" s="98">
        <f t="shared" si="627"/>
        <v>0</v>
      </c>
      <c r="I105" s="99">
        <f t="shared" si="627"/>
        <v>0</v>
      </c>
      <c r="J105" s="100">
        <f t="shared" si="627"/>
        <v>1</v>
      </c>
      <c r="K105" s="101">
        <f t="shared" si="627"/>
        <v>2</v>
      </c>
      <c r="L105" s="101">
        <f t="shared" si="627"/>
        <v>2</v>
      </c>
      <c r="M105" s="140">
        <f t="shared" si="520"/>
        <v>33</v>
      </c>
      <c r="N105" s="97">
        <f t="shared" ref="N105:T105" si="628">RANDBETWEEN(0,10)</f>
        <v>10</v>
      </c>
      <c r="O105" s="97">
        <f t="shared" si="628"/>
        <v>5</v>
      </c>
      <c r="P105" s="97">
        <f t="shared" si="628"/>
        <v>10</v>
      </c>
      <c r="Q105" s="97">
        <f t="shared" si="628"/>
        <v>6</v>
      </c>
      <c r="R105" s="97">
        <f t="shared" si="628"/>
        <v>1</v>
      </c>
      <c r="S105" s="97">
        <f t="shared" si="628"/>
        <v>0</v>
      </c>
      <c r="T105" s="97">
        <f t="shared" si="628"/>
        <v>1</v>
      </c>
      <c r="U105" s="103">
        <f t="shared" si="604"/>
        <v>11</v>
      </c>
      <c r="V105" s="158">
        <f t="shared" si="557"/>
        <v>3</v>
      </c>
      <c r="W105" s="97">
        <f t="shared" ref="W105:Y105" si="629">RANDBETWEEN(0,2)</f>
        <v>1</v>
      </c>
      <c r="X105" s="97">
        <f t="shared" si="629"/>
        <v>1</v>
      </c>
      <c r="Y105" s="97">
        <f t="shared" si="629"/>
        <v>1</v>
      </c>
      <c r="Z105" s="105">
        <f t="shared" si="566"/>
        <v>3</v>
      </c>
      <c r="AA105" s="143">
        <f t="shared" ref="AA105:AF105" si="630">RANDBETWEEN(0,2)</f>
        <v>2</v>
      </c>
      <c r="AB105" s="143">
        <f t="shared" si="630"/>
        <v>1</v>
      </c>
      <c r="AC105" s="144">
        <f t="shared" si="630"/>
        <v>2</v>
      </c>
      <c r="AD105" s="145">
        <f t="shared" si="630"/>
        <v>2</v>
      </c>
      <c r="AE105" s="145">
        <f t="shared" si="630"/>
        <v>0</v>
      </c>
      <c r="AF105" s="145">
        <f t="shared" si="630"/>
        <v>1</v>
      </c>
      <c r="AG105" s="86">
        <f t="shared" si="527"/>
        <v>5</v>
      </c>
      <c r="AH105" s="144">
        <f t="shared" ref="AH105:AJ105" si="631">RANDBETWEEN(1,10)</f>
        <v>2</v>
      </c>
      <c r="AI105" s="145">
        <f t="shared" si="631"/>
        <v>7</v>
      </c>
      <c r="AJ105" s="145">
        <f t="shared" si="631"/>
        <v>6</v>
      </c>
      <c r="AK105" s="192">
        <f t="shared" si="529"/>
        <v>15</v>
      </c>
      <c r="AL105" s="144"/>
      <c r="AM105" s="145"/>
      <c r="AN105" s="145"/>
      <c r="AO105" s="145"/>
      <c r="AP105" s="89"/>
      <c r="AQ105" s="144"/>
      <c r="AR105" s="145"/>
      <c r="AS105" s="145"/>
      <c r="AT105" s="193"/>
      <c r="AU105" s="144"/>
      <c r="AV105" s="145"/>
      <c r="AW105" s="145"/>
      <c r="AX105" s="194"/>
      <c r="AY105" s="92">
        <f t="shared" ref="AY105:AZ105" si="632">RANDBETWEEN(1,10)/10</f>
        <v>0.7</v>
      </c>
      <c r="AZ105" s="92">
        <f t="shared" si="632"/>
        <v>0.7</v>
      </c>
      <c r="BA105" s="93">
        <v>0.0</v>
      </c>
      <c r="BB105" s="93">
        <v>0.0</v>
      </c>
      <c r="BC105" s="94">
        <f>SUM(BC77,'ГОЧ'!$AY105)</f>
        <v>1201.6</v>
      </c>
      <c r="BD105" s="94">
        <f>SUM(BD77,'ГОЧ'!$AZ105)</f>
        <v>1202.3</v>
      </c>
      <c r="BE105" s="108"/>
      <c r="BF105" s="108"/>
    </row>
    <row r="106" ht="15.75" customHeight="1">
      <c r="A106" s="67">
        <f t="shared" si="517"/>
        <v>46257</v>
      </c>
      <c r="B106" s="114" t="s">
        <v>45</v>
      </c>
      <c r="C106" s="164">
        <f t="shared" si="518"/>
        <v>8</v>
      </c>
      <c r="D106" s="164">
        <f t="shared" ref="D106:U106" si="633">SUM(D100:D105)</f>
        <v>4</v>
      </c>
      <c r="E106" s="165">
        <f t="shared" si="633"/>
        <v>9</v>
      </c>
      <c r="F106" s="165">
        <f t="shared" si="633"/>
        <v>4</v>
      </c>
      <c r="G106" s="165">
        <f t="shared" si="633"/>
        <v>6</v>
      </c>
      <c r="H106" s="165">
        <f t="shared" si="633"/>
        <v>5</v>
      </c>
      <c r="I106" s="165">
        <f t="shared" si="633"/>
        <v>3</v>
      </c>
      <c r="J106" s="165">
        <f t="shared" si="633"/>
        <v>7</v>
      </c>
      <c r="K106" s="165">
        <f t="shared" si="633"/>
        <v>8</v>
      </c>
      <c r="L106" s="165">
        <f t="shared" si="633"/>
        <v>8</v>
      </c>
      <c r="M106" s="164">
        <f t="shared" si="633"/>
        <v>196</v>
      </c>
      <c r="N106" s="164">
        <f t="shared" si="633"/>
        <v>34</v>
      </c>
      <c r="O106" s="165">
        <f t="shared" si="633"/>
        <v>24</v>
      </c>
      <c r="P106" s="165">
        <f t="shared" si="633"/>
        <v>29</v>
      </c>
      <c r="Q106" s="165">
        <f t="shared" si="633"/>
        <v>35</v>
      </c>
      <c r="R106" s="165">
        <f t="shared" si="633"/>
        <v>23</v>
      </c>
      <c r="S106" s="165">
        <f t="shared" si="633"/>
        <v>28</v>
      </c>
      <c r="T106" s="165">
        <f t="shared" si="633"/>
        <v>23</v>
      </c>
      <c r="U106" s="164">
        <f t="shared" si="633"/>
        <v>107</v>
      </c>
      <c r="V106" s="164">
        <f t="shared" si="557"/>
        <v>25</v>
      </c>
      <c r="W106" s="165">
        <f t="shared" ref="W106:Y106" si="634">SUM(W100:W105)</f>
        <v>8</v>
      </c>
      <c r="X106" s="165">
        <f t="shared" si="634"/>
        <v>10</v>
      </c>
      <c r="Y106" s="165">
        <f t="shared" si="634"/>
        <v>7</v>
      </c>
      <c r="Z106" s="165">
        <f t="shared" si="566"/>
        <v>15</v>
      </c>
      <c r="AA106" s="165">
        <f t="shared" ref="AA106:AF106" si="635">SUM(AA100:AA105)</f>
        <v>9</v>
      </c>
      <c r="AB106" s="165">
        <f t="shared" si="635"/>
        <v>6</v>
      </c>
      <c r="AC106" s="166">
        <f t="shared" si="635"/>
        <v>6</v>
      </c>
      <c r="AD106" s="166">
        <f t="shared" si="635"/>
        <v>5</v>
      </c>
      <c r="AE106" s="166">
        <f t="shared" si="635"/>
        <v>4</v>
      </c>
      <c r="AF106" s="166">
        <f t="shared" si="635"/>
        <v>8</v>
      </c>
      <c r="AG106" s="168">
        <f t="shared" si="527"/>
        <v>23</v>
      </c>
      <c r="AH106" s="166">
        <f t="shared" ref="AH106:AJ106" si="636">SUM(AH100:AH105)</f>
        <v>29</v>
      </c>
      <c r="AI106" s="167">
        <f t="shared" si="636"/>
        <v>43</v>
      </c>
      <c r="AJ106" s="167">
        <f t="shared" si="636"/>
        <v>48</v>
      </c>
      <c r="AK106" s="168">
        <f t="shared" si="529"/>
        <v>120</v>
      </c>
      <c r="AL106" s="166"/>
      <c r="AM106" s="166"/>
      <c r="AN106" s="166"/>
      <c r="AO106" s="166"/>
      <c r="AP106" s="169"/>
      <c r="AQ106" s="166"/>
      <c r="AR106" s="167"/>
      <c r="AS106" s="167"/>
      <c r="AT106" s="170"/>
      <c r="AU106" s="166"/>
      <c r="AV106" s="167"/>
      <c r="AW106" s="167"/>
      <c r="AX106" s="171"/>
      <c r="AY106" s="196">
        <f t="shared" ref="AY106:BD106" si="637">SUM(AY100:AY105)</f>
        <v>3.1</v>
      </c>
      <c r="AZ106" s="196">
        <f t="shared" si="637"/>
        <v>2.8</v>
      </c>
      <c r="BA106" s="167">
        <f t="shared" si="637"/>
        <v>0</v>
      </c>
      <c r="BB106" s="167">
        <f t="shared" si="637"/>
        <v>0</v>
      </c>
      <c r="BC106" s="197">
        <f t="shared" si="637"/>
        <v>7209.8</v>
      </c>
      <c r="BD106" s="197">
        <f t="shared" si="637"/>
        <v>7210.3</v>
      </c>
      <c r="BE106" s="154" t="str">
        <f t="shared" ref="BE106:BF106" si="638">TEXTJOIN(", ",TRUE,BE100:BE105)</f>
        <v/>
      </c>
      <c r="BF106" s="154" t="str">
        <f t="shared" si="638"/>
        <v/>
      </c>
    </row>
    <row r="107" ht="15.75" customHeight="1">
      <c r="A107" s="67">
        <f t="shared" si="517"/>
        <v>46257</v>
      </c>
      <c r="B107" s="124" t="s">
        <v>49</v>
      </c>
      <c r="C107" s="174">
        <f t="shared" si="518"/>
        <v>2</v>
      </c>
      <c r="D107" s="175">
        <f t="shared" ref="D107:L107" si="639">RANDBETWEEN(0,2)</f>
        <v>0</v>
      </c>
      <c r="E107" s="175">
        <f t="shared" si="639"/>
        <v>0</v>
      </c>
      <c r="F107" s="175">
        <f t="shared" si="639"/>
        <v>2</v>
      </c>
      <c r="G107" s="175">
        <f t="shared" si="639"/>
        <v>2</v>
      </c>
      <c r="H107" s="176">
        <f t="shared" si="639"/>
        <v>0</v>
      </c>
      <c r="I107" s="177">
        <f t="shared" si="639"/>
        <v>1</v>
      </c>
      <c r="J107" s="178">
        <f t="shared" si="639"/>
        <v>2</v>
      </c>
      <c r="K107" s="179">
        <f t="shared" si="639"/>
        <v>0</v>
      </c>
      <c r="L107" s="179">
        <f t="shared" si="639"/>
        <v>1</v>
      </c>
      <c r="M107" s="180">
        <f t="shared" ref="M107:M112" si="646">SUM(N107:T107)</f>
        <v>28</v>
      </c>
      <c r="N107" s="175">
        <f t="shared" ref="N107:T107" si="640">RANDBETWEEN(0,10)</f>
        <v>3</v>
      </c>
      <c r="O107" s="175">
        <f t="shared" si="640"/>
        <v>0</v>
      </c>
      <c r="P107" s="175">
        <f t="shared" si="640"/>
        <v>8</v>
      </c>
      <c r="Q107" s="175">
        <f t="shared" si="640"/>
        <v>5</v>
      </c>
      <c r="R107" s="175">
        <f t="shared" si="640"/>
        <v>2</v>
      </c>
      <c r="S107" s="175">
        <f t="shared" si="640"/>
        <v>3</v>
      </c>
      <c r="T107" s="175">
        <f t="shared" si="640"/>
        <v>7</v>
      </c>
      <c r="U107" s="181">
        <f t="shared" ref="U107:U111" si="648">RANDBETWEEN(10,30)</f>
        <v>21</v>
      </c>
      <c r="V107" s="182">
        <f t="shared" si="557"/>
        <v>4</v>
      </c>
      <c r="W107" s="175">
        <f t="shared" ref="W107:Y107" si="641">RANDBETWEEN(0,2)</f>
        <v>1</v>
      </c>
      <c r="X107" s="175">
        <f t="shared" si="641"/>
        <v>1</v>
      </c>
      <c r="Y107" s="175">
        <f t="shared" si="641"/>
        <v>2</v>
      </c>
      <c r="Z107" s="183">
        <f t="shared" si="566"/>
        <v>4</v>
      </c>
      <c r="AA107" s="198">
        <f t="shared" ref="AA107:AF107" si="642">RANDBETWEEN(0,2)</f>
        <v>2</v>
      </c>
      <c r="AB107" s="198">
        <f t="shared" si="642"/>
        <v>2</v>
      </c>
      <c r="AC107" s="199">
        <f t="shared" si="642"/>
        <v>1</v>
      </c>
      <c r="AD107" s="200">
        <f t="shared" si="642"/>
        <v>2</v>
      </c>
      <c r="AE107" s="200">
        <f t="shared" si="642"/>
        <v>1</v>
      </c>
      <c r="AF107" s="200">
        <f t="shared" si="642"/>
        <v>2</v>
      </c>
      <c r="AG107" s="187">
        <f t="shared" si="527"/>
        <v>6</v>
      </c>
      <c r="AH107" s="199">
        <f t="shared" ref="AH107:AJ107" si="643">RANDBETWEEN(1,10)</f>
        <v>6</v>
      </c>
      <c r="AI107" s="200">
        <f t="shared" si="643"/>
        <v>1</v>
      </c>
      <c r="AJ107" s="200">
        <f t="shared" si="643"/>
        <v>1</v>
      </c>
      <c r="AK107" s="188">
        <f t="shared" si="529"/>
        <v>8</v>
      </c>
      <c r="AL107" s="199"/>
      <c r="AM107" s="200"/>
      <c r="AN107" s="200"/>
      <c r="AO107" s="200"/>
      <c r="AP107" s="189"/>
      <c r="AQ107" s="199"/>
      <c r="AR107" s="200"/>
      <c r="AS107" s="200"/>
      <c r="AT107" s="190"/>
      <c r="AU107" s="199"/>
      <c r="AV107" s="200"/>
      <c r="AW107" s="200"/>
      <c r="AX107" s="191"/>
      <c r="AY107" s="92">
        <f t="shared" ref="AY107:AZ107" si="644">RANDBETWEEN(1,10)/10</f>
        <v>0.5</v>
      </c>
      <c r="AZ107" s="92">
        <f t="shared" si="644"/>
        <v>0.9</v>
      </c>
      <c r="BA107" s="93">
        <v>0.0</v>
      </c>
      <c r="BB107" s="93">
        <v>0.0</v>
      </c>
      <c r="BC107" s="94">
        <f>SUM(BC79,'ГОЧ'!$AY107)</f>
        <v>1201.1</v>
      </c>
      <c r="BD107" s="94">
        <f>SUM(BD79,'ГОЧ'!$AZ107)</f>
        <v>1202.1</v>
      </c>
      <c r="BE107" s="186"/>
      <c r="BF107" s="186"/>
    </row>
    <row r="108" ht="15.75" customHeight="1">
      <c r="A108" s="67">
        <f t="shared" si="517"/>
        <v>46257</v>
      </c>
      <c r="B108" s="195" t="s">
        <v>53</v>
      </c>
      <c r="C108" s="157">
        <f t="shared" si="518"/>
        <v>2</v>
      </c>
      <c r="D108" s="97">
        <f t="shared" ref="D108:L108" si="645">RANDBETWEEN(0,2)</f>
        <v>1</v>
      </c>
      <c r="E108" s="97">
        <f t="shared" si="645"/>
        <v>0</v>
      </c>
      <c r="F108" s="97">
        <f t="shared" si="645"/>
        <v>1</v>
      </c>
      <c r="G108" s="97">
        <f t="shared" si="645"/>
        <v>2</v>
      </c>
      <c r="H108" s="98">
        <f t="shared" si="645"/>
        <v>2</v>
      </c>
      <c r="I108" s="99">
        <f t="shared" si="645"/>
        <v>2</v>
      </c>
      <c r="J108" s="100">
        <f t="shared" si="645"/>
        <v>2</v>
      </c>
      <c r="K108" s="101">
        <f t="shared" si="645"/>
        <v>1</v>
      </c>
      <c r="L108" s="101">
        <f t="shared" si="645"/>
        <v>1</v>
      </c>
      <c r="M108" s="140">
        <f t="shared" si="646"/>
        <v>37</v>
      </c>
      <c r="N108" s="97">
        <f t="shared" ref="N108:T108" si="647">RANDBETWEEN(0,10)</f>
        <v>3</v>
      </c>
      <c r="O108" s="97">
        <f t="shared" si="647"/>
        <v>9</v>
      </c>
      <c r="P108" s="97">
        <f t="shared" si="647"/>
        <v>3</v>
      </c>
      <c r="Q108" s="97">
        <f t="shared" si="647"/>
        <v>5</v>
      </c>
      <c r="R108" s="97">
        <f t="shared" si="647"/>
        <v>1</v>
      </c>
      <c r="S108" s="97">
        <f t="shared" si="647"/>
        <v>6</v>
      </c>
      <c r="T108" s="97">
        <f t="shared" si="647"/>
        <v>10</v>
      </c>
      <c r="U108" s="103">
        <f t="shared" si="648"/>
        <v>20</v>
      </c>
      <c r="V108" s="158">
        <f t="shared" si="557"/>
        <v>1</v>
      </c>
      <c r="W108" s="97">
        <f t="shared" ref="W108:Y108" si="649">RANDBETWEEN(0,2)</f>
        <v>1</v>
      </c>
      <c r="X108" s="97">
        <f t="shared" si="649"/>
        <v>0</v>
      </c>
      <c r="Y108" s="97">
        <f t="shared" si="649"/>
        <v>0</v>
      </c>
      <c r="Z108" s="105">
        <f t="shared" si="566"/>
        <v>3</v>
      </c>
      <c r="AA108" s="106">
        <f t="shared" ref="AA108:AF108" si="650">RANDBETWEEN(0,2)</f>
        <v>1</v>
      </c>
      <c r="AB108" s="106">
        <f t="shared" si="650"/>
        <v>2</v>
      </c>
      <c r="AC108" s="107">
        <f t="shared" si="650"/>
        <v>1</v>
      </c>
      <c r="AD108" s="108">
        <f t="shared" si="650"/>
        <v>1</v>
      </c>
      <c r="AE108" s="108">
        <f t="shared" si="650"/>
        <v>1</v>
      </c>
      <c r="AF108" s="108">
        <f t="shared" si="650"/>
        <v>1</v>
      </c>
      <c r="AG108" s="86">
        <f t="shared" si="527"/>
        <v>4</v>
      </c>
      <c r="AH108" s="107">
        <f t="shared" ref="AH108:AJ108" si="651">RANDBETWEEN(1,10)</f>
        <v>7</v>
      </c>
      <c r="AI108" s="108">
        <f t="shared" si="651"/>
        <v>1</v>
      </c>
      <c r="AJ108" s="108">
        <f t="shared" si="651"/>
        <v>1</v>
      </c>
      <c r="AK108" s="192">
        <f t="shared" si="529"/>
        <v>9</v>
      </c>
      <c r="AL108" s="107"/>
      <c r="AM108" s="108"/>
      <c r="AN108" s="108"/>
      <c r="AO108" s="108"/>
      <c r="AP108" s="89"/>
      <c r="AQ108" s="107"/>
      <c r="AR108" s="108"/>
      <c r="AS108" s="108"/>
      <c r="AT108" s="193"/>
      <c r="AU108" s="107"/>
      <c r="AV108" s="108"/>
      <c r="AW108" s="108"/>
      <c r="AX108" s="194"/>
      <c r="AY108" s="92">
        <f t="shared" ref="AY108:AZ108" si="652">RANDBETWEEN(1,10)/10</f>
        <v>0.2</v>
      </c>
      <c r="AZ108" s="92">
        <f t="shared" si="652"/>
        <v>0.3</v>
      </c>
      <c r="BA108" s="93">
        <v>0.0</v>
      </c>
      <c r="BB108" s="93">
        <v>0.0</v>
      </c>
      <c r="BC108" s="94">
        <f>SUM(BC80,'ГОЧ'!$AY108)</f>
        <v>1201.4</v>
      </c>
      <c r="BD108" s="94">
        <f>SUM(BD80,'ГОЧ'!$AZ108)</f>
        <v>1200.9</v>
      </c>
      <c r="BE108" s="108"/>
      <c r="BF108" s="108"/>
    </row>
    <row r="109" ht="15.75" customHeight="1">
      <c r="A109" s="67">
        <f t="shared" si="517"/>
        <v>46257</v>
      </c>
      <c r="B109" s="138" t="s">
        <v>57</v>
      </c>
      <c r="C109" s="157">
        <f t="shared" si="518"/>
        <v>0</v>
      </c>
      <c r="D109" s="97">
        <f t="shared" ref="D109:L109" si="653">RANDBETWEEN(0,2)</f>
        <v>0</v>
      </c>
      <c r="E109" s="97">
        <f t="shared" si="653"/>
        <v>2</v>
      </c>
      <c r="F109" s="97">
        <f t="shared" si="653"/>
        <v>0</v>
      </c>
      <c r="G109" s="97">
        <f t="shared" si="653"/>
        <v>1</v>
      </c>
      <c r="H109" s="98">
        <f t="shared" si="653"/>
        <v>2</v>
      </c>
      <c r="I109" s="99">
        <f t="shared" si="653"/>
        <v>1</v>
      </c>
      <c r="J109" s="100">
        <f t="shared" si="653"/>
        <v>2</v>
      </c>
      <c r="K109" s="101">
        <f t="shared" si="653"/>
        <v>1</v>
      </c>
      <c r="L109" s="101">
        <f t="shared" si="653"/>
        <v>2</v>
      </c>
      <c r="M109" s="140">
        <f t="shared" si="646"/>
        <v>29</v>
      </c>
      <c r="N109" s="97">
        <f t="shared" ref="N109:T109" si="654">RANDBETWEEN(0,10)</f>
        <v>4</v>
      </c>
      <c r="O109" s="97">
        <f t="shared" si="654"/>
        <v>5</v>
      </c>
      <c r="P109" s="97">
        <f t="shared" si="654"/>
        <v>5</v>
      </c>
      <c r="Q109" s="97">
        <f t="shared" si="654"/>
        <v>1</v>
      </c>
      <c r="R109" s="97">
        <f t="shared" si="654"/>
        <v>3</v>
      </c>
      <c r="S109" s="97">
        <f t="shared" si="654"/>
        <v>10</v>
      </c>
      <c r="T109" s="97">
        <f t="shared" si="654"/>
        <v>1</v>
      </c>
      <c r="U109" s="103">
        <f t="shared" si="648"/>
        <v>24</v>
      </c>
      <c r="V109" s="158">
        <f t="shared" si="557"/>
        <v>3</v>
      </c>
      <c r="W109" s="97">
        <f t="shared" ref="W109:Y109" si="655">RANDBETWEEN(0,2)</f>
        <v>2</v>
      </c>
      <c r="X109" s="97">
        <f t="shared" si="655"/>
        <v>1</v>
      </c>
      <c r="Y109" s="97">
        <f t="shared" si="655"/>
        <v>0</v>
      </c>
      <c r="Z109" s="105">
        <f t="shared" si="566"/>
        <v>0</v>
      </c>
      <c r="AA109" s="143">
        <f t="shared" ref="AA109:AF109" si="656">RANDBETWEEN(0,2)</f>
        <v>0</v>
      </c>
      <c r="AB109" s="143">
        <f t="shared" si="656"/>
        <v>0</v>
      </c>
      <c r="AC109" s="144">
        <f t="shared" si="656"/>
        <v>0</v>
      </c>
      <c r="AD109" s="145">
        <f t="shared" si="656"/>
        <v>2</v>
      </c>
      <c r="AE109" s="145">
        <f t="shared" si="656"/>
        <v>0</v>
      </c>
      <c r="AF109" s="145">
        <f t="shared" si="656"/>
        <v>0</v>
      </c>
      <c r="AG109" s="86">
        <f t="shared" si="527"/>
        <v>2</v>
      </c>
      <c r="AH109" s="144">
        <f t="shared" ref="AH109:AJ109" si="657">RANDBETWEEN(1,10)</f>
        <v>7</v>
      </c>
      <c r="AI109" s="145">
        <f t="shared" si="657"/>
        <v>2</v>
      </c>
      <c r="AJ109" s="145">
        <f t="shared" si="657"/>
        <v>7</v>
      </c>
      <c r="AK109" s="192">
        <f t="shared" si="529"/>
        <v>16</v>
      </c>
      <c r="AL109" s="144"/>
      <c r="AM109" s="145"/>
      <c r="AN109" s="145"/>
      <c r="AO109" s="145"/>
      <c r="AP109" s="89"/>
      <c r="AQ109" s="144"/>
      <c r="AR109" s="145"/>
      <c r="AS109" s="145"/>
      <c r="AT109" s="193"/>
      <c r="AU109" s="144"/>
      <c r="AV109" s="145"/>
      <c r="AW109" s="145"/>
      <c r="AX109" s="194"/>
      <c r="AY109" s="92">
        <f t="shared" ref="AY109:AZ109" si="658">RANDBETWEEN(1,10)/10</f>
        <v>1</v>
      </c>
      <c r="AZ109" s="92">
        <f t="shared" si="658"/>
        <v>0.9</v>
      </c>
      <c r="BA109" s="93">
        <v>0.0</v>
      </c>
      <c r="BB109" s="93">
        <v>0.0</v>
      </c>
      <c r="BC109" s="94">
        <f>SUM(BC81,'ГОЧ'!$AY109)</f>
        <v>1202.3</v>
      </c>
      <c r="BD109" s="94">
        <f>SUM(BD81,'ГОЧ'!$AZ109)</f>
        <v>1202.2</v>
      </c>
      <c r="BE109" s="108"/>
      <c r="BF109" s="108"/>
    </row>
    <row r="110" ht="15.75" customHeight="1">
      <c r="A110" s="67">
        <f t="shared" si="517"/>
        <v>46257</v>
      </c>
      <c r="B110" s="138" t="s">
        <v>60</v>
      </c>
      <c r="C110" s="157">
        <f t="shared" si="518"/>
        <v>3</v>
      </c>
      <c r="D110" s="97">
        <f t="shared" ref="D110:L110" si="659">RANDBETWEEN(0,2)</f>
        <v>1</v>
      </c>
      <c r="E110" s="97">
        <f t="shared" si="659"/>
        <v>0</v>
      </c>
      <c r="F110" s="97">
        <f t="shared" si="659"/>
        <v>2</v>
      </c>
      <c r="G110" s="97">
        <f t="shared" si="659"/>
        <v>1</v>
      </c>
      <c r="H110" s="98">
        <f t="shared" si="659"/>
        <v>1</v>
      </c>
      <c r="I110" s="99">
        <f t="shared" si="659"/>
        <v>2</v>
      </c>
      <c r="J110" s="100">
        <f t="shared" si="659"/>
        <v>2</v>
      </c>
      <c r="K110" s="101">
        <f t="shared" si="659"/>
        <v>1</v>
      </c>
      <c r="L110" s="101">
        <f t="shared" si="659"/>
        <v>2</v>
      </c>
      <c r="M110" s="140">
        <f t="shared" si="646"/>
        <v>42</v>
      </c>
      <c r="N110" s="97">
        <f t="shared" ref="N110:T110" si="660">RANDBETWEEN(0,10)</f>
        <v>4</v>
      </c>
      <c r="O110" s="97">
        <f t="shared" si="660"/>
        <v>8</v>
      </c>
      <c r="P110" s="97">
        <f t="shared" si="660"/>
        <v>5</v>
      </c>
      <c r="Q110" s="97">
        <f t="shared" si="660"/>
        <v>7</v>
      </c>
      <c r="R110" s="97">
        <f t="shared" si="660"/>
        <v>7</v>
      </c>
      <c r="S110" s="97">
        <f t="shared" si="660"/>
        <v>4</v>
      </c>
      <c r="T110" s="97">
        <f t="shared" si="660"/>
        <v>7</v>
      </c>
      <c r="U110" s="103">
        <f t="shared" si="648"/>
        <v>27</v>
      </c>
      <c r="V110" s="158">
        <f t="shared" si="557"/>
        <v>2</v>
      </c>
      <c r="W110" s="97">
        <f t="shared" ref="W110:Y110" si="661">RANDBETWEEN(0,2)</f>
        <v>1</v>
      </c>
      <c r="X110" s="97">
        <f t="shared" si="661"/>
        <v>0</v>
      </c>
      <c r="Y110" s="97">
        <f t="shared" si="661"/>
        <v>1</v>
      </c>
      <c r="Z110" s="105">
        <f t="shared" si="566"/>
        <v>1</v>
      </c>
      <c r="AA110" s="106">
        <f t="shared" ref="AA110:AF110" si="662">RANDBETWEEN(0,2)</f>
        <v>0</v>
      </c>
      <c r="AB110" s="106">
        <f t="shared" si="662"/>
        <v>1</v>
      </c>
      <c r="AC110" s="107">
        <f t="shared" si="662"/>
        <v>2</v>
      </c>
      <c r="AD110" s="108">
        <f t="shared" si="662"/>
        <v>1</v>
      </c>
      <c r="AE110" s="108">
        <f t="shared" si="662"/>
        <v>2</v>
      </c>
      <c r="AF110" s="108">
        <f t="shared" si="662"/>
        <v>0</v>
      </c>
      <c r="AG110" s="86">
        <f t="shared" si="527"/>
        <v>5</v>
      </c>
      <c r="AH110" s="107">
        <f t="shared" ref="AH110:AJ110" si="663">RANDBETWEEN(1,10)</f>
        <v>10</v>
      </c>
      <c r="AI110" s="108">
        <f t="shared" si="663"/>
        <v>3</v>
      </c>
      <c r="AJ110" s="108">
        <f t="shared" si="663"/>
        <v>10</v>
      </c>
      <c r="AK110" s="192">
        <f t="shared" si="529"/>
        <v>23</v>
      </c>
      <c r="AL110" s="107"/>
      <c r="AM110" s="108"/>
      <c r="AN110" s="108"/>
      <c r="AO110" s="108"/>
      <c r="AP110" s="89"/>
      <c r="AQ110" s="107"/>
      <c r="AR110" s="108"/>
      <c r="AS110" s="108"/>
      <c r="AT110" s="193"/>
      <c r="AU110" s="107"/>
      <c r="AV110" s="108"/>
      <c r="AW110" s="108"/>
      <c r="AX110" s="194"/>
      <c r="AY110" s="92">
        <f t="shared" ref="AY110:AZ110" si="664">RANDBETWEEN(1,10)/10</f>
        <v>0.3</v>
      </c>
      <c r="AZ110" s="92">
        <f t="shared" si="664"/>
        <v>0.1</v>
      </c>
      <c r="BA110" s="93">
        <v>0.0</v>
      </c>
      <c r="BB110" s="93">
        <v>0.0</v>
      </c>
      <c r="BC110" s="94">
        <f>SUM(BC82,'ГОЧ'!$AY110)</f>
        <v>1201.2</v>
      </c>
      <c r="BD110" s="94">
        <f>SUM(BD82,'ГОЧ'!$AZ110)</f>
        <v>1201.6</v>
      </c>
      <c r="BE110" s="108"/>
      <c r="BF110" s="108"/>
    </row>
    <row r="111" ht="15.75" customHeight="1">
      <c r="A111" s="67">
        <f t="shared" si="517"/>
        <v>46257</v>
      </c>
      <c r="B111" s="195" t="s">
        <v>64</v>
      </c>
      <c r="C111" s="157">
        <f t="shared" si="518"/>
        <v>2</v>
      </c>
      <c r="D111" s="97">
        <f t="shared" ref="D111:L111" si="665">RANDBETWEEN(0,2)</f>
        <v>0</v>
      </c>
      <c r="E111" s="97">
        <f t="shared" si="665"/>
        <v>0</v>
      </c>
      <c r="F111" s="97">
        <f t="shared" si="665"/>
        <v>2</v>
      </c>
      <c r="G111" s="97">
        <f t="shared" si="665"/>
        <v>0</v>
      </c>
      <c r="H111" s="98">
        <f t="shared" si="665"/>
        <v>1</v>
      </c>
      <c r="I111" s="99">
        <f t="shared" si="665"/>
        <v>0</v>
      </c>
      <c r="J111" s="100">
        <f t="shared" si="665"/>
        <v>0</v>
      </c>
      <c r="K111" s="101">
        <f t="shared" si="665"/>
        <v>1</v>
      </c>
      <c r="L111" s="101">
        <f t="shared" si="665"/>
        <v>0</v>
      </c>
      <c r="M111" s="140">
        <f t="shared" si="646"/>
        <v>29</v>
      </c>
      <c r="N111" s="97">
        <f t="shared" ref="N111:T111" si="666">RANDBETWEEN(0,10)</f>
        <v>3</v>
      </c>
      <c r="O111" s="97">
        <f t="shared" si="666"/>
        <v>3</v>
      </c>
      <c r="P111" s="97">
        <f t="shared" si="666"/>
        <v>6</v>
      </c>
      <c r="Q111" s="97">
        <f t="shared" si="666"/>
        <v>6</v>
      </c>
      <c r="R111" s="97">
        <f t="shared" si="666"/>
        <v>4</v>
      </c>
      <c r="S111" s="97">
        <f t="shared" si="666"/>
        <v>5</v>
      </c>
      <c r="T111" s="97">
        <f t="shared" si="666"/>
        <v>2</v>
      </c>
      <c r="U111" s="103">
        <f t="shared" si="648"/>
        <v>19</v>
      </c>
      <c r="V111" s="158">
        <f t="shared" si="557"/>
        <v>4</v>
      </c>
      <c r="W111" s="97">
        <f t="shared" ref="W111:Y111" si="667">RANDBETWEEN(0,2)</f>
        <v>0</v>
      </c>
      <c r="X111" s="97">
        <f t="shared" si="667"/>
        <v>2</v>
      </c>
      <c r="Y111" s="97">
        <f t="shared" si="667"/>
        <v>2</v>
      </c>
      <c r="Z111" s="105">
        <f t="shared" si="566"/>
        <v>2</v>
      </c>
      <c r="AA111" s="143">
        <f t="shared" ref="AA111:AF111" si="668">RANDBETWEEN(0,2)</f>
        <v>1</v>
      </c>
      <c r="AB111" s="143">
        <f t="shared" si="668"/>
        <v>1</v>
      </c>
      <c r="AC111" s="144">
        <f t="shared" si="668"/>
        <v>1</v>
      </c>
      <c r="AD111" s="145">
        <f t="shared" si="668"/>
        <v>1</v>
      </c>
      <c r="AE111" s="145">
        <f t="shared" si="668"/>
        <v>2</v>
      </c>
      <c r="AF111" s="145">
        <f t="shared" si="668"/>
        <v>2</v>
      </c>
      <c r="AG111" s="86">
        <f t="shared" si="527"/>
        <v>6</v>
      </c>
      <c r="AH111" s="144">
        <f t="shared" ref="AH111:AJ111" si="669">RANDBETWEEN(1,10)</f>
        <v>1</v>
      </c>
      <c r="AI111" s="145">
        <f t="shared" si="669"/>
        <v>8</v>
      </c>
      <c r="AJ111" s="145">
        <f t="shared" si="669"/>
        <v>2</v>
      </c>
      <c r="AK111" s="192">
        <f t="shared" si="529"/>
        <v>11</v>
      </c>
      <c r="AL111" s="144"/>
      <c r="AM111" s="145"/>
      <c r="AN111" s="145"/>
      <c r="AO111" s="145"/>
      <c r="AP111" s="89"/>
      <c r="AQ111" s="144"/>
      <c r="AR111" s="145"/>
      <c r="AS111" s="145"/>
      <c r="AT111" s="193"/>
      <c r="AU111" s="144"/>
      <c r="AV111" s="145"/>
      <c r="AW111" s="145"/>
      <c r="AX111" s="194"/>
      <c r="AY111" s="92">
        <f t="shared" ref="AY111:AZ111" si="670">RANDBETWEEN(1,10)/10</f>
        <v>0.5</v>
      </c>
      <c r="AZ111" s="92">
        <f t="shared" si="670"/>
        <v>0.1</v>
      </c>
      <c r="BA111" s="93">
        <v>0.0</v>
      </c>
      <c r="BB111" s="93">
        <v>0.0</v>
      </c>
      <c r="BC111" s="94">
        <f>SUM(BC83,'ГОЧ'!$AY111)</f>
        <v>1201.8</v>
      </c>
      <c r="BD111" s="94">
        <f>SUM(BD83,'ГОЧ'!$AZ111)</f>
        <v>1201.2</v>
      </c>
      <c r="BE111" s="108"/>
      <c r="BF111" s="108"/>
    </row>
    <row r="112" ht="15.75" customHeight="1">
      <c r="A112" s="67">
        <f t="shared" si="517"/>
        <v>46257</v>
      </c>
      <c r="B112" s="201" t="s">
        <v>67</v>
      </c>
      <c r="C112" s="164">
        <f t="shared" si="518"/>
        <v>9</v>
      </c>
      <c r="D112" s="164">
        <f t="shared" ref="D112:L112" si="671">SUM(D107:D111)</f>
        <v>2</v>
      </c>
      <c r="E112" s="165">
        <f t="shared" si="671"/>
        <v>2</v>
      </c>
      <c r="F112" s="165">
        <f t="shared" si="671"/>
        <v>7</v>
      </c>
      <c r="G112" s="165">
        <f t="shared" si="671"/>
        <v>6</v>
      </c>
      <c r="H112" s="165">
        <f t="shared" si="671"/>
        <v>6</v>
      </c>
      <c r="I112" s="165">
        <f t="shared" si="671"/>
        <v>6</v>
      </c>
      <c r="J112" s="165">
        <f t="shared" si="671"/>
        <v>8</v>
      </c>
      <c r="K112" s="165">
        <f t="shared" si="671"/>
        <v>4</v>
      </c>
      <c r="L112" s="165">
        <f t="shared" si="671"/>
        <v>6</v>
      </c>
      <c r="M112" s="164">
        <f t="shared" si="646"/>
        <v>165</v>
      </c>
      <c r="N112" s="164">
        <f t="shared" ref="N112:U112" si="672">SUM(N107:N111)</f>
        <v>17</v>
      </c>
      <c r="O112" s="165">
        <f t="shared" si="672"/>
        <v>25</v>
      </c>
      <c r="P112" s="165">
        <f t="shared" si="672"/>
        <v>27</v>
      </c>
      <c r="Q112" s="165">
        <f t="shared" si="672"/>
        <v>24</v>
      </c>
      <c r="R112" s="165">
        <f t="shared" si="672"/>
        <v>17</v>
      </c>
      <c r="S112" s="165">
        <f t="shared" si="672"/>
        <v>28</v>
      </c>
      <c r="T112" s="165">
        <f t="shared" si="672"/>
        <v>27</v>
      </c>
      <c r="U112" s="164">
        <f t="shared" si="672"/>
        <v>111</v>
      </c>
      <c r="V112" s="164">
        <f t="shared" si="557"/>
        <v>14</v>
      </c>
      <c r="W112" s="165">
        <f t="shared" ref="W112:Y112" si="673">SUM(W107:W111)</f>
        <v>5</v>
      </c>
      <c r="X112" s="165">
        <f t="shared" si="673"/>
        <v>4</v>
      </c>
      <c r="Y112" s="165">
        <f t="shared" si="673"/>
        <v>5</v>
      </c>
      <c r="Z112" s="164">
        <f>SUM(AA112:AB112)</f>
        <v>10</v>
      </c>
      <c r="AA112" s="164">
        <f t="shared" ref="AA112:AF112" si="674">SUM(AA107:AA111)</f>
        <v>4</v>
      </c>
      <c r="AB112" s="165">
        <f t="shared" si="674"/>
        <v>6</v>
      </c>
      <c r="AC112" s="166">
        <f t="shared" si="674"/>
        <v>5</v>
      </c>
      <c r="AD112" s="166">
        <f t="shared" si="674"/>
        <v>7</v>
      </c>
      <c r="AE112" s="166">
        <f t="shared" si="674"/>
        <v>6</v>
      </c>
      <c r="AF112" s="166">
        <f t="shared" si="674"/>
        <v>5</v>
      </c>
      <c r="AG112" s="168">
        <f t="shared" si="527"/>
        <v>23</v>
      </c>
      <c r="AH112" s="166">
        <f t="shared" ref="AH112:AJ112" si="675">SUM(AH107:AH111)</f>
        <v>31</v>
      </c>
      <c r="AI112" s="167">
        <f t="shared" si="675"/>
        <v>15</v>
      </c>
      <c r="AJ112" s="167">
        <f t="shared" si="675"/>
        <v>21</v>
      </c>
      <c r="AK112" s="168">
        <f t="shared" si="529"/>
        <v>67</v>
      </c>
      <c r="AL112" s="166"/>
      <c r="AM112" s="166"/>
      <c r="AN112" s="166"/>
      <c r="AO112" s="166"/>
      <c r="AP112" s="169"/>
      <c r="AQ112" s="166"/>
      <c r="AR112" s="167"/>
      <c r="AS112" s="167"/>
      <c r="AT112" s="170"/>
      <c r="AU112" s="166"/>
      <c r="AV112" s="167"/>
      <c r="AW112" s="167"/>
      <c r="AX112" s="171"/>
      <c r="AY112" s="196">
        <f t="shared" ref="AY112:BD112" si="676">SUM(AY107:AY111)</f>
        <v>2.5</v>
      </c>
      <c r="AZ112" s="196">
        <f t="shared" si="676"/>
        <v>2.3</v>
      </c>
      <c r="BA112" s="167">
        <f t="shared" si="676"/>
        <v>0</v>
      </c>
      <c r="BB112" s="167">
        <f t="shared" si="676"/>
        <v>0</v>
      </c>
      <c r="BC112" s="197">
        <f t="shared" si="676"/>
        <v>6007.8</v>
      </c>
      <c r="BD112" s="197">
        <f t="shared" si="676"/>
        <v>6008</v>
      </c>
      <c r="BE112" s="154" t="str">
        <f t="shared" ref="BE112:BF112" si="677">TEXTJOIN(", ",TRUE,BE107:BE111)</f>
        <v/>
      </c>
      <c r="BF112" s="154" t="str">
        <f t="shared" si="677"/>
        <v/>
      </c>
    </row>
    <row r="113" ht="15.75" customHeight="1">
      <c r="A113" s="67">
        <f t="shared" si="517"/>
        <v>46257</v>
      </c>
      <c r="B113" s="202" t="s">
        <v>72</v>
      </c>
      <c r="C113" s="203">
        <f t="shared" ref="C113:AK113" si="678">SUM(C87+C88+C89+C93,C92,C99,C106,C112)</f>
        <v>38</v>
      </c>
      <c r="D113" s="203">
        <f t="shared" si="678"/>
        <v>17</v>
      </c>
      <c r="E113" s="203">
        <f t="shared" si="678"/>
        <v>20</v>
      </c>
      <c r="F113" s="203">
        <f t="shared" si="678"/>
        <v>21</v>
      </c>
      <c r="G113" s="203">
        <f t="shared" si="678"/>
        <v>29</v>
      </c>
      <c r="H113" s="203">
        <f t="shared" si="678"/>
        <v>19</v>
      </c>
      <c r="I113" s="203">
        <f t="shared" si="678"/>
        <v>19</v>
      </c>
      <c r="J113" s="203">
        <f t="shared" si="678"/>
        <v>23</v>
      </c>
      <c r="K113" s="203">
        <f t="shared" si="678"/>
        <v>21</v>
      </c>
      <c r="L113" s="203">
        <f t="shared" si="678"/>
        <v>24</v>
      </c>
      <c r="M113" s="203">
        <f t="shared" si="678"/>
        <v>652</v>
      </c>
      <c r="N113" s="203">
        <f t="shared" si="678"/>
        <v>91</v>
      </c>
      <c r="O113" s="203">
        <f t="shared" si="678"/>
        <v>70</v>
      </c>
      <c r="P113" s="203">
        <f t="shared" si="678"/>
        <v>88</v>
      </c>
      <c r="Q113" s="203">
        <f t="shared" si="678"/>
        <v>105</v>
      </c>
      <c r="R113" s="203">
        <f t="shared" si="678"/>
        <v>83</v>
      </c>
      <c r="S113" s="203">
        <f t="shared" si="678"/>
        <v>94</v>
      </c>
      <c r="T113" s="203">
        <f t="shared" si="678"/>
        <v>121</v>
      </c>
      <c r="U113" s="203">
        <f t="shared" si="678"/>
        <v>360</v>
      </c>
      <c r="V113" s="203">
        <f t="shared" si="678"/>
        <v>66</v>
      </c>
      <c r="W113" s="203">
        <f t="shared" si="678"/>
        <v>20</v>
      </c>
      <c r="X113" s="203">
        <f t="shared" si="678"/>
        <v>28</v>
      </c>
      <c r="Y113" s="203">
        <f t="shared" si="678"/>
        <v>18</v>
      </c>
      <c r="Z113" s="203">
        <f t="shared" si="678"/>
        <v>46</v>
      </c>
      <c r="AA113" s="203">
        <f t="shared" si="678"/>
        <v>23</v>
      </c>
      <c r="AB113" s="203">
        <f t="shared" si="678"/>
        <v>23</v>
      </c>
      <c r="AC113" s="204">
        <f t="shared" si="678"/>
        <v>20</v>
      </c>
      <c r="AD113" s="204">
        <f t="shared" si="678"/>
        <v>25</v>
      </c>
      <c r="AE113" s="204">
        <f t="shared" si="678"/>
        <v>15</v>
      </c>
      <c r="AF113" s="204">
        <f t="shared" si="678"/>
        <v>19</v>
      </c>
      <c r="AG113" s="204">
        <f t="shared" si="678"/>
        <v>79</v>
      </c>
      <c r="AH113" s="204">
        <f t="shared" si="678"/>
        <v>117</v>
      </c>
      <c r="AI113" s="204">
        <f t="shared" si="678"/>
        <v>108</v>
      </c>
      <c r="AJ113" s="204">
        <f t="shared" si="678"/>
        <v>108</v>
      </c>
      <c r="AK113" s="204">
        <f t="shared" si="678"/>
        <v>333</v>
      </c>
      <c r="AL113" s="204"/>
      <c r="AM113" s="204"/>
      <c r="AN113" s="204"/>
      <c r="AO113" s="204"/>
      <c r="AP113" s="151"/>
      <c r="AQ113" s="204"/>
      <c r="AR113" s="204"/>
      <c r="AS113" s="204"/>
      <c r="AT113" s="152"/>
      <c r="AU113" s="204"/>
      <c r="AV113" s="204"/>
      <c r="AW113" s="204"/>
      <c r="AX113" s="153"/>
      <c r="AY113" s="205">
        <f t="shared" ref="AY113:BD113" si="679">SUM(AY87+AY88+AY89+AY93,AY92,AY99,AY106,AY112)</f>
        <v>21</v>
      </c>
      <c r="AZ113" s="205">
        <f t="shared" si="679"/>
        <v>19.7</v>
      </c>
      <c r="BA113" s="206">
        <f t="shared" si="679"/>
        <v>5</v>
      </c>
      <c r="BB113" s="206">
        <f t="shared" si="679"/>
        <v>3</v>
      </c>
      <c r="BC113" s="207">
        <f t="shared" si="679"/>
        <v>26438</v>
      </c>
      <c r="BD113" s="207">
        <f t="shared" si="679"/>
        <v>26441.1</v>
      </c>
      <c r="BE113" s="154" t="str">
        <f t="shared" ref="BE113:BF113" si="680">TEXTJOIN(", ",TRUE,BE112,BE106,BE99,BE93,BE92,BE89,BE88,BE87)</f>
        <v>Олександівка, Пантелеймонівка, Миколаївка, Курськ, Рильск</v>
      </c>
      <c r="BF113" s="154" t="str">
        <f t="shared" si="680"/>
        <v>Загреблі, Верхні води, Ступочки</v>
      </c>
    </row>
    <row r="114" ht="15.75" customHeight="1">
      <c r="A114" s="55">
        <f>A113+1</f>
        <v>46258</v>
      </c>
      <c r="B114" s="56"/>
      <c r="C114" s="57"/>
      <c r="D114" s="58"/>
      <c r="E114" s="59"/>
      <c r="F114" s="58"/>
      <c r="G114" s="59"/>
      <c r="H114" s="57"/>
      <c r="I114" s="60"/>
      <c r="J114" s="57"/>
      <c r="K114" s="57"/>
      <c r="L114" s="57"/>
      <c r="M114" s="57"/>
      <c r="N114" s="60"/>
      <c r="O114" s="60"/>
      <c r="P114" s="60"/>
      <c r="Q114" s="60"/>
      <c r="R114" s="60"/>
      <c r="S114" s="60"/>
      <c r="T114" s="60"/>
      <c r="U114" s="57"/>
      <c r="V114" s="58"/>
      <c r="W114" s="61"/>
      <c r="X114" s="61"/>
      <c r="Y114" s="61"/>
      <c r="Z114" s="57"/>
      <c r="AA114" s="60"/>
      <c r="AB114" s="60"/>
      <c r="AC114" s="62"/>
      <c r="AD114" s="62"/>
      <c r="AE114" s="62"/>
      <c r="AF114" s="62"/>
      <c r="AG114" s="62"/>
      <c r="AH114" s="62"/>
      <c r="AI114" s="62"/>
      <c r="AJ114" s="62"/>
      <c r="AK114" s="62"/>
      <c r="AL114" s="62"/>
      <c r="AM114" s="62"/>
      <c r="AN114" s="62"/>
      <c r="AO114" s="62"/>
      <c r="AP114" s="64"/>
      <c r="AQ114" s="62"/>
      <c r="AR114" s="62"/>
      <c r="AS114" s="62"/>
      <c r="AT114" s="65"/>
      <c r="AU114" s="62"/>
      <c r="AV114" s="62"/>
      <c r="AW114" s="62"/>
      <c r="AX114" s="66"/>
      <c r="AY114" s="208"/>
      <c r="AZ114" s="208"/>
      <c r="BA114" s="62"/>
      <c r="BB114" s="62"/>
      <c r="BC114" s="209"/>
      <c r="BD114" s="209"/>
      <c r="BE114" s="62"/>
      <c r="BF114" s="62"/>
    </row>
    <row r="115" ht="15.75" customHeight="1">
      <c r="A115" s="67">
        <f t="shared" ref="A115:A141" si="687">A114</f>
        <v>46258</v>
      </c>
      <c r="B115" s="70" t="s">
        <v>8</v>
      </c>
      <c r="C115" s="72">
        <f t="shared" ref="C115:C140" si="688">SUM(D115,F115)</f>
        <v>1</v>
      </c>
      <c r="D115" s="74">
        <f t="shared" ref="D115:L115" si="681">RANDBETWEEN(0,2)</f>
        <v>0</v>
      </c>
      <c r="E115" s="74">
        <f t="shared" si="681"/>
        <v>0</v>
      </c>
      <c r="F115" s="74">
        <f t="shared" si="681"/>
        <v>1</v>
      </c>
      <c r="G115" s="74">
        <f t="shared" si="681"/>
        <v>1</v>
      </c>
      <c r="H115" s="75">
        <f t="shared" si="681"/>
        <v>1</v>
      </c>
      <c r="I115" s="76">
        <f t="shared" si="681"/>
        <v>2</v>
      </c>
      <c r="J115" s="77">
        <f t="shared" si="681"/>
        <v>1</v>
      </c>
      <c r="K115" s="78">
        <f t="shared" si="681"/>
        <v>1</v>
      </c>
      <c r="L115" s="78">
        <f t="shared" si="681"/>
        <v>0</v>
      </c>
      <c r="M115" s="79">
        <f t="shared" ref="M115:M133" si="690">SUM(N115:T115)</f>
        <v>42</v>
      </c>
      <c r="N115" s="74">
        <f t="shared" ref="N115:T115" si="682">RANDBETWEEN(0,10)</f>
        <v>5</v>
      </c>
      <c r="O115" s="74">
        <f t="shared" si="682"/>
        <v>5</v>
      </c>
      <c r="P115" s="74">
        <f t="shared" si="682"/>
        <v>2</v>
      </c>
      <c r="Q115" s="74">
        <f t="shared" si="682"/>
        <v>10</v>
      </c>
      <c r="R115" s="74">
        <f t="shared" si="682"/>
        <v>8</v>
      </c>
      <c r="S115" s="74">
        <f t="shared" si="682"/>
        <v>4</v>
      </c>
      <c r="T115" s="74">
        <f t="shared" si="682"/>
        <v>8</v>
      </c>
      <c r="U115" s="81">
        <f t="shared" ref="U115:U116" si="692">RANDBETWEEN(10,30)</f>
        <v>25</v>
      </c>
      <c r="V115" s="82">
        <f t="shared" ref="V115:V120" si="693">SUM(W115:Y115)</f>
        <v>5</v>
      </c>
      <c r="W115" s="74">
        <f t="shared" ref="W115:Y115" si="683">RANDBETWEEN(0,2)</f>
        <v>2</v>
      </c>
      <c r="X115" s="74">
        <f t="shared" si="683"/>
        <v>2</v>
      </c>
      <c r="Y115" s="74">
        <f t="shared" si="683"/>
        <v>1</v>
      </c>
      <c r="Z115" s="83">
        <f t="shared" ref="Z115:Z117" si="695">AA115+AB115</f>
        <v>3</v>
      </c>
      <c r="AA115" s="84">
        <f t="shared" ref="AA115:AF115" si="684">RANDBETWEEN(0,2)</f>
        <v>1</v>
      </c>
      <c r="AB115" s="84">
        <f t="shared" si="684"/>
        <v>2</v>
      </c>
      <c r="AC115" s="85">
        <f t="shared" si="684"/>
        <v>0</v>
      </c>
      <c r="AD115" s="85">
        <f t="shared" si="684"/>
        <v>1</v>
      </c>
      <c r="AE115" s="85">
        <f t="shared" si="684"/>
        <v>1</v>
      </c>
      <c r="AF115" s="85">
        <f t="shared" si="684"/>
        <v>1</v>
      </c>
      <c r="AG115" s="86">
        <f t="shared" ref="AG115:AG140" si="697">SUM(AC115:AF115)</f>
        <v>3</v>
      </c>
      <c r="AH115" s="87">
        <f t="shared" ref="AH115:AJ115" si="685">RANDBETWEEN(1,10)</f>
        <v>4</v>
      </c>
      <c r="AI115" s="85">
        <f t="shared" si="685"/>
        <v>8</v>
      </c>
      <c r="AJ115" s="85">
        <f t="shared" si="685"/>
        <v>5</v>
      </c>
      <c r="AK115" s="88">
        <f t="shared" ref="AK115:AK140" si="699">SUM(AH115:AJ115)</f>
        <v>17</v>
      </c>
      <c r="AL115" s="85"/>
      <c r="AM115" s="85"/>
      <c r="AN115" s="85"/>
      <c r="AO115" s="85"/>
      <c r="AP115" s="89"/>
      <c r="AQ115" s="87"/>
      <c r="AR115" s="85"/>
      <c r="AS115" s="85"/>
      <c r="AT115" s="90"/>
      <c r="AU115" s="87"/>
      <c r="AV115" s="85"/>
      <c r="AW115" s="85"/>
      <c r="AX115" s="91"/>
      <c r="AY115" s="92">
        <f t="shared" ref="AY115:AZ115" si="686">RANDBETWEEN(1,10)/10</f>
        <v>0.9</v>
      </c>
      <c r="AZ115" s="92">
        <f t="shared" si="686"/>
        <v>0.9</v>
      </c>
      <c r="BA115" s="93">
        <v>0.0</v>
      </c>
      <c r="BB115" s="93">
        <v>0.0</v>
      </c>
      <c r="BC115" s="94">
        <f>SUM(BC87,'ГОЧ'!$AY115)</f>
        <v>1203.2</v>
      </c>
      <c r="BD115" s="94">
        <f>SUM(BD87,'ГОЧ'!$AZ115)</f>
        <v>1203.2</v>
      </c>
      <c r="BE115" s="85"/>
      <c r="BF115" s="85"/>
    </row>
    <row r="116" ht="15.75" customHeight="1">
      <c r="A116" s="67">
        <f t="shared" si="687"/>
        <v>46258</v>
      </c>
      <c r="B116" s="95" t="s">
        <v>10</v>
      </c>
      <c r="C116" s="96">
        <f t="shared" si="688"/>
        <v>1</v>
      </c>
      <c r="D116" s="97">
        <f t="shared" ref="D116:L116" si="689">RANDBETWEEN(0,2)</f>
        <v>0</v>
      </c>
      <c r="E116" s="97">
        <f t="shared" si="689"/>
        <v>2</v>
      </c>
      <c r="F116" s="97">
        <f t="shared" si="689"/>
        <v>1</v>
      </c>
      <c r="G116" s="97">
        <f t="shared" si="689"/>
        <v>1</v>
      </c>
      <c r="H116" s="98">
        <f t="shared" si="689"/>
        <v>0</v>
      </c>
      <c r="I116" s="99">
        <f t="shared" si="689"/>
        <v>2</v>
      </c>
      <c r="J116" s="100">
        <f t="shared" si="689"/>
        <v>1</v>
      </c>
      <c r="K116" s="101">
        <f t="shared" si="689"/>
        <v>1</v>
      </c>
      <c r="L116" s="101">
        <f t="shared" si="689"/>
        <v>1</v>
      </c>
      <c r="M116" s="102">
        <f t="shared" si="690"/>
        <v>47</v>
      </c>
      <c r="N116" s="97">
        <f t="shared" ref="N116:T116" si="691">RANDBETWEEN(0,10)</f>
        <v>0</v>
      </c>
      <c r="O116" s="97">
        <f t="shared" si="691"/>
        <v>10</v>
      </c>
      <c r="P116" s="97">
        <f t="shared" si="691"/>
        <v>5</v>
      </c>
      <c r="Q116" s="97">
        <f t="shared" si="691"/>
        <v>9</v>
      </c>
      <c r="R116" s="97">
        <f t="shared" si="691"/>
        <v>8</v>
      </c>
      <c r="S116" s="97">
        <f t="shared" si="691"/>
        <v>7</v>
      </c>
      <c r="T116" s="97">
        <f t="shared" si="691"/>
        <v>8</v>
      </c>
      <c r="U116" s="103">
        <f t="shared" si="692"/>
        <v>26</v>
      </c>
      <c r="V116" s="104">
        <f t="shared" si="693"/>
        <v>3</v>
      </c>
      <c r="W116" s="97">
        <f t="shared" ref="W116:Y116" si="694">RANDBETWEEN(0,2)</f>
        <v>2</v>
      </c>
      <c r="X116" s="97">
        <f t="shared" si="694"/>
        <v>0</v>
      </c>
      <c r="Y116" s="97">
        <f t="shared" si="694"/>
        <v>1</v>
      </c>
      <c r="Z116" s="105">
        <f t="shared" si="695"/>
        <v>0</v>
      </c>
      <c r="AA116" s="106">
        <f t="shared" ref="AA116:AF116" si="696">RANDBETWEEN(0,2)</f>
        <v>0</v>
      </c>
      <c r="AB116" s="106">
        <f t="shared" si="696"/>
        <v>0</v>
      </c>
      <c r="AC116" s="107">
        <f t="shared" si="696"/>
        <v>1</v>
      </c>
      <c r="AD116" s="108">
        <f t="shared" si="696"/>
        <v>2</v>
      </c>
      <c r="AE116" s="108">
        <f t="shared" si="696"/>
        <v>1</v>
      </c>
      <c r="AF116" s="108">
        <f t="shared" si="696"/>
        <v>0</v>
      </c>
      <c r="AG116" s="109">
        <f t="shared" si="697"/>
        <v>4</v>
      </c>
      <c r="AH116" s="107">
        <f t="shared" ref="AH116:AJ116" si="698">RANDBETWEEN(1,10)</f>
        <v>5</v>
      </c>
      <c r="AI116" s="108">
        <f t="shared" si="698"/>
        <v>8</v>
      </c>
      <c r="AJ116" s="108">
        <f t="shared" si="698"/>
        <v>7</v>
      </c>
      <c r="AK116" s="110">
        <f t="shared" si="699"/>
        <v>20</v>
      </c>
      <c r="AL116" s="107"/>
      <c r="AM116" s="108"/>
      <c r="AN116" s="108"/>
      <c r="AO116" s="108"/>
      <c r="AP116" s="111"/>
      <c r="AQ116" s="107"/>
      <c r="AR116" s="108"/>
      <c r="AS116" s="108"/>
      <c r="AT116" s="112"/>
      <c r="AU116" s="107"/>
      <c r="AV116" s="108"/>
      <c r="AW116" s="108"/>
      <c r="AX116" s="113"/>
      <c r="AY116" s="92">
        <f t="shared" ref="AY116:AZ116" si="700">RANDBETWEEN(1,10)/10</f>
        <v>0.4</v>
      </c>
      <c r="AZ116" s="92">
        <f t="shared" si="700"/>
        <v>0.2</v>
      </c>
      <c r="BA116" s="93">
        <v>0.0</v>
      </c>
      <c r="BB116" s="93">
        <v>0.0</v>
      </c>
      <c r="BC116" s="94">
        <f>SUM(BC88,'ГОЧ'!$AY116)</f>
        <v>1201.7</v>
      </c>
      <c r="BD116" s="94">
        <f>SUM(BD88,'ГОЧ'!$AZ116)</f>
        <v>1202.8</v>
      </c>
      <c r="BE116" s="108"/>
      <c r="BF116" s="108"/>
    </row>
    <row r="117" ht="15.75" customHeight="1">
      <c r="A117" s="67">
        <f t="shared" si="687"/>
        <v>46258</v>
      </c>
      <c r="B117" s="114" t="s">
        <v>12</v>
      </c>
      <c r="C117" s="115">
        <f t="shared" si="688"/>
        <v>0</v>
      </c>
      <c r="D117" s="115">
        <v>0.0</v>
      </c>
      <c r="E117" s="116">
        <v>0.0</v>
      </c>
      <c r="F117" s="116">
        <v>0.0</v>
      </c>
      <c r="G117" s="116">
        <v>0.0</v>
      </c>
      <c r="H117" s="115">
        <v>0.0</v>
      </c>
      <c r="I117" s="116">
        <v>0.0</v>
      </c>
      <c r="J117" s="115">
        <v>0.0</v>
      </c>
      <c r="K117" s="116">
        <v>0.0</v>
      </c>
      <c r="L117" s="116">
        <v>0.0</v>
      </c>
      <c r="M117" s="115">
        <f t="shared" si="690"/>
        <v>0</v>
      </c>
      <c r="N117" s="115">
        <v>0.0</v>
      </c>
      <c r="O117" s="116">
        <v>0.0</v>
      </c>
      <c r="P117" s="116">
        <v>0.0</v>
      </c>
      <c r="Q117" s="116">
        <v>0.0</v>
      </c>
      <c r="R117" s="116">
        <v>0.0</v>
      </c>
      <c r="S117" s="116">
        <v>0.0</v>
      </c>
      <c r="T117" s="116">
        <v>0.0</v>
      </c>
      <c r="U117" s="115">
        <v>0.0</v>
      </c>
      <c r="V117" s="115">
        <f t="shared" si="693"/>
        <v>0</v>
      </c>
      <c r="W117" s="116">
        <v>0.0</v>
      </c>
      <c r="X117" s="116">
        <v>0.0</v>
      </c>
      <c r="Y117" s="116">
        <v>0.0</v>
      </c>
      <c r="Z117" s="116">
        <f t="shared" si="695"/>
        <v>0</v>
      </c>
      <c r="AA117" s="116">
        <v>0.0</v>
      </c>
      <c r="AB117" s="116">
        <v>0.0</v>
      </c>
      <c r="AC117" s="117">
        <v>0.0</v>
      </c>
      <c r="AD117" s="118">
        <v>0.0</v>
      </c>
      <c r="AE117" s="118">
        <v>0.0</v>
      </c>
      <c r="AF117" s="118">
        <v>0.0</v>
      </c>
      <c r="AG117" s="119">
        <f t="shared" si="697"/>
        <v>0</v>
      </c>
      <c r="AH117" s="117">
        <v>0.0</v>
      </c>
      <c r="AI117" s="118">
        <v>0.0</v>
      </c>
      <c r="AJ117" s="118">
        <v>0.0</v>
      </c>
      <c r="AK117" s="119">
        <f t="shared" si="699"/>
        <v>0</v>
      </c>
      <c r="AL117" s="117"/>
      <c r="AM117" s="118"/>
      <c r="AN117" s="118"/>
      <c r="AO117" s="118"/>
      <c r="AP117" s="111"/>
      <c r="AQ117" s="117"/>
      <c r="AR117" s="118"/>
      <c r="AS117" s="118"/>
      <c r="AT117" s="120"/>
      <c r="AU117" s="117"/>
      <c r="AV117" s="118"/>
      <c r="AW117" s="118"/>
      <c r="AX117" s="121"/>
      <c r="AY117" s="122">
        <f t="shared" ref="AY117:BD117" si="701">SUM(AY115:AY116)</f>
        <v>1.3</v>
      </c>
      <c r="AZ117" s="122">
        <f t="shared" si="701"/>
        <v>1.1</v>
      </c>
      <c r="BA117" s="118">
        <f t="shared" si="701"/>
        <v>0</v>
      </c>
      <c r="BB117" s="118">
        <f t="shared" si="701"/>
        <v>0</v>
      </c>
      <c r="BC117" s="123">
        <f t="shared" si="701"/>
        <v>2404.9</v>
      </c>
      <c r="BD117" s="123">
        <f t="shared" si="701"/>
        <v>2406</v>
      </c>
      <c r="BE117" s="118"/>
      <c r="BF117" s="118"/>
    </row>
    <row r="118" ht="15.75" customHeight="1">
      <c r="A118" s="67">
        <f t="shared" si="687"/>
        <v>46258</v>
      </c>
      <c r="B118" s="124" t="s">
        <v>14</v>
      </c>
      <c r="C118" s="96">
        <f t="shared" si="688"/>
        <v>3</v>
      </c>
      <c r="D118" s="125">
        <f t="shared" ref="D118:L118" si="702">RANDBETWEEN(0,2)</f>
        <v>1</v>
      </c>
      <c r="E118" s="125">
        <f t="shared" si="702"/>
        <v>1</v>
      </c>
      <c r="F118" s="125">
        <f t="shared" si="702"/>
        <v>2</v>
      </c>
      <c r="G118" s="125">
        <f t="shared" si="702"/>
        <v>1</v>
      </c>
      <c r="H118" s="126">
        <f t="shared" si="702"/>
        <v>1</v>
      </c>
      <c r="I118" s="127">
        <f t="shared" si="702"/>
        <v>0</v>
      </c>
      <c r="J118" s="128">
        <f t="shared" si="702"/>
        <v>0</v>
      </c>
      <c r="K118" s="130">
        <f t="shared" si="702"/>
        <v>2</v>
      </c>
      <c r="L118" s="130">
        <f t="shared" si="702"/>
        <v>2</v>
      </c>
      <c r="M118" s="102">
        <f t="shared" si="690"/>
        <v>37</v>
      </c>
      <c r="N118" s="125">
        <f t="shared" ref="N118:T118" si="703">RANDBETWEEN(0,10)</f>
        <v>8</v>
      </c>
      <c r="O118" s="125">
        <f t="shared" si="703"/>
        <v>1</v>
      </c>
      <c r="P118" s="125">
        <f t="shared" si="703"/>
        <v>4</v>
      </c>
      <c r="Q118" s="125">
        <f t="shared" si="703"/>
        <v>7</v>
      </c>
      <c r="R118" s="125">
        <f t="shared" si="703"/>
        <v>9</v>
      </c>
      <c r="S118" s="125">
        <f t="shared" si="703"/>
        <v>5</v>
      </c>
      <c r="T118" s="125">
        <f t="shared" si="703"/>
        <v>3</v>
      </c>
      <c r="U118" s="103">
        <f t="shared" ref="U118:U119" si="710">RANDBETWEEN(10,30)</f>
        <v>10</v>
      </c>
      <c r="V118" s="131">
        <f t="shared" si="693"/>
        <v>5</v>
      </c>
      <c r="W118" s="125">
        <f t="shared" ref="W118:Y118" si="704">RANDBETWEEN(0,2)</f>
        <v>2</v>
      </c>
      <c r="X118" s="125">
        <f t="shared" si="704"/>
        <v>2</v>
      </c>
      <c r="Y118" s="125">
        <f t="shared" si="704"/>
        <v>1</v>
      </c>
      <c r="Z118" s="132">
        <f t="shared" ref="Z118:Z121" si="712">SUM(AA118:AB118)</f>
        <v>0</v>
      </c>
      <c r="AA118" s="133">
        <f t="shared" ref="AA118:AF118" si="705">RANDBETWEEN(0,2)</f>
        <v>0</v>
      </c>
      <c r="AB118" s="133">
        <f t="shared" si="705"/>
        <v>0</v>
      </c>
      <c r="AC118" s="134">
        <f t="shared" si="705"/>
        <v>2</v>
      </c>
      <c r="AD118" s="134">
        <f t="shared" si="705"/>
        <v>0</v>
      </c>
      <c r="AE118" s="134">
        <f t="shared" si="705"/>
        <v>0</v>
      </c>
      <c r="AF118" s="134">
        <f t="shared" si="705"/>
        <v>2</v>
      </c>
      <c r="AG118" s="135">
        <f t="shared" si="697"/>
        <v>4</v>
      </c>
      <c r="AH118" s="136">
        <f t="shared" ref="AH118:AJ118" si="706">RANDBETWEEN(1,10)</f>
        <v>9</v>
      </c>
      <c r="AI118" s="134">
        <f t="shared" si="706"/>
        <v>4</v>
      </c>
      <c r="AJ118" s="134">
        <f t="shared" si="706"/>
        <v>9</v>
      </c>
      <c r="AK118" s="137">
        <f t="shared" si="699"/>
        <v>22</v>
      </c>
      <c r="AL118" s="134"/>
      <c r="AM118" s="134"/>
      <c r="AN118" s="134"/>
      <c r="AO118" s="134"/>
      <c r="AP118" s="111"/>
      <c r="AQ118" s="136"/>
      <c r="AR118" s="134"/>
      <c r="AS118" s="134"/>
      <c r="AT118" s="120"/>
      <c r="AU118" s="136"/>
      <c r="AV118" s="134"/>
      <c r="AW118" s="134"/>
      <c r="AX118" s="121"/>
      <c r="AY118" s="92">
        <f t="shared" ref="AY118:AZ118" si="707">RANDBETWEEN(1,10)/10</f>
        <v>0.1</v>
      </c>
      <c r="AZ118" s="92">
        <f t="shared" si="707"/>
        <v>0.7</v>
      </c>
      <c r="BA118" s="93">
        <v>0.0</v>
      </c>
      <c r="BB118" s="93">
        <v>0.0</v>
      </c>
      <c r="BC118" s="94">
        <f>SUM(BC90,'ГОЧ'!$AY118)</f>
        <v>1201.7</v>
      </c>
      <c r="BD118" s="94">
        <f>SUM(BD90,'ГОЧ'!$AZ118)</f>
        <v>1202.6</v>
      </c>
      <c r="BE118" s="108"/>
      <c r="BF118" s="108"/>
    </row>
    <row r="119" ht="15.75" customHeight="1">
      <c r="A119" s="67">
        <f t="shared" si="687"/>
        <v>46258</v>
      </c>
      <c r="B119" s="138" t="s">
        <v>16</v>
      </c>
      <c r="C119" s="139">
        <f t="shared" si="688"/>
        <v>4</v>
      </c>
      <c r="D119" s="97">
        <f t="shared" ref="D119:L119" si="708">RANDBETWEEN(0,2)</f>
        <v>2</v>
      </c>
      <c r="E119" s="97">
        <f t="shared" si="708"/>
        <v>1</v>
      </c>
      <c r="F119" s="97">
        <f t="shared" si="708"/>
        <v>2</v>
      </c>
      <c r="G119" s="97">
        <f t="shared" si="708"/>
        <v>1</v>
      </c>
      <c r="H119" s="98">
        <f t="shared" si="708"/>
        <v>0</v>
      </c>
      <c r="I119" s="99">
        <f t="shared" si="708"/>
        <v>1</v>
      </c>
      <c r="J119" s="100">
        <f t="shared" si="708"/>
        <v>2</v>
      </c>
      <c r="K119" s="101">
        <f t="shared" si="708"/>
        <v>0</v>
      </c>
      <c r="L119" s="101">
        <f t="shared" si="708"/>
        <v>0</v>
      </c>
      <c r="M119" s="140">
        <f t="shared" si="690"/>
        <v>43</v>
      </c>
      <c r="N119" s="97">
        <f t="shared" ref="N119:T119" si="709">RANDBETWEEN(0,10)</f>
        <v>3</v>
      </c>
      <c r="O119" s="97">
        <f t="shared" si="709"/>
        <v>10</v>
      </c>
      <c r="P119" s="97">
        <f t="shared" si="709"/>
        <v>6</v>
      </c>
      <c r="Q119" s="97">
        <f t="shared" si="709"/>
        <v>5</v>
      </c>
      <c r="R119" s="97">
        <f t="shared" si="709"/>
        <v>3</v>
      </c>
      <c r="S119" s="97">
        <f t="shared" si="709"/>
        <v>9</v>
      </c>
      <c r="T119" s="97">
        <f t="shared" si="709"/>
        <v>7</v>
      </c>
      <c r="U119" s="103">
        <f t="shared" si="710"/>
        <v>21</v>
      </c>
      <c r="V119" s="141">
        <f t="shared" si="693"/>
        <v>5</v>
      </c>
      <c r="W119" s="97">
        <f t="shared" ref="W119:Y119" si="711">RANDBETWEEN(0,2)</f>
        <v>2</v>
      </c>
      <c r="X119" s="97">
        <f t="shared" si="711"/>
        <v>1</v>
      </c>
      <c r="Y119" s="97">
        <f t="shared" si="711"/>
        <v>2</v>
      </c>
      <c r="Z119" s="142">
        <f t="shared" si="712"/>
        <v>3</v>
      </c>
      <c r="AA119" s="143">
        <f t="shared" ref="AA119:AF119" si="713">RANDBETWEEN(0,2)</f>
        <v>2</v>
      </c>
      <c r="AB119" s="143">
        <f t="shared" si="713"/>
        <v>1</v>
      </c>
      <c r="AC119" s="144">
        <f t="shared" si="713"/>
        <v>2</v>
      </c>
      <c r="AD119" s="145">
        <f t="shared" si="713"/>
        <v>0</v>
      </c>
      <c r="AE119" s="145">
        <f t="shared" si="713"/>
        <v>2</v>
      </c>
      <c r="AF119" s="145">
        <f t="shared" si="713"/>
        <v>0</v>
      </c>
      <c r="AG119" s="146">
        <f t="shared" si="697"/>
        <v>4</v>
      </c>
      <c r="AH119" s="144">
        <f t="shared" ref="AH119:AJ119" si="714">RANDBETWEEN(1,10)</f>
        <v>1</v>
      </c>
      <c r="AI119" s="145">
        <f t="shared" si="714"/>
        <v>7</v>
      </c>
      <c r="AJ119" s="145">
        <f t="shared" si="714"/>
        <v>5</v>
      </c>
      <c r="AK119" s="147">
        <f t="shared" si="699"/>
        <v>13</v>
      </c>
      <c r="AL119" s="144"/>
      <c r="AM119" s="145"/>
      <c r="AN119" s="145"/>
      <c r="AO119" s="145"/>
      <c r="AP119" s="148"/>
      <c r="AQ119" s="144"/>
      <c r="AR119" s="145"/>
      <c r="AS119" s="145"/>
      <c r="AT119" s="149"/>
      <c r="AU119" s="144"/>
      <c r="AV119" s="145"/>
      <c r="AW119" s="145"/>
      <c r="AX119" s="150"/>
      <c r="AY119" s="92">
        <f t="shared" ref="AY119:AZ119" si="715">RANDBETWEEN(1,10)/10</f>
        <v>0.3</v>
      </c>
      <c r="AZ119" s="92">
        <f t="shared" si="715"/>
        <v>0.9</v>
      </c>
      <c r="BA119" s="93">
        <v>0.0</v>
      </c>
      <c r="BB119" s="93">
        <v>0.0</v>
      </c>
      <c r="BC119" s="94">
        <f>SUM(BC91,'ГОЧ'!$AY119)</f>
        <v>1201.7</v>
      </c>
      <c r="BD119" s="94">
        <f>SUM(BD91,'ГОЧ'!$AZ119)</f>
        <v>1202.7</v>
      </c>
      <c r="BE119" s="108"/>
      <c r="BF119" s="108"/>
    </row>
    <row r="120" ht="15.75" customHeight="1">
      <c r="A120" s="67">
        <f t="shared" si="687"/>
        <v>46258</v>
      </c>
      <c r="B120" s="114" t="s">
        <v>18</v>
      </c>
      <c r="C120" s="115">
        <f t="shared" si="688"/>
        <v>7</v>
      </c>
      <c r="D120" s="115">
        <f t="shared" ref="D120:L120" si="716">SUM(D118:D119)</f>
        <v>3</v>
      </c>
      <c r="E120" s="116">
        <f t="shared" si="716"/>
        <v>2</v>
      </c>
      <c r="F120" s="116">
        <f t="shared" si="716"/>
        <v>4</v>
      </c>
      <c r="G120" s="116">
        <f t="shared" si="716"/>
        <v>2</v>
      </c>
      <c r="H120" s="115">
        <f t="shared" si="716"/>
        <v>1</v>
      </c>
      <c r="I120" s="116">
        <f t="shared" si="716"/>
        <v>1</v>
      </c>
      <c r="J120" s="115">
        <f t="shared" si="716"/>
        <v>2</v>
      </c>
      <c r="K120" s="116">
        <f t="shared" si="716"/>
        <v>2</v>
      </c>
      <c r="L120" s="116">
        <f t="shared" si="716"/>
        <v>2</v>
      </c>
      <c r="M120" s="115">
        <f t="shared" si="690"/>
        <v>68</v>
      </c>
      <c r="N120" s="115">
        <f t="shared" ref="N120:Q120" si="717">SUM(N118:N119)</f>
        <v>11</v>
      </c>
      <c r="O120" s="116">
        <f t="shared" si="717"/>
        <v>11</v>
      </c>
      <c r="P120" s="116">
        <f t="shared" si="717"/>
        <v>10</v>
      </c>
      <c r="Q120" s="116">
        <f t="shared" si="717"/>
        <v>12</v>
      </c>
      <c r="R120" s="116">
        <v>0.0</v>
      </c>
      <c r="S120" s="116">
        <f t="shared" ref="S120:U120" si="718">SUM(S118:S119)</f>
        <v>14</v>
      </c>
      <c r="T120" s="116">
        <f t="shared" si="718"/>
        <v>10</v>
      </c>
      <c r="U120" s="115">
        <f t="shared" si="718"/>
        <v>31</v>
      </c>
      <c r="V120" s="115">
        <f t="shared" si="693"/>
        <v>10</v>
      </c>
      <c r="W120" s="116">
        <f t="shared" ref="W120:Y120" si="719">SUM(W118:W119)</f>
        <v>4</v>
      </c>
      <c r="X120" s="116">
        <f t="shared" si="719"/>
        <v>3</v>
      </c>
      <c r="Y120" s="116">
        <f t="shared" si="719"/>
        <v>3</v>
      </c>
      <c r="Z120" s="116">
        <f t="shared" si="712"/>
        <v>3</v>
      </c>
      <c r="AA120" s="116">
        <f t="shared" ref="AA120:AF120" si="720">SUM(AA118:AA119)</f>
        <v>2</v>
      </c>
      <c r="AB120" s="116">
        <f t="shared" si="720"/>
        <v>1</v>
      </c>
      <c r="AC120" s="118">
        <f t="shared" si="720"/>
        <v>4</v>
      </c>
      <c r="AD120" s="118">
        <f t="shared" si="720"/>
        <v>0</v>
      </c>
      <c r="AE120" s="118">
        <f t="shared" si="720"/>
        <v>2</v>
      </c>
      <c r="AF120" s="118">
        <f t="shared" si="720"/>
        <v>2</v>
      </c>
      <c r="AG120" s="117">
        <f t="shared" si="697"/>
        <v>8</v>
      </c>
      <c r="AH120" s="117">
        <f t="shared" ref="AH120:AJ120" si="721">SUM(AH118:AH119)</f>
        <v>10</v>
      </c>
      <c r="AI120" s="118">
        <f t="shared" si="721"/>
        <v>11</v>
      </c>
      <c r="AJ120" s="118">
        <f t="shared" si="721"/>
        <v>14</v>
      </c>
      <c r="AK120" s="117">
        <f t="shared" si="699"/>
        <v>35</v>
      </c>
      <c r="AL120" s="118"/>
      <c r="AM120" s="118"/>
      <c r="AN120" s="118"/>
      <c r="AO120" s="118"/>
      <c r="AP120" s="151"/>
      <c r="AQ120" s="117"/>
      <c r="AR120" s="118"/>
      <c r="AS120" s="118"/>
      <c r="AT120" s="152"/>
      <c r="AU120" s="117"/>
      <c r="AV120" s="118"/>
      <c r="AW120" s="118"/>
      <c r="AX120" s="153"/>
      <c r="AY120" s="122">
        <f t="shared" ref="AY120:BD120" si="722">SUM(AY118:AY119)</f>
        <v>0.4</v>
      </c>
      <c r="AZ120" s="122">
        <f t="shared" si="722"/>
        <v>1.6</v>
      </c>
      <c r="BA120" s="118">
        <f t="shared" si="722"/>
        <v>0</v>
      </c>
      <c r="BB120" s="118">
        <f t="shared" si="722"/>
        <v>0</v>
      </c>
      <c r="BC120" s="123">
        <f t="shared" si="722"/>
        <v>2403.4</v>
      </c>
      <c r="BD120" s="123">
        <f t="shared" si="722"/>
        <v>2405.3</v>
      </c>
      <c r="BE120" s="154" t="str">
        <f t="shared" ref="BE120:BF120" si="723">TEXTJOIN(", ",TRUE,BE118:BE119)</f>
        <v/>
      </c>
      <c r="BF120" s="154" t="str">
        <f t="shared" si="723"/>
        <v/>
      </c>
    </row>
    <row r="121" ht="15.75" customHeight="1">
      <c r="A121" s="67">
        <f t="shared" si="687"/>
        <v>46258</v>
      </c>
      <c r="B121" s="114" t="s">
        <v>20</v>
      </c>
      <c r="C121" s="115">
        <f t="shared" si="688"/>
        <v>5</v>
      </c>
      <c r="D121" s="115">
        <v>3.0</v>
      </c>
      <c r="E121" s="116">
        <v>0.0</v>
      </c>
      <c r="F121" s="116">
        <v>2.0</v>
      </c>
      <c r="G121" s="116">
        <v>2.0</v>
      </c>
      <c r="H121" s="115">
        <v>0.0</v>
      </c>
      <c r="I121" s="116">
        <v>0.0</v>
      </c>
      <c r="J121" s="115">
        <v>1.0</v>
      </c>
      <c r="K121" s="116">
        <v>1.0</v>
      </c>
      <c r="L121" s="116">
        <v>0.0</v>
      </c>
      <c r="M121" s="115">
        <f t="shared" si="690"/>
        <v>38</v>
      </c>
      <c r="N121" s="115">
        <v>0.0</v>
      </c>
      <c r="O121" s="116">
        <v>0.0</v>
      </c>
      <c r="P121" s="116">
        <v>0.0</v>
      </c>
      <c r="Q121" s="116">
        <v>9.0</v>
      </c>
      <c r="R121" s="116">
        <v>0.0</v>
      </c>
      <c r="S121" s="116">
        <v>0.0</v>
      </c>
      <c r="T121" s="116">
        <v>29.0</v>
      </c>
      <c r="U121" s="115">
        <v>7.0</v>
      </c>
      <c r="V121" s="115">
        <f t="shared" ref="V121:V140" si="727">W121+X121+Y121</f>
        <v>0</v>
      </c>
      <c r="W121" s="116">
        <v>0.0</v>
      </c>
      <c r="X121" s="116">
        <v>0.0</v>
      </c>
      <c r="Y121" s="116">
        <v>0.0</v>
      </c>
      <c r="Z121" s="116">
        <f t="shared" si="712"/>
        <v>0</v>
      </c>
      <c r="AA121" s="116">
        <v>0.0</v>
      </c>
      <c r="AB121" s="116">
        <v>0.0</v>
      </c>
      <c r="AC121" s="117">
        <v>0.0</v>
      </c>
      <c r="AD121" s="118">
        <v>1.0</v>
      </c>
      <c r="AE121" s="118">
        <v>0.0</v>
      </c>
      <c r="AF121" s="118">
        <v>0.0</v>
      </c>
      <c r="AG121" s="119">
        <f t="shared" si="697"/>
        <v>1</v>
      </c>
      <c r="AH121" s="117">
        <v>6.0</v>
      </c>
      <c r="AI121" s="118">
        <v>5.0</v>
      </c>
      <c r="AJ121" s="118">
        <v>0.0</v>
      </c>
      <c r="AK121" s="119">
        <f t="shared" si="699"/>
        <v>11</v>
      </c>
      <c r="AL121" s="117"/>
      <c r="AM121" s="118"/>
      <c r="AN121" s="118"/>
      <c r="AO121" s="118"/>
      <c r="AP121" s="111"/>
      <c r="AQ121" s="117"/>
      <c r="AR121" s="118"/>
      <c r="AS121" s="118"/>
      <c r="AT121" s="120"/>
      <c r="AU121" s="117"/>
      <c r="AV121" s="118"/>
      <c r="AW121" s="118"/>
      <c r="AX121" s="121"/>
      <c r="AY121" s="122">
        <f t="shared" ref="AY121:AZ121" si="724">RANDBETWEEN(1,10)</f>
        <v>1</v>
      </c>
      <c r="AZ121" s="122">
        <f t="shared" si="724"/>
        <v>2</v>
      </c>
      <c r="BA121" s="118">
        <v>2.0</v>
      </c>
      <c r="BB121" s="118">
        <v>0.0</v>
      </c>
      <c r="BC121" s="123">
        <v>1.0</v>
      </c>
      <c r="BD121" s="123">
        <v>2.0</v>
      </c>
      <c r="BE121" s="118" t="s">
        <v>157</v>
      </c>
      <c r="BF121" s="118"/>
    </row>
    <row r="122" ht="15.75" customHeight="1">
      <c r="A122" s="67">
        <f t="shared" si="687"/>
        <v>46258</v>
      </c>
      <c r="B122" s="124" t="s">
        <v>21</v>
      </c>
      <c r="C122" s="155">
        <f t="shared" si="688"/>
        <v>3</v>
      </c>
      <c r="D122" s="125">
        <f t="shared" ref="D122:L122" si="725">RANDBETWEEN(0,2)</f>
        <v>2</v>
      </c>
      <c r="E122" s="125">
        <f t="shared" si="725"/>
        <v>0</v>
      </c>
      <c r="F122" s="125">
        <f t="shared" si="725"/>
        <v>1</v>
      </c>
      <c r="G122" s="125">
        <f t="shared" si="725"/>
        <v>1</v>
      </c>
      <c r="H122" s="126">
        <f t="shared" si="725"/>
        <v>1</v>
      </c>
      <c r="I122" s="127">
        <f t="shared" si="725"/>
        <v>2</v>
      </c>
      <c r="J122" s="128">
        <f t="shared" si="725"/>
        <v>0</v>
      </c>
      <c r="K122" s="130">
        <f t="shared" si="725"/>
        <v>2</v>
      </c>
      <c r="L122" s="130">
        <f t="shared" si="725"/>
        <v>1</v>
      </c>
      <c r="M122" s="102">
        <f t="shared" si="690"/>
        <v>23</v>
      </c>
      <c r="N122" s="125">
        <f t="shared" ref="N122:T122" si="726">RANDBETWEEN(0,10)</f>
        <v>3</v>
      </c>
      <c r="O122" s="125">
        <f t="shared" si="726"/>
        <v>4</v>
      </c>
      <c r="P122" s="125">
        <f t="shared" si="726"/>
        <v>1</v>
      </c>
      <c r="Q122" s="125">
        <f t="shared" si="726"/>
        <v>3</v>
      </c>
      <c r="R122" s="125">
        <f t="shared" si="726"/>
        <v>1</v>
      </c>
      <c r="S122" s="125">
        <f t="shared" si="726"/>
        <v>4</v>
      </c>
      <c r="T122" s="125">
        <f t="shared" si="726"/>
        <v>7</v>
      </c>
      <c r="U122" s="103">
        <f t="shared" ref="U122:U126" si="734">RANDBETWEEN(10,30)</f>
        <v>14</v>
      </c>
      <c r="V122" s="104">
        <f t="shared" si="727"/>
        <v>2</v>
      </c>
      <c r="W122" s="125">
        <f t="shared" ref="W122:Y122" si="728">RANDBETWEEN(0,2)</f>
        <v>1</v>
      </c>
      <c r="X122" s="125">
        <f t="shared" si="728"/>
        <v>0</v>
      </c>
      <c r="Y122" s="125">
        <f t="shared" si="728"/>
        <v>1</v>
      </c>
      <c r="Z122" s="105">
        <f t="shared" ref="Z122:Z139" si="736">AA122+AB122</f>
        <v>1</v>
      </c>
      <c r="AA122" s="133">
        <f t="shared" ref="AA122:AF122" si="729">RANDBETWEEN(0,2)</f>
        <v>0</v>
      </c>
      <c r="AB122" s="133">
        <f t="shared" si="729"/>
        <v>1</v>
      </c>
      <c r="AC122" s="136">
        <f t="shared" si="729"/>
        <v>2</v>
      </c>
      <c r="AD122" s="134">
        <f t="shared" si="729"/>
        <v>1</v>
      </c>
      <c r="AE122" s="134">
        <f t="shared" si="729"/>
        <v>1</v>
      </c>
      <c r="AF122" s="134">
        <f t="shared" si="729"/>
        <v>0</v>
      </c>
      <c r="AG122" s="156">
        <f t="shared" si="697"/>
        <v>4</v>
      </c>
      <c r="AH122" s="136">
        <f t="shared" ref="AH122:AJ122" si="730">RANDBETWEEN(1,10)</f>
        <v>5</v>
      </c>
      <c r="AI122" s="134">
        <f t="shared" si="730"/>
        <v>1</v>
      </c>
      <c r="AJ122" s="134">
        <f t="shared" si="730"/>
        <v>10</v>
      </c>
      <c r="AK122" s="137">
        <f t="shared" si="699"/>
        <v>16</v>
      </c>
      <c r="AL122" s="136"/>
      <c r="AM122" s="134"/>
      <c r="AN122" s="134"/>
      <c r="AO122" s="134"/>
      <c r="AP122" s="111"/>
      <c r="AQ122" s="136"/>
      <c r="AR122" s="134"/>
      <c r="AS122" s="134"/>
      <c r="AT122" s="120"/>
      <c r="AU122" s="136"/>
      <c r="AV122" s="134"/>
      <c r="AW122" s="134"/>
      <c r="AX122" s="121"/>
      <c r="AY122" s="92">
        <f t="shared" ref="AY122:AZ122" si="731">RANDBETWEEN(1,10)/10</f>
        <v>0.8</v>
      </c>
      <c r="AZ122" s="92">
        <f t="shared" si="731"/>
        <v>0.1</v>
      </c>
      <c r="BA122" s="93">
        <v>1.0</v>
      </c>
      <c r="BB122" s="93">
        <v>0.0</v>
      </c>
      <c r="BC122" s="94">
        <f>SUM(BC94,'ГОЧ'!$AY122)</f>
        <v>1203</v>
      </c>
      <c r="BD122" s="94">
        <f>SUM(BD94,'ГОЧ'!$AZ122)</f>
        <v>1201.9</v>
      </c>
      <c r="BE122" s="108" t="s">
        <v>162</v>
      </c>
      <c r="BF122" s="108"/>
    </row>
    <row r="123" ht="15.75" customHeight="1">
      <c r="A123" s="67">
        <f t="shared" si="687"/>
        <v>46258</v>
      </c>
      <c r="B123" s="138" t="s">
        <v>23</v>
      </c>
      <c r="C123" s="157">
        <f t="shared" si="688"/>
        <v>3</v>
      </c>
      <c r="D123" s="97">
        <f t="shared" ref="D123:L123" si="732">RANDBETWEEN(0,2)</f>
        <v>2</v>
      </c>
      <c r="E123" s="97">
        <f t="shared" si="732"/>
        <v>2</v>
      </c>
      <c r="F123" s="97">
        <f t="shared" si="732"/>
        <v>1</v>
      </c>
      <c r="G123" s="97">
        <f t="shared" si="732"/>
        <v>1</v>
      </c>
      <c r="H123" s="98">
        <f t="shared" si="732"/>
        <v>2</v>
      </c>
      <c r="I123" s="99">
        <f t="shared" si="732"/>
        <v>0</v>
      </c>
      <c r="J123" s="100">
        <f t="shared" si="732"/>
        <v>1</v>
      </c>
      <c r="K123" s="101">
        <f t="shared" si="732"/>
        <v>0</v>
      </c>
      <c r="L123" s="101">
        <f t="shared" si="732"/>
        <v>2</v>
      </c>
      <c r="M123" s="140">
        <f t="shared" si="690"/>
        <v>53</v>
      </c>
      <c r="N123" s="97">
        <f t="shared" ref="N123:T123" si="733">RANDBETWEEN(0,10)</f>
        <v>10</v>
      </c>
      <c r="O123" s="97">
        <f t="shared" si="733"/>
        <v>4</v>
      </c>
      <c r="P123" s="97">
        <f t="shared" si="733"/>
        <v>9</v>
      </c>
      <c r="Q123" s="97">
        <f t="shared" si="733"/>
        <v>7</v>
      </c>
      <c r="R123" s="97">
        <f t="shared" si="733"/>
        <v>9</v>
      </c>
      <c r="S123" s="97">
        <f t="shared" si="733"/>
        <v>8</v>
      </c>
      <c r="T123" s="97">
        <f t="shared" si="733"/>
        <v>6</v>
      </c>
      <c r="U123" s="103">
        <f t="shared" si="734"/>
        <v>17</v>
      </c>
      <c r="V123" s="158">
        <f t="shared" si="727"/>
        <v>2</v>
      </c>
      <c r="W123" s="97">
        <f t="shared" ref="W123:Y123" si="735">RANDBETWEEN(0,2)</f>
        <v>1</v>
      </c>
      <c r="X123" s="97">
        <f t="shared" si="735"/>
        <v>1</v>
      </c>
      <c r="Y123" s="97">
        <f t="shared" si="735"/>
        <v>0</v>
      </c>
      <c r="Z123" s="159">
        <f t="shared" si="736"/>
        <v>3</v>
      </c>
      <c r="AA123" s="143">
        <f t="shared" ref="AA123:AF123" si="737">RANDBETWEEN(0,2)</f>
        <v>2</v>
      </c>
      <c r="AB123" s="143">
        <f t="shared" si="737"/>
        <v>1</v>
      </c>
      <c r="AC123" s="144">
        <f t="shared" si="737"/>
        <v>2</v>
      </c>
      <c r="AD123" s="145">
        <f t="shared" si="737"/>
        <v>2</v>
      </c>
      <c r="AE123" s="145">
        <f t="shared" si="737"/>
        <v>2</v>
      </c>
      <c r="AF123" s="145">
        <f t="shared" si="737"/>
        <v>1</v>
      </c>
      <c r="AG123" s="160">
        <f t="shared" si="697"/>
        <v>7</v>
      </c>
      <c r="AH123" s="144">
        <f t="shared" ref="AH123:AJ123" si="738">RANDBETWEEN(1,10)</f>
        <v>5</v>
      </c>
      <c r="AI123" s="145">
        <f t="shared" si="738"/>
        <v>4</v>
      </c>
      <c r="AJ123" s="145">
        <f t="shared" si="738"/>
        <v>5</v>
      </c>
      <c r="AK123" s="147">
        <f t="shared" si="699"/>
        <v>14</v>
      </c>
      <c r="AL123" s="144"/>
      <c r="AM123" s="145"/>
      <c r="AN123" s="145"/>
      <c r="AO123" s="145"/>
      <c r="AP123" s="148"/>
      <c r="AQ123" s="144"/>
      <c r="AR123" s="145"/>
      <c r="AS123" s="145"/>
      <c r="AT123" s="149"/>
      <c r="AU123" s="144"/>
      <c r="AV123" s="145"/>
      <c r="AW123" s="145"/>
      <c r="AX123" s="150"/>
      <c r="AY123" s="92">
        <f t="shared" ref="AY123:AZ123" si="739">RANDBETWEEN(1,10)/10</f>
        <v>0.3</v>
      </c>
      <c r="AZ123" s="92">
        <f t="shared" si="739"/>
        <v>0.7</v>
      </c>
      <c r="BA123" s="93">
        <v>1.0</v>
      </c>
      <c r="BB123" s="93">
        <v>2.0</v>
      </c>
      <c r="BC123" s="94">
        <f>SUM(BC95,'ГОЧ'!$AY123)</f>
        <v>1202.9</v>
      </c>
      <c r="BD123" s="94">
        <f>SUM(BD95,'ГОЧ'!$AZ123)</f>
        <v>1202.6</v>
      </c>
      <c r="BE123" s="108" t="s">
        <v>165</v>
      </c>
      <c r="BF123" s="108" t="s">
        <v>166</v>
      </c>
    </row>
    <row r="124" ht="15.75" customHeight="1">
      <c r="A124" s="67">
        <f t="shared" si="687"/>
        <v>46258</v>
      </c>
      <c r="B124" s="138" t="s">
        <v>25</v>
      </c>
      <c r="C124" s="157">
        <f t="shared" si="688"/>
        <v>2</v>
      </c>
      <c r="D124" s="97">
        <f t="shared" ref="D124:L124" si="740">RANDBETWEEN(0,2)</f>
        <v>0</v>
      </c>
      <c r="E124" s="97">
        <f t="shared" si="740"/>
        <v>2</v>
      </c>
      <c r="F124" s="97">
        <f t="shared" si="740"/>
        <v>2</v>
      </c>
      <c r="G124" s="97">
        <f t="shared" si="740"/>
        <v>0</v>
      </c>
      <c r="H124" s="98">
        <f t="shared" si="740"/>
        <v>1</v>
      </c>
      <c r="I124" s="99">
        <f t="shared" si="740"/>
        <v>2</v>
      </c>
      <c r="J124" s="100">
        <f t="shared" si="740"/>
        <v>0</v>
      </c>
      <c r="K124" s="101">
        <f t="shared" si="740"/>
        <v>0</v>
      </c>
      <c r="L124" s="101">
        <f t="shared" si="740"/>
        <v>2</v>
      </c>
      <c r="M124" s="140">
        <f t="shared" si="690"/>
        <v>35</v>
      </c>
      <c r="N124" s="97">
        <f t="shared" ref="N124:T124" si="741">RANDBETWEEN(0,10)</f>
        <v>6</v>
      </c>
      <c r="O124" s="97">
        <f t="shared" si="741"/>
        <v>5</v>
      </c>
      <c r="P124" s="97">
        <f t="shared" si="741"/>
        <v>4</v>
      </c>
      <c r="Q124" s="97">
        <f t="shared" si="741"/>
        <v>1</v>
      </c>
      <c r="R124" s="97">
        <f t="shared" si="741"/>
        <v>8</v>
      </c>
      <c r="S124" s="97">
        <f t="shared" si="741"/>
        <v>7</v>
      </c>
      <c r="T124" s="97">
        <f t="shared" si="741"/>
        <v>4</v>
      </c>
      <c r="U124" s="103">
        <f t="shared" si="734"/>
        <v>20</v>
      </c>
      <c r="V124" s="158">
        <f t="shared" si="727"/>
        <v>0</v>
      </c>
      <c r="W124" s="97">
        <f t="shared" ref="W124:Y124" si="742">RANDBETWEEN(0,2)</f>
        <v>0</v>
      </c>
      <c r="X124" s="97">
        <f t="shared" si="742"/>
        <v>0</v>
      </c>
      <c r="Y124" s="97">
        <f t="shared" si="742"/>
        <v>0</v>
      </c>
      <c r="Z124" s="159">
        <f t="shared" si="736"/>
        <v>3</v>
      </c>
      <c r="AA124" s="106">
        <f t="shared" ref="AA124:AF124" si="743">RANDBETWEEN(0,2)</f>
        <v>1</v>
      </c>
      <c r="AB124" s="106">
        <f t="shared" si="743"/>
        <v>2</v>
      </c>
      <c r="AC124" s="107">
        <f t="shared" si="743"/>
        <v>0</v>
      </c>
      <c r="AD124" s="108">
        <f t="shared" si="743"/>
        <v>1</v>
      </c>
      <c r="AE124" s="108">
        <f t="shared" si="743"/>
        <v>1</v>
      </c>
      <c r="AF124" s="108">
        <f t="shared" si="743"/>
        <v>0</v>
      </c>
      <c r="AG124" s="160">
        <f t="shared" si="697"/>
        <v>2</v>
      </c>
      <c r="AH124" s="107">
        <f t="shared" ref="AH124:AJ124" si="744">RANDBETWEEN(1,10)</f>
        <v>3</v>
      </c>
      <c r="AI124" s="108">
        <f t="shared" si="744"/>
        <v>1</v>
      </c>
      <c r="AJ124" s="108">
        <f t="shared" si="744"/>
        <v>9</v>
      </c>
      <c r="AK124" s="147">
        <f t="shared" si="699"/>
        <v>13</v>
      </c>
      <c r="AL124" s="107"/>
      <c r="AM124" s="108"/>
      <c r="AN124" s="108"/>
      <c r="AO124" s="108"/>
      <c r="AP124" s="148"/>
      <c r="AQ124" s="107"/>
      <c r="AR124" s="108"/>
      <c r="AS124" s="108"/>
      <c r="AT124" s="149"/>
      <c r="AU124" s="107"/>
      <c r="AV124" s="108"/>
      <c r="AW124" s="108"/>
      <c r="AX124" s="150"/>
      <c r="AY124" s="92">
        <f t="shared" ref="AY124:AZ124" si="745">RANDBETWEEN(1,10)/10</f>
        <v>0.6</v>
      </c>
      <c r="AZ124" s="92">
        <f t="shared" si="745"/>
        <v>0.5</v>
      </c>
      <c r="BA124" s="93">
        <v>0.0</v>
      </c>
      <c r="BB124" s="93">
        <v>0.0</v>
      </c>
      <c r="BC124" s="94">
        <f>SUM(BC96,'ГОЧ'!$AY124)</f>
        <v>1202.4</v>
      </c>
      <c r="BD124" s="94">
        <f>SUM(BD96,'ГОЧ'!$AZ124)</f>
        <v>1201.6</v>
      </c>
      <c r="BE124" s="108"/>
      <c r="BF124" s="108"/>
    </row>
    <row r="125" ht="15.75" customHeight="1">
      <c r="A125" s="67">
        <f t="shared" si="687"/>
        <v>46258</v>
      </c>
      <c r="B125" s="138" t="s">
        <v>26</v>
      </c>
      <c r="C125" s="157">
        <f t="shared" si="688"/>
        <v>1</v>
      </c>
      <c r="D125" s="97">
        <f t="shared" ref="D125:L125" si="746">RANDBETWEEN(0,2)</f>
        <v>0</v>
      </c>
      <c r="E125" s="97">
        <f t="shared" si="746"/>
        <v>1</v>
      </c>
      <c r="F125" s="97">
        <f t="shared" si="746"/>
        <v>1</v>
      </c>
      <c r="G125" s="97">
        <f t="shared" si="746"/>
        <v>2</v>
      </c>
      <c r="H125" s="98">
        <f t="shared" si="746"/>
        <v>0</v>
      </c>
      <c r="I125" s="99">
        <f t="shared" si="746"/>
        <v>1</v>
      </c>
      <c r="J125" s="100">
        <f t="shared" si="746"/>
        <v>1</v>
      </c>
      <c r="K125" s="101">
        <f t="shared" si="746"/>
        <v>0</v>
      </c>
      <c r="L125" s="101">
        <f t="shared" si="746"/>
        <v>1</v>
      </c>
      <c r="M125" s="140">
        <f t="shared" si="690"/>
        <v>27</v>
      </c>
      <c r="N125" s="97">
        <f t="shared" ref="N125:T125" si="747">RANDBETWEEN(0,10)</f>
        <v>4</v>
      </c>
      <c r="O125" s="97">
        <f t="shared" si="747"/>
        <v>2</v>
      </c>
      <c r="P125" s="97">
        <f t="shared" si="747"/>
        <v>6</v>
      </c>
      <c r="Q125" s="97">
        <f t="shared" si="747"/>
        <v>8</v>
      </c>
      <c r="R125" s="97">
        <f t="shared" si="747"/>
        <v>2</v>
      </c>
      <c r="S125" s="97">
        <f t="shared" si="747"/>
        <v>3</v>
      </c>
      <c r="T125" s="97">
        <f t="shared" si="747"/>
        <v>2</v>
      </c>
      <c r="U125" s="103">
        <f t="shared" si="734"/>
        <v>17</v>
      </c>
      <c r="V125" s="158">
        <f t="shared" si="727"/>
        <v>4</v>
      </c>
      <c r="W125" s="97">
        <f t="shared" ref="W125:Y125" si="748">RANDBETWEEN(0,2)</f>
        <v>2</v>
      </c>
      <c r="X125" s="97">
        <f t="shared" si="748"/>
        <v>1</v>
      </c>
      <c r="Y125" s="97">
        <f t="shared" si="748"/>
        <v>1</v>
      </c>
      <c r="Z125" s="159">
        <f t="shared" si="736"/>
        <v>1</v>
      </c>
      <c r="AA125" s="143">
        <f t="shared" ref="AA125:AF125" si="749">RANDBETWEEN(0,2)</f>
        <v>0</v>
      </c>
      <c r="AB125" s="143">
        <f t="shared" si="749"/>
        <v>1</v>
      </c>
      <c r="AC125" s="144">
        <f t="shared" si="749"/>
        <v>0</v>
      </c>
      <c r="AD125" s="145">
        <f t="shared" si="749"/>
        <v>0</v>
      </c>
      <c r="AE125" s="145">
        <f t="shared" si="749"/>
        <v>0</v>
      </c>
      <c r="AF125" s="145">
        <f t="shared" si="749"/>
        <v>0</v>
      </c>
      <c r="AG125" s="160">
        <f t="shared" si="697"/>
        <v>0</v>
      </c>
      <c r="AH125" s="144">
        <f t="shared" ref="AH125:AJ125" si="750">RANDBETWEEN(1,10)</f>
        <v>5</v>
      </c>
      <c r="AI125" s="145">
        <f t="shared" si="750"/>
        <v>8</v>
      </c>
      <c r="AJ125" s="145">
        <f t="shared" si="750"/>
        <v>6</v>
      </c>
      <c r="AK125" s="147">
        <f t="shared" si="699"/>
        <v>19</v>
      </c>
      <c r="AL125" s="144"/>
      <c r="AM125" s="145"/>
      <c r="AN125" s="145"/>
      <c r="AO125" s="145"/>
      <c r="AP125" s="148"/>
      <c r="AQ125" s="144"/>
      <c r="AR125" s="145"/>
      <c r="AS125" s="145"/>
      <c r="AT125" s="149"/>
      <c r="AU125" s="144"/>
      <c r="AV125" s="145"/>
      <c r="AW125" s="145"/>
      <c r="AX125" s="150"/>
      <c r="AY125" s="92">
        <f t="shared" ref="AY125:AZ125" si="751">RANDBETWEEN(1,10)/10</f>
        <v>0.8</v>
      </c>
      <c r="AZ125" s="92">
        <f t="shared" si="751"/>
        <v>0.9</v>
      </c>
      <c r="BA125" s="93">
        <v>1.0</v>
      </c>
      <c r="BB125" s="93">
        <v>0.0</v>
      </c>
      <c r="BC125" s="94">
        <f>SUM(BC97,'ГОЧ'!$AY125)</f>
        <v>1202.4</v>
      </c>
      <c r="BD125" s="94">
        <f>SUM(BD97,'ГОЧ'!$AZ125)</f>
        <v>1202.6</v>
      </c>
      <c r="BE125" s="108" t="s">
        <v>167</v>
      </c>
      <c r="BF125" s="108"/>
    </row>
    <row r="126" ht="15.75" customHeight="1">
      <c r="A126" s="67">
        <f t="shared" si="687"/>
        <v>46258</v>
      </c>
      <c r="B126" s="138" t="s">
        <v>28</v>
      </c>
      <c r="C126" s="157">
        <f t="shared" si="688"/>
        <v>2</v>
      </c>
      <c r="D126" s="97">
        <f t="shared" ref="D126:L126" si="752">RANDBETWEEN(0,2)</f>
        <v>1</v>
      </c>
      <c r="E126" s="97">
        <f t="shared" si="752"/>
        <v>2</v>
      </c>
      <c r="F126" s="97">
        <f t="shared" si="752"/>
        <v>1</v>
      </c>
      <c r="G126" s="97">
        <f t="shared" si="752"/>
        <v>0</v>
      </c>
      <c r="H126" s="98">
        <f t="shared" si="752"/>
        <v>1</v>
      </c>
      <c r="I126" s="99">
        <f t="shared" si="752"/>
        <v>2</v>
      </c>
      <c r="J126" s="100">
        <f t="shared" si="752"/>
        <v>2</v>
      </c>
      <c r="K126" s="101">
        <f t="shared" si="752"/>
        <v>2</v>
      </c>
      <c r="L126" s="101">
        <f t="shared" si="752"/>
        <v>0</v>
      </c>
      <c r="M126" s="140">
        <f t="shared" si="690"/>
        <v>41</v>
      </c>
      <c r="N126" s="97">
        <f t="shared" ref="N126:T126" si="753">RANDBETWEEN(0,10)</f>
        <v>9</v>
      </c>
      <c r="O126" s="97">
        <f t="shared" si="753"/>
        <v>9</v>
      </c>
      <c r="P126" s="97">
        <f t="shared" si="753"/>
        <v>1</v>
      </c>
      <c r="Q126" s="97">
        <f t="shared" si="753"/>
        <v>7</v>
      </c>
      <c r="R126" s="97">
        <f t="shared" si="753"/>
        <v>5</v>
      </c>
      <c r="S126" s="97">
        <f t="shared" si="753"/>
        <v>8</v>
      </c>
      <c r="T126" s="97">
        <f t="shared" si="753"/>
        <v>2</v>
      </c>
      <c r="U126" s="103">
        <f t="shared" si="734"/>
        <v>16</v>
      </c>
      <c r="V126" s="158">
        <f t="shared" si="727"/>
        <v>4</v>
      </c>
      <c r="W126" s="97">
        <f t="shared" ref="W126:Y126" si="754">RANDBETWEEN(0,2)</f>
        <v>2</v>
      </c>
      <c r="X126" s="97">
        <f t="shared" si="754"/>
        <v>1</v>
      </c>
      <c r="Y126" s="97">
        <f t="shared" si="754"/>
        <v>1</v>
      </c>
      <c r="Z126" s="159">
        <f t="shared" si="736"/>
        <v>2</v>
      </c>
      <c r="AA126" s="106">
        <f t="shared" ref="AA126:AF126" si="755">RANDBETWEEN(0,2)</f>
        <v>2</v>
      </c>
      <c r="AB126" s="106">
        <f t="shared" si="755"/>
        <v>0</v>
      </c>
      <c r="AC126" s="107">
        <f t="shared" si="755"/>
        <v>2</v>
      </c>
      <c r="AD126" s="108">
        <f t="shared" si="755"/>
        <v>1</v>
      </c>
      <c r="AE126" s="108">
        <f t="shared" si="755"/>
        <v>2</v>
      </c>
      <c r="AF126" s="108">
        <f t="shared" si="755"/>
        <v>0</v>
      </c>
      <c r="AG126" s="160">
        <f t="shared" si="697"/>
        <v>5</v>
      </c>
      <c r="AH126" s="107">
        <f t="shared" ref="AH126:AJ126" si="756">RANDBETWEEN(1,10)</f>
        <v>5</v>
      </c>
      <c r="AI126" s="108">
        <f t="shared" si="756"/>
        <v>3</v>
      </c>
      <c r="AJ126" s="108">
        <f t="shared" si="756"/>
        <v>2</v>
      </c>
      <c r="AK126" s="147">
        <f t="shared" si="699"/>
        <v>10</v>
      </c>
      <c r="AL126" s="107"/>
      <c r="AM126" s="108"/>
      <c r="AN126" s="108"/>
      <c r="AO126" s="108"/>
      <c r="AP126" s="148"/>
      <c r="AQ126" s="107"/>
      <c r="AR126" s="108"/>
      <c r="AS126" s="108"/>
      <c r="AT126" s="149"/>
      <c r="AU126" s="107"/>
      <c r="AV126" s="108"/>
      <c r="AW126" s="108"/>
      <c r="AX126" s="150"/>
      <c r="AY126" s="92">
        <f t="shared" ref="AY126:AZ126" si="757">RANDBETWEEN(1,10)/10</f>
        <v>0.9</v>
      </c>
      <c r="AZ126" s="92">
        <f t="shared" si="757"/>
        <v>0.7</v>
      </c>
      <c r="BA126" s="93">
        <v>0.0</v>
      </c>
      <c r="BB126" s="93">
        <v>1.0</v>
      </c>
      <c r="BC126" s="94">
        <f>SUM(BC98,'ГОЧ'!$AY126)</f>
        <v>1201.9</v>
      </c>
      <c r="BD126" s="94">
        <f>SUM(BD98,'ГОЧ'!$AZ126)</f>
        <v>1201.5</v>
      </c>
      <c r="BE126" s="108"/>
      <c r="BF126" s="108" t="s">
        <v>168</v>
      </c>
    </row>
    <row r="127" ht="15.75" customHeight="1">
      <c r="A127" s="67">
        <f t="shared" si="687"/>
        <v>46258</v>
      </c>
      <c r="B127" s="114" t="s">
        <v>29</v>
      </c>
      <c r="C127" s="164">
        <f t="shared" si="688"/>
        <v>11</v>
      </c>
      <c r="D127" s="165">
        <f t="shared" ref="D127:L127" si="758">D122+D123+D124+D125+D126</f>
        <v>5</v>
      </c>
      <c r="E127" s="165">
        <f t="shared" si="758"/>
        <v>7</v>
      </c>
      <c r="F127" s="165">
        <f t="shared" si="758"/>
        <v>6</v>
      </c>
      <c r="G127" s="165">
        <f t="shared" si="758"/>
        <v>4</v>
      </c>
      <c r="H127" s="164">
        <f t="shared" si="758"/>
        <v>5</v>
      </c>
      <c r="I127" s="165">
        <f t="shared" si="758"/>
        <v>7</v>
      </c>
      <c r="J127" s="164">
        <f t="shared" si="758"/>
        <v>4</v>
      </c>
      <c r="K127" s="165">
        <f t="shared" si="758"/>
        <v>4</v>
      </c>
      <c r="L127" s="165">
        <f t="shared" si="758"/>
        <v>6</v>
      </c>
      <c r="M127" s="164">
        <f t="shared" si="690"/>
        <v>179</v>
      </c>
      <c r="N127" s="164">
        <f t="shared" ref="N127:U127" si="759">N122+N123+N124+N125+N126</f>
        <v>32</v>
      </c>
      <c r="O127" s="165">
        <f t="shared" si="759"/>
        <v>24</v>
      </c>
      <c r="P127" s="165">
        <f t="shared" si="759"/>
        <v>21</v>
      </c>
      <c r="Q127" s="165">
        <f t="shared" si="759"/>
        <v>26</v>
      </c>
      <c r="R127" s="165">
        <f t="shared" si="759"/>
        <v>25</v>
      </c>
      <c r="S127" s="165">
        <f t="shared" si="759"/>
        <v>30</v>
      </c>
      <c r="T127" s="165">
        <f t="shared" si="759"/>
        <v>21</v>
      </c>
      <c r="U127" s="164">
        <f t="shared" si="759"/>
        <v>84</v>
      </c>
      <c r="V127" s="164">
        <f t="shared" si="727"/>
        <v>12</v>
      </c>
      <c r="W127" s="165">
        <f t="shared" ref="W127:Y127" si="760">W122+W123+W124+W125+W126</f>
        <v>6</v>
      </c>
      <c r="X127" s="165">
        <f t="shared" si="760"/>
        <v>3</v>
      </c>
      <c r="Y127" s="165">
        <f t="shared" si="760"/>
        <v>3</v>
      </c>
      <c r="Z127" s="165">
        <f t="shared" si="736"/>
        <v>10</v>
      </c>
      <c r="AA127" s="165">
        <f t="shared" ref="AA127:AC127" si="761">AA122+AA123+AA124+AA125+AA126</f>
        <v>5</v>
      </c>
      <c r="AB127" s="165">
        <f t="shared" si="761"/>
        <v>5</v>
      </c>
      <c r="AC127" s="166">
        <f t="shared" si="761"/>
        <v>6</v>
      </c>
      <c r="AD127" s="167">
        <f>AE122+AD123+AD124+AD125+AD126</f>
        <v>5</v>
      </c>
      <c r="AE127" s="167">
        <f t="shared" ref="AE127:AF127" si="762">AE122+AE123+AE124+AE125+AE126</f>
        <v>6</v>
      </c>
      <c r="AF127" s="167">
        <f t="shared" si="762"/>
        <v>1</v>
      </c>
      <c r="AG127" s="168">
        <f t="shared" si="697"/>
        <v>18</v>
      </c>
      <c r="AH127" s="166">
        <f t="shared" ref="AH127:AJ127" si="763">AH122+AH123+AH124+AH125+AH126</f>
        <v>23</v>
      </c>
      <c r="AI127" s="166">
        <f t="shared" si="763"/>
        <v>17</v>
      </c>
      <c r="AJ127" s="166">
        <f t="shared" si="763"/>
        <v>32</v>
      </c>
      <c r="AK127" s="168">
        <f t="shared" si="699"/>
        <v>72</v>
      </c>
      <c r="AL127" s="166"/>
      <c r="AM127" s="167"/>
      <c r="AN127" s="167"/>
      <c r="AO127" s="167"/>
      <c r="AP127" s="169"/>
      <c r="AQ127" s="166"/>
      <c r="AR127" s="166"/>
      <c r="AS127" s="166"/>
      <c r="AT127" s="170"/>
      <c r="AU127" s="166"/>
      <c r="AV127" s="166"/>
      <c r="AW127" s="166"/>
      <c r="AX127" s="171"/>
      <c r="AY127" s="172">
        <f t="shared" ref="AY127:BD127" si="764">AY122+AY123+AY124+AY125+AY126</f>
        <v>3.4</v>
      </c>
      <c r="AZ127" s="172">
        <f t="shared" si="764"/>
        <v>2.9</v>
      </c>
      <c r="BA127" s="166">
        <f t="shared" si="764"/>
        <v>3</v>
      </c>
      <c r="BB127" s="166">
        <f t="shared" si="764"/>
        <v>3</v>
      </c>
      <c r="BC127" s="173">
        <f t="shared" si="764"/>
        <v>6012.6</v>
      </c>
      <c r="BD127" s="173">
        <f t="shared" si="764"/>
        <v>6010.2</v>
      </c>
      <c r="BE127" s="154" t="str">
        <f t="shared" ref="BE127:BF127" si="765">TEXTJOIN(", ",TRUE,BE122:BE126)</f>
        <v>Олександівка, Пантелеймонівка, Миколаївка</v>
      </c>
      <c r="BF127" s="154" t="str">
        <f t="shared" si="765"/>
        <v>Загреблі, Верхні води, Ступочки</v>
      </c>
    </row>
    <row r="128" ht="15.75" customHeight="1">
      <c r="A128" s="67">
        <f t="shared" si="687"/>
        <v>46258</v>
      </c>
      <c r="B128" s="124" t="s">
        <v>31</v>
      </c>
      <c r="C128" s="174">
        <f t="shared" si="688"/>
        <v>4</v>
      </c>
      <c r="D128" s="175">
        <f t="shared" ref="D128:L128" si="766">RANDBETWEEN(0,2)</f>
        <v>2</v>
      </c>
      <c r="E128" s="175">
        <f t="shared" si="766"/>
        <v>1</v>
      </c>
      <c r="F128" s="175">
        <f t="shared" si="766"/>
        <v>2</v>
      </c>
      <c r="G128" s="175">
        <f t="shared" si="766"/>
        <v>1</v>
      </c>
      <c r="H128" s="176">
        <f t="shared" si="766"/>
        <v>1</v>
      </c>
      <c r="I128" s="177">
        <f t="shared" si="766"/>
        <v>0</v>
      </c>
      <c r="J128" s="178">
        <f t="shared" si="766"/>
        <v>2</v>
      </c>
      <c r="K128" s="179">
        <f t="shared" si="766"/>
        <v>0</v>
      </c>
      <c r="L128" s="179">
        <f t="shared" si="766"/>
        <v>2</v>
      </c>
      <c r="M128" s="180">
        <f t="shared" si="690"/>
        <v>29</v>
      </c>
      <c r="N128" s="175">
        <f t="shared" ref="N128:T128" si="767">RANDBETWEEN(0,10)</f>
        <v>9</v>
      </c>
      <c r="O128" s="175">
        <f t="shared" si="767"/>
        <v>1</v>
      </c>
      <c r="P128" s="175">
        <f t="shared" si="767"/>
        <v>10</v>
      </c>
      <c r="Q128" s="175">
        <f t="shared" si="767"/>
        <v>1</v>
      </c>
      <c r="R128" s="175">
        <f t="shared" si="767"/>
        <v>1</v>
      </c>
      <c r="S128" s="175">
        <f t="shared" si="767"/>
        <v>5</v>
      </c>
      <c r="T128" s="175">
        <f t="shared" si="767"/>
        <v>2</v>
      </c>
      <c r="U128" s="181">
        <f t="shared" ref="U128:U133" si="774">RANDBETWEEN(10,30)</f>
        <v>27</v>
      </c>
      <c r="V128" s="182">
        <f t="shared" si="727"/>
        <v>3</v>
      </c>
      <c r="W128" s="175">
        <f t="shared" ref="W128:Y128" si="768">RANDBETWEEN(0,2)</f>
        <v>0</v>
      </c>
      <c r="X128" s="175">
        <f t="shared" si="768"/>
        <v>2</v>
      </c>
      <c r="Y128" s="175">
        <f t="shared" si="768"/>
        <v>1</v>
      </c>
      <c r="Z128" s="183">
        <f t="shared" si="736"/>
        <v>1</v>
      </c>
      <c r="AA128" s="184">
        <f t="shared" ref="AA128:AF128" si="769">RANDBETWEEN(0,2)</f>
        <v>0</v>
      </c>
      <c r="AB128" s="184">
        <f t="shared" si="769"/>
        <v>1</v>
      </c>
      <c r="AC128" s="185">
        <f t="shared" si="769"/>
        <v>1</v>
      </c>
      <c r="AD128" s="186">
        <f t="shared" si="769"/>
        <v>2</v>
      </c>
      <c r="AE128" s="186">
        <f t="shared" si="769"/>
        <v>0</v>
      </c>
      <c r="AF128" s="186">
        <f t="shared" si="769"/>
        <v>1</v>
      </c>
      <c r="AG128" s="187">
        <f t="shared" si="697"/>
        <v>4</v>
      </c>
      <c r="AH128" s="185">
        <f t="shared" ref="AH128:AJ128" si="770">RANDBETWEEN(1,10)</f>
        <v>6</v>
      </c>
      <c r="AI128" s="186">
        <f t="shared" si="770"/>
        <v>5</v>
      </c>
      <c r="AJ128" s="186">
        <f t="shared" si="770"/>
        <v>1</v>
      </c>
      <c r="AK128" s="188">
        <f t="shared" si="699"/>
        <v>12</v>
      </c>
      <c r="AL128" s="185"/>
      <c r="AM128" s="186"/>
      <c r="AN128" s="186"/>
      <c r="AO128" s="186"/>
      <c r="AP128" s="189"/>
      <c r="AQ128" s="185"/>
      <c r="AR128" s="186"/>
      <c r="AS128" s="186"/>
      <c r="AT128" s="190"/>
      <c r="AU128" s="185"/>
      <c r="AV128" s="186"/>
      <c r="AW128" s="186"/>
      <c r="AX128" s="191"/>
      <c r="AY128" s="92">
        <f t="shared" ref="AY128:AZ128" si="771">RANDBETWEEN(1,10)/10</f>
        <v>0.8</v>
      </c>
      <c r="AZ128" s="92">
        <f t="shared" si="771"/>
        <v>0.5</v>
      </c>
      <c r="BA128" s="93">
        <v>0.0</v>
      </c>
      <c r="BB128" s="93">
        <v>0.0</v>
      </c>
      <c r="BC128" s="94">
        <f>SUM(BC100,'ГОЧ'!$AY128)</f>
        <v>1201.5</v>
      </c>
      <c r="BD128" s="94">
        <f>SUM(BD100,'ГОЧ'!$AZ128)</f>
        <v>1202.8</v>
      </c>
      <c r="BE128" s="186"/>
      <c r="BF128" s="186"/>
    </row>
    <row r="129" ht="15.75" customHeight="1">
      <c r="A129" s="67">
        <f t="shared" si="687"/>
        <v>46258</v>
      </c>
      <c r="B129" s="138" t="s">
        <v>33</v>
      </c>
      <c r="C129" s="157">
        <f t="shared" si="688"/>
        <v>1</v>
      </c>
      <c r="D129" s="97">
        <f t="shared" ref="D129:L129" si="772">RANDBETWEEN(0,2)</f>
        <v>1</v>
      </c>
      <c r="E129" s="97">
        <f t="shared" si="772"/>
        <v>1</v>
      </c>
      <c r="F129" s="97">
        <f t="shared" si="772"/>
        <v>0</v>
      </c>
      <c r="G129" s="97">
        <f t="shared" si="772"/>
        <v>0</v>
      </c>
      <c r="H129" s="98">
        <f t="shared" si="772"/>
        <v>2</v>
      </c>
      <c r="I129" s="99">
        <f t="shared" si="772"/>
        <v>2</v>
      </c>
      <c r="J129" s="100">
        <f t="shared" si="772"/>
        <v>2</v>
      </c>
      <c r="K129" s="101">
        <f t="shared" si="772"/>
        <v>2</v>
      </c>
      <c r="L129" s="101">
        <f t="shared" si="772"/>
        <v>2</v>
      </c>
      <c r="M129" s="140">
        <f t="shared" si="690"/>
        <v>30</v>
      </c>
      <c r="N129" s="97">
        <f t="shared" ref="N129:T129" si="773">RANDBETWEEN(0,10)</f>
        <v>4</v>
      </c>
      <c r="O129" s="97">
        <f t="shared" si="773"/>
        <v>1</v>
      </c>
      <c r="P129" s="97">
        <f t="shared" si="773"/>
        <v>0</v>
      </c>
      <c r="Q129" s="97">
        <f t="shared" si="773"/>
        <v>7</v>
      </c>
      <c r="R129" s="97">
        <f t="shared" si="773"/>
        <v>7</v>
      </c>
      <c r="S129" s="97">
        <f t="shared" si="773"/>
        <v>3</v>
      </c>
      <c r="T129" s="97">
        <f t="shared" si="773"/>
        <v>8</v>
      </c>
      <c r="U129" s="103">
        <f t="shared" si="774"/>
        <v>20</v>
      </c>
      <c r="V129" s="158">
        <f t="shared" si="727"/>
        <v>3</v>
      </c>
      <c r="W129" s="97">
        <f t="shared" ref="W129:Y129" si="775">RANDBETWEEN(0,2)</f>
        <v>2</v>
      </c>
      <c r="X129" s="97">
        <f t="shared" si="775"/>
        <v>0</v>
      </c>
      <c r="Y129" s="97">
        <f t="shared" si="775"/>
        <v>1</v>
      </c>
      <c r="Z129" s="105">
        <f t="shared" si="736"/>
        <v>3</v>
      </c>
      <c r="AA129" s="143">
        <f t="shared" ref="AA129:AF129" si="776">RANDBETWEEN(0,2)</f>
        <v>2</v>
      </c>
      <c r="AB129" s="143">
        <f t="shared" si="776"/>
        <v>1</v>
      </c>
      <c r="AC129" s="144">
        <f t="shared" si="776"/>
        <v>1</v>
      </c>
      <c r="AD129" s="145">
        <f t="shared" si="776"/>
        <v>0</v>
      </c>
      <c r="AE129" s="145">
        <f t="shared" si="776"/>
        <v>1</v>
      </c>
      <c r="AF129" s="145">
        <f t="shared" si="776"/>
        <v>0</v>
      </c>
      <c r="AG129" s="86">
        <f t="shared" si="697"/>
        <v>2</v>
      </c>
      <c r="AH129" s="144">
        <f t="shared" ref="AH129:AJ129" si="777">RANDBETWEEN(1,10)</f>
        <v>8</v>
      </c>
      <c r="AI129" s="145">
        <f t="shared" si="777"/>
        <v>4</v>
      </c>
      <c r="AJ129" s="145">
        <f t="shared" si="777"/>
        <v>6</v>
      </c>
      <c r="AK129" s="192">
        <f t="shared" si="699"/>
        <v>18</v>
      </c>
      <c r="AL129" s="144"/>
      <c r="AM129" s="145"/>
      <c r="AN129" s="145"/>
      <c r="AO129" s="145"/>
      <c r="AP129" s="89"/>
      <c r="AQ129" s="144"/>
      <c r="AR129" s="145"/>
      <c r="AS129" s="145"/>
      <c r="AT129" s="193"/>
      <c r="AU129" s="144"/>
      <c r="AV129" s="145"/>
      <c r="AW129" s="145"/>
      <c r="AX129" s="194"/>
      <c r="AY129" s="92">
        <f t="shared" ref="AY129:AZ129" si="778">RANDBETWEEN(1,10)/10</f>
        <v>0.7</v>
      </c>
      <c r="AZ129" s="92">
        <f t="shared" si="778"/>
        <v>1</v>
      </c>
      <c r="BA129" s="93">
        <v>0.0</v>
      </c>
      <c r="BB129" s="93">
        <v>0.0</v>
      </c>
      <c r="BC129" s="94">
        <f>SUM(BC101,'ГОЧ'!$AY129)</f>
        <v>1202.5</v>
      </c>
      <c r="BD129" s="94">
        <f>SUM(BD101,'ГОЧ'!$AZ129)</f>
        <v>1202.4</v>
      </c>
      <c r="BE129" s="108"/>
      <c r="BF129" s="108"/>
    </row>
    <row r="130" ht="15.75" customHeight="1">
      <c r="A130" s="67">
        <f t="shared" si="687"/>
        <v>46258</v>
      </c>
      <c r="B130" s="138" t="s">
        <v>35</v>
      </c>
      <c r="C130" s="157">
        <f t="shared" si="688"/>
        <v>3</v>
      </c>
      <c r="D130" s="97">
        <f t="shared" ref="D130:L130" si="779">RANDBETWEEN(0,2)</f>
        <v>2</v>
      </c>
      <c r="E130" s="97">
        <f t="shared" si="779"/>
        <v>1</v>
      </c>
      <c r="F130" s="97">
        <f t="shared" si="779"/>
        <v>1</v>
      </c>
      <c r="G130" s="97">
        <f t="shared" si="779"/>
        <v>2</v>
      </c>
      <c r="H130" s="98">
        <f t="shared" si="779"/>
        <v>1</v>
      </c>
      <c r="I130" s="99">
        <f t="shared" si="779"/>
        <v>2</v>
      </c>
      <c r="J130" s="100">
        <f t="shared" si="779"/>
        <v>1</v>
      </c>
      <c r="K130" s="101">
        <f t="shared" si="779"/>
        <v>2</v>
      </c>
      <c r="L130" s="101">
        <f t="shared" si="779"/>
        <v>2</v>
      </c>
      <c r="M130" s="140">
        <f t="shared" si="690"/>
        <v>37</v>
      </c>
      <c r="N130" s="97">
        <f t="shared" ref="N130:T130" si="780">RANDBETWEEN(0,10)</f>
        <v>5</v>
      </c>
      <c r="O130" s="97">
        <f t="shared" si="780"/>
        <v>10</v>
      </c>
      <c r="P130" s="97">
        <f t="shared" si="780"/>
        <v>3</v>
      </c>
      <c r="Q130" s="97">
        <f t="shared" si="780"/>
        <v>8</v>
      </c>
      <c r="R130" s="97">
        <f t="shared" si="780"/>
        <v>4</v>
      </c>
      <c r="S130" s="97">
        <f t="shared" si="780"/>
        <v>5</v>
      </c>
      <c r="T130" s="97">
        <f t="shared" si="780"/>
        <v>2</v>
      </c>
      <c r="U130" s="103">
        <f t="shared" si="774"/>
        <v>17</v>
      </c>
      <c r="V130" s="158">
        <f t="shared" si="727"/>
        <v>0</v>
      </c>
      <c r="W130" s="97">
        <f t="shared" ref="W130:Y130" si="781">RANDBETWEEN(0,2)</f>
        <v>0</v>
      </c>
      <c r="X130" s="97">
        <f t="shared" si="781"/>
        <v>0</v>
      </c>
      <c r="Y130" s="97">
        <f t="shared" si="781"/>
        <v>0</v>
      </c>
      <c r="Z130" s="105">
        <f t="shared" si="736"/>
        <v>1</v>
      </c>
      <c r="AA130" s="106">
        <f t="shared" ref="AA130:AF130" si="782">RANDBETWEEN(0,2)</f>
        <v>0</v>
      </c>
      <c r="AB130" s="106">
        <f t="shared" si="782"/>
        <v>1</v>
      </c>
      <c r="AC130" s="107">
        <f t="shared" si="782"/>
        <v>0</v>
      </c>
      <c r="AD130" s="108">
        <f t="shared" si="782"/>
        <v>1</v>
      </c>
      <c r="AE130" s="108">
        <f t="shared" si="782"/>
        <v>2</v>
      </c>
      <c r="AF130" s="108">
        <f t="shared" si="782"/>
        <v>1</v>
      </c>
      <c r="AG130" s="86">
        <f t="shared" si="697"/>
        <v>4</v>
      </c>
      <c r="AH130" s="107">
        <f t="shared" ref="AH130:AJ130" si="783">RANDBETWEEN(1,10)</f>
        <v>8</v>
      </c>
      <c r="AI130" s="108">
        <f t="shared" si="783"/>
        <v>5</v>
      </c>
      <c r="AJ130" s="108">
        <f t="shared" si="783"/>
        <v>1</v>
      </c>
      <c r="AK130" s="192">
        <f t="shared" si="699"/>
        <v>14</v>
      </c>
      <c r="AL130" s="107"/>
      <c r="AM130" s="108"/>
      <c r="AN130" s="108"/>
      <c r="AO130" s="108"/>
      <c r="AP130" s="89"/>
      <c r="AQ130" s="107"/>
      <c r="AR130" s="108"/>
      <c r="AS130" s="108"/>
      <c r="AT130" s="193"/>
      <c r="AU130" s="107"/>
      <c r="AV130" s="108"/>
      <c r="AW130" s="108"/>
      <c r="AX130" s="194"/>
      <c r="AY130" s="92">
        <f t="shared" ref="AY130:AZ130" si="784">RANDBETWEEN(1,10)/10</f>
        <v>0.6</v>
      </c>
      <c r="AZ130" s="92">
        <f t="shared" si="784"/>
        <v>0.3</v>
      </c>
      <c r="BA130" s="93">
        <v>0.0</v>
      </c>
      <c r="BB130" s="93">
        <v>0.0</v>
      </c>
      <c r="BC130" s="94">
        <f>SUM(BC102,'ГОЧ'!$AY130)</f>
        <v>1202.7</v>
      </c>
      <c r="BD130" s="94">
        <f>SUM(BD102,'ГОЧ'!$AZ130)</f>
        <v>1202.7</v>
      </c>
      <c r="BE130" s="108"/>
      <c r="BF130" s="108"/>
    </row>
    <row r="131" ht="15.75" customHeight="1">
      <c r="A131" s="67">
        <f t="shared" si="687"/>
        <v>46258</v>
      </c>
      <c r="B131" s="138" t="s">
        <v>36</v>
      </c>
      <c r="C131" s="157">
        <f t="shared" si="688"/>
        <v>2</v>
      </c>
      <c r="D131" s="97">
        <f t="shared" ref="D131:L131" si="785">RANDBETWEEN(0,2)</f>
        <v>2</v>
      </c>
      <c r="E131" s="97">
        <f t="shared" si="785"/>
        <v>0</v>
      </c>
      <c r="F131" s="97">
        <f t="shared" si="785"/>
        <v>0</v>
      </c>
      <c r="G131" s="97">
        <f t="shared" si="785"/>
        <v>0</v>
      </c>
      <c r="H131" s="98">
        <f t="shared" si="785"/>
        <v>0</v>
      </c>
      <c r="I131" s="99">
        <f t="shared" si="785"/>
        <v>2</v>
      </c>
      <c r="J131" s="100">
        <f t="shared" si="785"/>
        <v>0</v>
      </c>
      <c r="K131" s="101">
        <f t="shared" si="785"/>
        <v>2</v>
      </c>
      <c r="L131" s="101">
        <f t="shared" si="785"/>
        <v>0</v>
      </c>
      <c r="M131" s="140">
        <f t="shared" si="690"/>
        <v>37</v>
      </c>
      <c r="N131" s="97">
        <f t="shared" ref="N131:T131" si="786">RANDBETWEEN(0,10)</f>
        <v>2</v>
      </c>
      <c r="O131" s="97">
        <f t="shared" si="786"/>
        <v>2</v>
      </c>
      <c r="P131" s="97">
        <f t="shared" si="786"/>
        <v>5</v>
      </c>
      <c r="Q131" s="97">
        <f t="shared" si="786"/>
        <v>10</v>
      </c>
      <c r="R131" s="97">
        <f t="shared" si="786"/>
        <v>2</v>
      </c>
      <c r="S131" s="97">
        <f t="shared" si="786"/>
        <v>8</v>
      </c>
      <c r="T131" s="97">
        <f t="shared" si="786"/>
        <v>8</v>
      </c>
      <c r="U131" s="103">
        <f t="shared" si="774"/>
        <v>16</v>
      </c>
      <c r="V131" s="158">
        <f t="shared" si="727"/>
        <v>0</v>
      </c>
      <c r="W131" s="97">
        <f t="shared" ref="W131:Y131" si="787">RANDBETWEEN(0,2)</f>
        <v>0</v>
      </c>
      <c r="X131" s="97">
        <f t="shared" si="787"/>
        <v>0</v>
      </c>
      <c r="Y131" s="97">
        <f t="shared" si="787"/>
        <v>0</v>
      </c>
      <c r="Z131" s="105">
        <f t="shared" si="736"/>
        <v>0</v>
      </c>
      <c r="AA131" s="143">
        <f t="shared" ref="AA131:AF131" si="788">RANDBETWEEN(0,2)</f>
        <v>0</v>
      </c>
      <c r="AB131" s="143">
        <f t="shared" si="788"/>
        <v>0</v>
      </c>
      <c r="AC131" s="144">
        <f t="shared" si="788"/>
        <v>2</v>
      </c>
      <c r="AD131" s="145">
        <f t="shared" si="788"/>
        <v>0</v>
      </c>
      <c r="AE131" s="145">
        <f t="shared" si="788"/>
        <v>2</v>
      </c>
      <c r="AF131" s="145">
        <f t="shared" si="788"/>
        <v>0</v>
      </c>
      <c r="AG131" s="86">
        <f t="shared" si="697"/>
        <v>4</v>
      </c>
      <c r="AH131" s="144">
        <f t="shared" ref="AH131:AJ131" si="789">RANDBETWEEN(1,10)</f>
        <v>10</v>
      </c>
      <c r="AI131" s="145">
        <f t="shared" si="789"/>
        <v>8</v>
      </c>
      <c r="AJ131" s="145">
        <f t="shared" si="789"/>
        <v>4</v>
      </c>
      <c r="AK131" s="192">
        <f t="shared" si="699"/>
        <v>22</v>
      </c>
      <c r="AL131" s="144"/>
      <c r="AM131" s="145"/>
      <c r="AN131" s="145"/>
      <c r="AO131" s="145"/>
      <c r="AP131" s="89"/>
      <c r="AQ131" s="144"/>
      <c r="AR131" s="145"/>
      <c r="AS131" s="145"/>
      <c r="AT131" s="193"/>
      <c r="AU131" s="144"/>
      <c r="AV131" s="145"/>
      <c r="AW131" s="145"/>
      <c r="AX131" s="194"/>
      <c r="AY131" s="92">
        <f t="shared" ref="AY131:AZ131" si="790">RANDBETWEEN(1,10)/10</f>
        <v>0.7</v>
      </c>
      <c r="AZ131" s="92">
        <f t="shared" si="790"/>
        <v>1</v>
      </c>
      <c r="BA131" s="93">
        <v>0.0</v>
      </c>
      <c r="BB131" s="93">
        <v>0.0</v>
      </c>
      <c r="BC131" s="94">
        <f>SUM(BC103,'ГОЧ'!$AY131)</f>
        <v>1202.7</v>
      </c>
      <c r="BD131" s="94">
        <f>SUM(BD103,'ГОЧ'!$AZ131)</f>
        <v>1202.2</v>
      </c>
      <c r="BE131" s="108"/>
      <c r="BF131" s="108"/>
    </row>
    <row r="132" ht="15.75" customHeight="1">
      <c r="A132" s="67">
        <f t="shared" si="687"/>
        <v>46258</v>
      </c>
      <c r="B132" s="195" t="s">
        <v>38</v>
      </c>
      <c r="C132" s="157">
        <f t="shared" si="688"/>
        <v>1</v>
      </c>
      <c r="D132" s="97">
        <f t="shared" ref="D132:L132" si="791">RANDBETWEEN(0,2)</f>
        <v>1</v>
      </c>
      <c r="E132" s="97">
        <f t="shared" si="791"/>
        <v>1</v>
      </c>
      <c r="F132" s="97">
        <f t="shared" si="791"/>
        <v>0</v>
      </c>
      <c r="G132" s="97">
        <f t="shared" si="791"/>
        <v>1</v>
      </c>
      <c r="H132" s="98">
        <f t="shared" si="791"/>
        <v>2</v>
      </c>
      <c r="I132" s="99">
        <f t="shared" si="791"/>
        <v>1</v>
      </c>
      <c r="J132" s="100">
        <f t="shared" si="791"/>
        <v>2</v>
      </c>
      <c r="K132" s="101">
        <f t="shared" si="791"/>
        <v>2</v>
      </c>
      <c r="L132" s="101">
        <f t="shared" si="791"/>
        <v>1</v>
      </c>
      <c r="M132" s="140">
        <f t="shared" si="690"/>
        <v>37</v>
      </c>
      <c r="N132" s="97">
        <f t="shared" ref="N132:T132" si="792">RANDBETWEEN(0,10)</f>
        <v>7</v>
      </c>
      <c r="O132" s="97">
        <f t="shared" si="792"/>
        <v>10</v>
      </c>
      <c r="P132" s="97">
        <f t="shared" si="792"/>
        <v>5</v>
      </c>
      <c r="Q132" s="97">
        <f t="shared" si="792"/>
        <v>2</v>
      </c>
      <c r="R132" s="97">
        <f t="shared" si="792"/>
        <v>5</v>
      </c>
      <c r="S132" s="97">
        <f t="shared" si="792"/>
        <v>6</v>
      </c>
      <c r="T132" s="97">
        <f t="shared" si="792"/>
        <v>2</v>
      </c>
      <c r="U132" s="103">
        <f t="shared" si="774"/>
        <v>26</v>
      </c>
      <c r="V132" s="158">
        <f t="shared" si="727"/>
        <v>0</v>
      </c>
      <c r="W132" s="97">
        <f t="shared" ref="W132:Y132" si="793">RANDBETWEEN(0,2)</f>
        <v>0</v>
      </c>
      <c r="X132" s="97">
        <f t="shared" si="793"/>
        <v>0</v>
      </c>
      <c r="Y132" s="97">
        <f t="shared" si="793"/>
        <v>0</v>
      </c>
      <c r="Z132" s="105">
        <f t="shared" si="736"/>
        <v>2</v>
      </c>
      <c r="AA132" s="106">
        <f t="shared" ref="AA132:AF132" si="794">RANDBETWEEN(0,2)</f>
        <v>2</v>
      </c>
      <c r="AB132" s="106">
        <f t="shared" si="794"/>
        <v>0</v>
      </c>
      <c r="AC132" s="107">
        <f t="shared" si="794"/>
        <v>0</v>
      </c>
      <c r="AD132" s="108">
        <f t="shared" si="794"/>
        <v>1</v>
      </c>
      <c r="AE132" s="108">
        <f t="shared" si="794"/>
        <v>1</v>
      </c>
      <c r="AF132" s="108">
        <f t="shared" si="794"/>
        <v>2</v>
      </c>
      <c r="AG132" s="86">
        <f t="shared" si="697"/>
        <v>4</v>
      </c>
      <c r="AH132" s="107">
        <f t="shared" ref="AH132:AJ132" si="795">RANDBETWEEN(1,10)</f>
        <v>9</v>
      </c>
      <c r="AI132" s="108">
        <f t="shared" si="795"/>
        <v>4</v>
      </c>
      <c r="AJ132" s="108">
        <f t="shared" si="795"/>
        <v>6</v>
      </c>
      <c r="AK132" s="192">
        <f t="shared" si="699"/>
        <v>19</v>
      </c>
      <c r="AL132" s="107"/>
      <c r="AM132" s="108"/>
      <c r="AN132" s="108"/>
      <c r="AO132" s="108"/>
      <c r="AP132" s="89"/>
      <c r="AQ132" s="107"/>
      <c r="AR132" s="108"/>
      <c r="AS132" s="108"/>
      <c r="AT132" s="193"/>
      <c r="AU132" s="107"/>
      <c r="AV132" s="108"/>
      <c r="AW132" s="108"/>
      <c r="AX132" s="194"/>
      <c r="AY132" s="92">
        <f t="shared" ref="AY132:AZ132" si="796">RANDBETWEEN(1,10)/10</f>
        <v>0.2</v>
      </c>
      <c r="AZ132" s="92">
        <f t="shared" si="796"/>
        <v>0.5</v>
      </c>
      <c r="BA132" s="93">
        <v>0.0</v>
      </c>
      <c r="BB132" s="93">
        <v>0.0</v>
      </c>
      <c r="BC132" s="94">
        <f>SUM(BC104,'ГОЧ'!$AY132)</f>
        <v>1201.8</v>
      </c>
      <c r="BD132" s="94">
        <f>SUM(BD104,'ГОЧ'!$AZ132)</f>
        <v>1201.2</v>
      </c>
      <c r="BE132" s="108"/>
      <c r="BF132" s="108"/>
    </row>
    <row r="133" ht="15.75" customHeight="1">
      <c r="A133" s="67">
        <f t="shared" si="687"/>
        <v>46258</v>
      </c>
      <c r="B133" s="138" t="s">
        <v>41</v>
      </c>
      <c r="C133" s="157">
        <f t="shared" si="688"/>
        <v>0</v>
      </c>
      <c r="D133" s="97">
        <f t="shared" ref="D133:L133" si="797">RANDBETWEEN(0,2)</f>
        <v>0</v>
      </c>
      <c r="E133" s="97">
        <f t="shared" si="797"/>
        <v>1</v>
      </c>
      <c r="F133" s="97">
        <f t="shared" si="797"/>
        <v>0</v>
      </c>
      <c r="G133" s="97">
        <f t="shared" si="797"/>
        <v>0</v>
      </c>
      <c r="H133" s="98">
        <f t="shared" si="797"/>
        <v>0</v>
      </c>
      <c r="I133" s="99">
        <f t="shared" si="797"/>
        <v>2</v>
      </c>
      <c r="J133" s="100">
        <f t="shared" si="797"/>
        <v>2</v>
      </c>
      <c r="K133" s="101">
        <f t="shared" si="797"/>
        <v>0</v>
      </c>
      <c r="L133" s="101">
        <f t="shared" si="797"/>
        <v>2</v>
      </c>
      <c r="M133" s="140">
        <f t="shared" si="690"/>
        <v>33</v>
      </c>
      <c r="N133" s="97">
        <f t="shared" ref="N133:T133" si="798">RANDBETWEEN(0,10)</f>
        <v>0</v>
      </c>
      <c r="O133" s="97">
        <f t="shared" si="798"/>
        <v>9</v>
      </c>
      <c r="P133" s="97">
        <f t="shared" si="798"/>
        <v>6</v>
      </c>
      <c r="Q133" s="97">
        <f t="shared" si="798"/>
        <v>9</v>
      </c>
      <c r="R133" s="97">
        <f t="shared" si="798"/>
        <v>4</v>
      </c>
      <c r="S133" s="97">
        <f t="shared" si="798"/>
        <v>2</v>
      </c>
      <c r="T133" s="97">
        <f t="shared" si="798"/>
        <v>3</v>
      </c>
      <c r="U133" s="103">
        <f t="shared" si="774"/>
        <v>18</v>
      </c>
      <c r="V133" s="158">
        <f t="shared" si="727"/>
        <v>4</v>
      </c>
      <c r="W133" s="97">
        <f t="shared" ref="W133:Y133" si="799">RANDBETWEEN(0,2)</f>
        <v>2</v>
      </c>
      <c r="X133" s="97">
        <f t="shared" si="799"/>
        <v>2</v>
      </c>
      <c r="Y133" s="97">
        <f t="shared" si="799"/>
        <v>0</v>
      </c>
      <c r="Z133" s="105">
        <f t="shared" si="736"/>
        <v>4</v>
      </c>
      <c r="AA133" s="143">
        <f t="shared" ref="AA133:AF133" si="800">RANDBETWEEN(0,2)</f>
        <v>2</v>
      </c>
      <c r="AB133" s="143">
        <f t="shared" si="800"/>
        <v>2</v>
      </c>
      <c r="AC133" s="144">
        <f t="shared" si="800"/>
        <v>2</v>
      </c>
      <c r="AD133" s="145">
        <f t="shared" si="800"/>
        <v>1</v>
      </c>
      <c r="AE133" s="145">
        <f t="shared" si="800"/>
        <v>1</v>
      </c>
      <c r="AF133" s="145">
        <f t="shared" si="800"/>
        <v>0</v>
      </c>
      <c r="AG133" s="86">
        <f t="shared" si="697"/>
        <v>4</v>
      </c>
      <c r="AH133" s="144">
        <f t="shared" ref="AH133:AJ133" si="801">RANDBETWEEN(1,10)</f>
        <v>1</v>
      </c>
      <c r="AI133" s="145">
        <f t="shared" si="801"/>
        <v>7</v>
      </c>
      <c r="AJ133" s="145">
        <f t="shared" si="801"/>
        <v>8</v>
      </c>
      <c r="AK133" s="192">
        <f t="shared" si="699"/>
        <v>16</v>
      </c>
      <c r="AL133" s="144"/>
      <c r="AM133" s="145"/>
      <c r="AN133" s="145"/>
      <c r="AO133" s="145"/>
      <c r="AP133" s="89"/>
      <c r="AQ133" s="144"/>
      <c r="AR133" s="145"/>
      <c r="AS133" s="145"/>
      <c r="AT133" s="193"/>
      <c r="AU133" s="144"/>
      <c r="AV133" s="145"/>
      <c r="AW133" s="145"/>
      <c r="AX133" s="194"/>
      <c r="AY133" s="92">
        <f t="shared" ref="AY133:AZ133" si="802">RANDBETWEEN(1,10)/10</f>
        <v>0.7</v>
      </c>
      <c r="AZ133" s="92">
        <f t="shared" si="802"/>
        <v>0.7</v>
      </c>
      <c r="BA133" s="93">
        <v>0.0</v>
      </c>
      <c r="BB133" s="93">
        <v>0.0</v>
      </c>
      <c r="BC133" s="94">
        <f>SUM(BC105,'ГОЧ'!$AY133)</f>
        <v>1202.3</v>
      </c>
      <c r="BD133" s="94">
        <f>SUM(BD105,'ГОЧ'!$AZ133)</f>
        <v>1203</v>
      </c>
      <c r="BE133" s="108"/>
      <c r="BF133" s="108"/>
    </row>
    <row r="134" ht="15.75" customHeight="1">
      <c r="A134" s="67">
        <f t="shared" si="687"/>
        <v>46258</v>
      </c>
      <c r="B134" s="114" t="s">
        <v>45</v>
      </c>
      <c r="C134" s="164">
        <f t="shared" si="688"/>
        <v>11</v>
      </c>
      <c r="D134" s="164">
        <f t="shared" ref="D134:U134" si="803">SUM(D128:D133)</f>
        <v>8</v>
      </c>
      <c r="E134" s="165">
        <f t="shared" si="803"/>
        <v>5</v>
      </c>
      <c r="F134" s="165">
        <f t="shared" si="803"/>
        <v>3</v>
      </c>
      <c r="G134" s="165">
        <f t="shared" si="803"/>
        <v>4</v>
      </c>
      <c r="H134" s="165">
        <f t="shared" si="803"/>
        <v>6</v>
      </c>
      <c r="I134" s="165">
        <f t="shared" si="803"/>
        <v>9</v>
      </c>
      <c r="J134" s="165">
        <f t="shared" si="803"/>
        <v>9</v>
      </c>
      <c r="K134" s="165">
        <f t="shared" si="803"/>
        <v>8</v>
      </c>
      <c r="L134" s="165">
        <f t="shared" si="803"/>
        <v>9</v>
      </c>
      <c r="M134" s="164">
        <f t="shared" si="803"/>
        <v>203</v>
      </c>
      <c r="N134" s="164">
        <f t="shared" si="803"/>
        <v>27</v>
      </c>
      <c r="O134" s="165">
        <f t="shared" si="803"/>
        <v>33</v>
      </c>
      <c r="P134" s="165">
        <f t="shared" si="803"/>
        <v>29</v>
      </c>
      <c r="Q134" s="165">
        <f t="shared" si="803"/>
        <v>37</v>
      </c>
      <c r="R134" s="165">
        <f t="shared" si="803"/>
        <v>23</v>
      </c>
      <c r="S134" s="165">
        <f t="shared" si="803"/>
        <v>29</v>
      </c>
      <c r="T134" s="165">
        <f t="shared" si="803"/>
        <v>25</v>
      </c>
      <c r="U134" s="164">
        <f t="shared" si="803"/>
        <v>124</v>
      </c>
      <c r="V134" s="164">
        <f t="shared" si="727"/>
        <v>10</v>
      </c>
      <c r="W134" s="165">
        <f t="shared" ref="W134:Y134" si="804">SUM(W128:W133)</f>
        <v>4</v>
      </c>
      <c r="X134" s="165">
        <f t="shared" si="804"/>
        <v>4</v>
      </c>
      <c r="Y134" s="165">
        <f t="shared" si="804"/>
        <v>2</v>
      </c>
      <c r="Z134" s="165">
        <f t="shared" si="736"/>
        <v>11</v>
      </c>
      <c r="AA134" s="165">
        <f t="shared" ref="AA134:AF134" si="805">SUM(AA128:AA133)</f>
        <v>6</v>
      </c>
      <c r="AB134" s="165">
        <f t="shared" si="805"/>
        <v>5</v>
      </c>
      <c r="AC134" s="166">
        <f t="shared" si="805"/>
        <v>6</v>
      </c>
      <c r="AD134" s="166">
        <f t="shared" si="805"/>
        <v>5</v>
      </c>
      <c r="AE134" s="166">
        <f t="shared" si="805"/>
        <v>7</v>
      </c>
      <c r="AF134" s="166">
        <f t="shared" si="805"/>
        <v>4</v>
      </c>
      <c r="AG134" s="168">
        <f t="shared" si="697"/>
        <v>22</v>
      </c>
      <c r="AH134" s="166">
        <f t="shared" ref="AH134:AJ134" si="806">SUM(AH128:AH133)</f>
        <v>42</v>
      </c>
      <c r="AI134" s="167">
        <f t="shared" si="806"/>
        <v>33</v>
      </c>
      <c r="AJ134" s="167">
        <f t="shared" si="806"/>
        <v>26</v>
      </c>
      <c r="AK134" s="168">
        <f t="shared" si="699"/>
        <v>101</v>
      </c>
      <c r="AL134" s="166"/>
      <c r="AM134" s="166"/>
      <c r="AN134" s="166"/>
      <c r="AO134" s="166"/>
      <c r="AP134" s="169"/>
      <c r="AQ134" s="166"/>
      <c r="AR134" s="167"/>
      <c r="AS134" s="167"/>
      <c r="AT134" s="170"/>
      <c r="AU134" s="166"/>
      <c r="AV134" s="167"/>
      <c r="AW134" s="167"/>
      <c r="AX134" s="171"/>
      <c r="AY134" s="196">
        <f t="shared" ref="AY134:BD134" si="807">SUM(AY128:AY133)</f>
        <v>3.7</v>
      </c>
      <c r="AZ134" s="196">
        <f t="shared" si="807"/>
        <v>4</v>
      </c>
      <c r="BA134" s="167">
        <f t="shared" si="807"/>
        <v>0</v>
      </c>
      <c r="BB134" s="167">
        <f t="shared" si="807"/>
        <v>0</v>
      </c>
      <c r="BC134" s="197">
        <f t="shared" si="807"/>
        <v>7213.5</v>
      </c>
      <c r="BD134" s="197">
        <f t="shared" si="807"/>
        <v>7214.3</v>
      </c>
      <c r="BE134" s="154" t="str">
        <f t="shared" ref="BE134:BF134" si="808">TEXTJOIN(", ",TRUE,BE128:BE133)</f>
        <v/>
      </c>
      <c r="BF134" s="154" t="str">
        <f t="shared" si="808"/>
        <v/>
      </c>
    </row>
    <row r="135" ht="15.75" customHeight="1">
      <c r="A135" s="67">
        <f t="shared" si="687"/>
        <v>46258</v>
      </c>
      <c r="B135" s="124" t="s">
        <v>49</v>
      </c>
      <c r="C135" s="174">
        <f t="shared" si="688"/>
        <v>2</v>
      </c>
      <c r="D135" s="175">
        <f t="shared" ref="D135:L135" si="809">RANDBETWEEN(0,2)</f>
        <v>0</v>
      </c>
      <c r="E135" s="175">
        <f t="shared" si="809"/>
        <v>1</v>
      </c>
      <c r="F135" s="175">
        <f t="shared" si="809"/>
        <v>2</v>
      </c>
      <c r="G135" s="175">
        <f t="shared" si="809"/>
        <v>1</v>
      </c>
      <c r="H135" s="176">
        <f t="shared" si="809"/>
        <v>0</v>
      </c>
      <c r="I135" s="177">
        <f t="shared" si="809"/>
        <v>2</v>
      </c>
      <c r="J135" s="178">
        <f t="shared" si="809"/>
        <v>0</v>
      </c>
      <c r="K135" s="179">
        <f t="shared" si="809"/>
        <v>1</v>
      </c>
      <c r="L135" s="179">
        <f t="shared" si="809"/>
        <v>1</v>
      </c>
      <c r="M135" s="180">
        <f t="shared" ref="M135:M140" si="816">SUM(N135:T135)</f>
        <v>39</v>
      </c>
      <c r="N135" s="175">
        <f t="shared" ref="N135:T135" si="810">RANDBETWEEN(0,10)</f>
        <v>3</v>
      </c>
      <c r="O135" s="175">
        <f t="shared" si="810"/>
        <v>10</v>
      </c>
      <c r="P135" s="175">
        <f t="shared" si="810"/>
        <v>2</v>
      </c>
      <c r="Q135" s="175">
        <f t="shared" si="810"/>
        <v>9</v>
      </c>
      <c r="R135" s="175">
        <f t="shared" si="810"/>
        <v>0</v>
      </c>
      <c r="S135" s="175">
        <f t="shared" si="810"/>
        <v>8</v>
      </c>
      <c r="T135" s="175">
        <f t="shared" si="810"/>
        <v>7</v>
      </c>
      <c r="U135" s="181">
        <f t="shared" ref="U135:U139" si="818">RANDBETWEEN(10,30)</f>
        <v>20</v>
      </c>
      <c r="V135" s="182">
        <f t="shared" si="727"/>
        <v>5</v>
      </c>
      <c r="W135" s="175">
        <f t="shared" ref="W135:Y135" si="811">RANDBETWEEN(0,2)</f>
        <v>1</v>
      </c>
      <c r="X135" s="175">
        <f t="shared" si="811"/>
        <v>2</v>
      </c>
      <c r="Y135" s="175">
        <f t="shared" si="811"/>
        <v>2</v>
      </c>
      <c r="Z135" s="183">
        <f t="shared" si="736"/>
        <v>4</v>
      </c>
      <c r="AA135" s="198">
        <f t="shared" ref="AA135:AF135" si="812">RANDBETWEEN(0,2)</f>
        <v>2</v>
      </c>
      <c r="AB135" s="198">
        <f t="shared" si="812"/>
        <v>2</v>
      </c>
      <c r="AC135" s="199">
        <f t="shared" si="812"/>
        <v>2</v>
      </c>
      <c r="AD135" s="200">
        <f t="shared" si="812"/>
        <v>0</v>
      </c>
      <c r="AE135" s="200">
        <f t="shared" si="812"/>
        <v>2</v>
      </c>
      <c r="AF135" s="200">
        <f t="shared" si="812"/>
        <v>0</v>
      </c>
      <c r="AG135" s="187">
        <f t="shared" si="697"/>
        <v>4</v>
      </c>
      <c r="AH135" s="199">
        <f t="shared" ref="AH135:AJ135" si="813">RANDBETWEEN(1,10)</f>
        <v>3</v>
      </c>
      <c r="AI135" s="200">
        <f t="shared" si="813"/>
        <v>3</v>
      </c>
      <c r="AJ135" s="200">
        <f t="shared" si="813"/>
        <v>1</v>
      </c>
      <c r="AK135" s="188">
        <f t="shared" si="699"/>
        <v>7</v>
      </c>
      <c r="AL135" s="199"/>
      <c r="AM135" s="200"/>
      <c r="AN135" s="200"/>
      <c r="AO135" s="200"/>
      <c r="AP135" s="189"/>
      <c r="AQ135" s="199"/>
      <c r="AR135" s="200"/>
      <c r="AS135" s="200"/>
      <c r="AT135" s="190"/>
      <c r="AU135" s="199"/>
      <c r="AV135" s="200"/>
      <c r="AW135" s="200"/>
      <c r="AX135" s="191"/>
      <c r="AY135" s="92">
        <f t="shared" ref="AY135:AZ135" si="814">RANDBETWEEN(1,10)/10</f>
        <v>0.2</v>
      </c>
      <c r="AZ135" s="92">
        <f t="shared" si="814"/>
        <v>0.5</v>
      </c>
      <c r="BA135" s="93">
        <v>0.0</v>
      </c>
      <c r="BB135" s="93">
        <v>0.0</v>
      </c>
      <c r="BC135" s="94">
        <f>SUM(BC107,'ГОЧ'!$AY135)</f>
        <v>1201.3</v>
      </c>
      <c r="BD135" s="94">
        <f>SUM(BD107,'ГОЧ'!$AZ135)</f>
        <v>1202.6</v>
      </c>
      <c r="BE135" s="186"/>
      <c r="BF135" s="186"/>
    </row>
    <row r="136" ht="15.75" customHeight="1">
      <c r="A136" s="67">
        <f t="shared" si="687"/>
        <v>46258</v>
      </c>
      <c r="B136" s="195" t="s">
        <v>53</v>
      </c>
      <c r="C136" s="157">
        <f t="shared" si="688"/>
        <v>1</v>
      </c>
      <c r="D136" s="97">
        <f t="shared" ref="D136:L136" si="815">RANDBETWEEN(0,2)</f>
        <v>1</v>
      </c>
      <c r="E136" s="97">
        <f t="shared" si="815"/>
        <v>1</v>
      </c>
      <c r="F136" s="97">
        <f t="shared" si="815"/>
        <v>0</v>
      </c>
      <c r="G136" s="97">
        <f t="shared" si="815"/>
        <v>2</v>
      </c>
      <c r="H136" s="98">
        <f t="shared" si="815"/>
        <v>2</v>
      </c>
      <c r="I136" s="99">
        <f t="shared" si="815"/>
        <v>1</v>
      </c>
      <c r="J136" s="100">
        <f t="shared" si="815"/>
        <v>0</v>
      </c>
      <c r="K136" s="101">
        <f t="shared" si="815"/>
        <v>1</v>
      </c>
      <c r="L136" s="101">
        <f t="shared" si="815"/>
        <v>2</v>
      </c>
      <c r="M136" s="140">
        <f t="shared" si="816"/>
        <v>40</v>
      </c>
      <c r="N136" s="97">
        <f t="shared" ref="N136:T136" si="817">RANDBETWEEN(0,10)</f>
        <v>1</v>
      </c>
      <c r="O136" s="97">
        <f t="shared" si="817"/>
        <v>3</v>
      </c>
      <c r="P136" s="97">
        <f t="shared" si="817"/>
        <v>4</v>
      </c>
      <c r="Q136" s="97">
        <f t="shared" si="817"/>
        <v>8</v>
      </c>
      <c r="R136" s="97">
        <f t="shared" si="817"/>
        <v>6</v>
      </c>
      <c r="S136" s="97">
        <f t="shared" si="817"/>
        <v>8</v>
      </c>
      <c r="T136" s="97">
        <f t="shared" si="817"/>
        <v>10</v>
      </c>
      <c r="U136" s="103">
        <f t="shared" si="818"/>
        <v>22</v>
      </c>
      <c r="V136" s="158">
        <f t="shared" si="727"/>
        <v>6</v>
      </c>
      <c r="W136" s="97">
        <f t="shared" ref="W136:Y136" si="819">RANDBETWEEN(0,2)</f>
        <v>2</v>
      </c>
      <c r="X136" s="97">
        <f t="shared" si="819"/>
        <v>2</v>
      </c>
      <c r="Y136" s="97">
        <f t="shared" si="819"/>
        <v>2</v>
      </c>
      <c r="Z136" s="105">
        <f t="shared" si="736"/>
        <v>3</v>
      </c>
      <c r="AA136" s="106">
        <f t="shared" ref="AA136:AF136" si="820">RANDBETWEEN(0,2)</f>
        <v>2</v>
      </c>
      <c r="AB136" s="106">
        <f t="shared" si="820"/>
        <v>1</v>
      </c>
      <c r="AC136" s="107">
        <f t="shared" si="820"/>
        <v>1</v>
      </c>
      <c r="AD136" s="108">
        <f t="shared" si="820"/>
        <v>2</v>
      </c>
      <c r="AE136" s="108">
        <f t="shared" si="820"/>
        <v>1</v>
      </c>
      <c r="AF136" s="108">
        <f t="shared" si="820"/>
        <v>1</v>
      </c>
      <c r="AG136" s="86">
        <f t="shared" si="697"/>
        <v>5</v>
      </c>
      <c r="AH136" s="107">
        <f t="shared" ref="AH136:AJ136" si="821">RANDBETWEEN(1,10)</f>
        <v>8</v>
      </c>
      <c r="AI136" s="108">
        <f t="shared" si="821"/>
        <v>7</v>
      </c>
      <c r="AJ136" s="108">
        <f t="shared" si="821"/>
        <v>2</v>
      </c>
      <c r="AK136" s="192">
        <f t="shared" si="699"/>
        <v>17</v>
      </c>
      <c r="AL136" s="107"/>
      <c r="AM136" s="108"/>
      <c r="AN136" s="108"/>
      <c r="AO136" s="108"/>
      <c r="AP136" s="89"/>
      <c r="AQ136" s="107"/>
      <c r="AR136" s="108"/>
      <c r="AS136" s="108"/>
      <c r="AT136" s="193"/>
      <c r="AU136" s="107"/>
      <c r="AV136" s="108"/>
      <c r="AW136" s="108"/>
      <c r="AX136" s="194"/>
      <c r="AY136" s="92">
        <f t="shared" ref="AY136:AZ136" si="822">RANDBETWEEN(1,10)/10</f>
        <v>0.7</v>
      </c>
      <c r="AZ136" s="92">
        <f t="shared" si="822"/>
        <v>1</v>
      </c>
      <c r="BA136" s="93">
        <v>0.0</v>
      </c>
      <c r="BB136" s="93">
        <v>0.0</v>
      </c>
      <c r="BC136" s="94">
        <f>SUM(BC108,'ГОЧ'!$AY136)</f>
        <v>1202.1</v>
      </c>
      <c r="BD136" s="94">
        <f>SUM(BD108,'ГОЧ'!$AZ136)</f>
        <v>1201.9</v>
      </c>
      <c r="BE136" s="108"/>
      <c r="BF136" s="108"/>
    </row>
    <row r="137" ht="15.75" customHeight="1">
      <c r="A137" s="67">
        <f t="shared" si="687"/>
        <v>46258</v>
      </c>
      <c r="B137" s="138" t="s">
        <v>57</v>
      </c>
      <c r="C137" s="157">
        <f t="shared" si="688"/>
        <v>2</v>
      </c>
      <c r="D137" s="97">
        <f t="shared" ref="D137:L137" si="823">RANDBETWEEN(0,2)</f>
        <v>1</v>
      </c>
      <c r="E137" s="97">
        <f t="shared" si="823"/>
        <v>2</v>
      </c>
      <c r="F137" s="97">
        <f t="shared" si="823"/>
        <v>1</v>
      </c>
      <c r="G137" s="97">
        <f t="shared" si="823"/>
        <v>1</v>
      </c>
      <c r="H137" s="98">
        <f t="shared" si="823"/>
        <v>1</v>
      </c>
      <c r="I137" s="99">
        <f t="shared" si="823"/>
        <v>2</v>
      </c>
      <c r="J137" s="100">
        <f t="shared" si="823"/>
        <v>2</v>
      </c>
      <c r="K137" s="101">
        <f t="shared" si="823"/>
        <v>1</v>
      </c>
      <c r="L137" s="101">
        <f t="shared" si="823"/>
        <v>0</v>
      </c>
      <c r="M137" s="140">
        <f t="shared" si="816"/>
        <v>24</v>
      </c>
      <c r="N137" s="97">
        <f t="shared" ref="N137:T137" si="824">RANDBETWEEN(0,10)</f>
        <v>9</v>
      </c>
      <c r="O137" s="97">
        <f t="shared" si="824"/>
        <v>5</v>
      </c>
      <c r="P137" s="97">
        <f t="shared" si="824"/>
        <v>2</v>
      </c>
      <c r="Q137" s="97">
        <f t="shared" si="824"/>
        <v>1</v>
      </c>
      <c r="R137" s="97">
        <f t="shared" si="824"/>
        <v>7</v>
      </c>
      <c r="S137" s="97">
        <f t="shared" si="824"/>
        <v>0</v>
      </c>
      <c r="T137" s="97">
        <f t="shared" si="824"/>
        <v>0</v>
      </c>
      <c r="U137" s="103">
        <f t="shared" si="818"/>
        <v>24</v>
      </c>
      <c r="V137" s="158">
        <f t="shared" si="727"/>
        <v>5</v>
      </c>
      <c r="W137" s="97">
        <f t="shared" ref="W137:Y137" si="825">RANDBETWEEN(0,2)</f>
        <v>1</v>
      </c>
      <c r="X137" s="97">
        <f t="shared" si="825"/>
        <v>2</v>
      </c>
      <c r="Y137" s="97">
        <f t="shared" si="825"/>
        <v>2</v>
      </c>
      <c r="Z137" s="105">
        <f t="shared" si="736"/>
        <v>1</v>
      </c>
      <c r="AA137" s="143">
        <f t="shared" ref="AA137:AF137" si="826">RANDBETWEEN(0,2)</f>
        <v>0</v>
      </c>
      <c r="AB137" s="143">
        <f t="shared" si="826"/>
        <v>1</v>
      </c>
      <c r="AC137" s="144">
        <f t="shared" si="826"/>
        <v>0</v>
      </c>
      <c r="AD137" s="145">
        <f t="shared" si="826"/>
        <v>2</v>
      </c>
      <c r="AE137" s="145">
        <f t="shared" si="826"/>
        <v>2</v>
      </c>
      <c r="AF137" s="145">
        <f t="shared" si="826"/>
        <v>2</v>
      </c>
      <c r="AG137" s="86">
        <f t="shared" si="697"/>
        <v>6</v>
      </c>
      <c r="AH137" s="144">
        <f t="shared" ref="AH137:AJ137" si="827">RANDBETWEEN(1,10)</f>
        <v>2</v>
      </c>
      <c r="AI137" s="145">
        <f t="shared" si="827"/>
        <v>7</v>
      </c>
      <c r="AJ137" s="145">
        <f t="shared" si="827"/>
        <v>6</v>
      </c>
      <c r="AK137" s="192">
        <f t="shared" si="699"/>
        <v>15</v>
      </c>
      <c r="AL137" s="144"/>
      <c r="AM137" s="145"/>
      <c r="AN137" s="145"/>
      <c r="AO137" s="145"/>
      <c r="AP137" s="89"/>
      <c r="AQ137" s="144"/>
      <c r="AR137" s="145"/>
      <c r="AS137" s="145"/>
      <c r="AT137" s="193"/>
      <c r="AU137" s="144"/>
      <c r="AV137" s="145"/>
      <c r="AW137" s="145"/>
      <c r="AX137" s="194"/>
      <c r="AY137" s="92">
        <f t="shared" ref="AY137:AZ137" si="828">RANDBETWEEN(1,10)/10</f>
        <v>0.4</v>
      </c>
      <c r="AZ137" s="92">
        <f t="shared" si="828"/>
        <v>1</v>
      </c>
      <c r="BA137" s="93">
        <v>0.0</v>
      </c>
      <c r="BB137" s="93">
        <v>0.0</v>
      </c>
      <c r="BC137" s="94">
        <f>SUM(BC109,'ГОЧ'!$AY137)</f>
        <v>1202.7</v>
      </c>
      <c r="BD137" s="94">
        <f>SUM(BD109,'ГОЧ'!$AZ137)</f>
        <v>1203.2</v>
      </c>
      <c r="BE137" s="108"/>
      <c r="BF137" s="108"/>
    </row>
    <row r="138" ht="15.75" customHeight="1">
      <c r="A138" s="67">
        <f t="shared" si="687"/>
        <v>46258</v>
      </c>
      <c r="B138" s="138" t="s">
        <v>60</v>
      </c>
      <c r="C138" s="157">
        <f t="shared" si="688"/>
        <v>2</v>
      </c>
      <c r="D138" s="97">
        <f t="shared" ref="D138:L138" si="829">RANDBETWEEN(0,2)</f>
        <v>2</v>
      </c>
      <c r="E138" s="97">
        <f t="shared" si="829"/>
        <v>2</v>
      </c>
      <c r="F138" s="97">
        <f t="shared" si="829"/>
        <v>0</v>
      </c>
      <c r="G138" s="97">
        <f t="shared" si="829"/>
        <v>0</v>
      </c>
      <c r="H138" s="98">
        <f t="shared" si="829"/>
        <v>2</v>
      </c>
      <c r="I138" s="99">
        <f t="shared" si="829"/>
        <v>0</v>
      </c>
      <c r="J138" s="100">
        <f t="shared" si="829"/>
        <v>2</v>
      </c>
      <c r="K138" s="101">
        <f t="shared" si="829"/>
        <v>2</v>
      </c>
      <c r="L138" s="101">
        <f t="shared" si="829"/>
        <v>2</v>
      </c>
      <c r="M138" s="140">
        <f t="shared" si="816"/>
        <v>37</v>
      </c>
      <c r="N138" s="97">
        <f t="shared" ref="N138:T138" si="830">RANDBETWEEN(0,10)</f>
        <v>9</v>
      </c>
      <c r="O138" s="97">
        <f t="shared" si="830"/>
        <v>4</v>
      </c>
      <c r="P138" s="97">
        <f t="shared" si="830"/>
        <v>5</v>
      </c>
      <c r="Q138" s="97">
        <f t="shared" si="830"/>
        <v>2</v>
      </c>
      <c r="R138" s="97">
        <f t="shared" si="830"/>
        <v>5</v>
      </c>
      <c r="S138" s="97">
        <f t="shared" si="830"/>
        <v>7</v>
      </c>
      <c r="T138" s="97">
        <f t="shared" si="830"/>
        <v>5</v>
      </c>
      <c r="U138" s="103">
        <f t="shared" si="818"/>
        <v>29</v>
      </c>
      <c r="V138" s="158">
        <f t="shared" si="727"/>
        <v>3</v>
      </c>
      <c r="W138" s="97">
        <f t="shared" ref="W138:Y138" si="831">RANDBETWEEN(0,2)</f>
        <v>0</v>
      </c>
      <c r="X138" s="97">
        <f t="shared" si="831"/>
        <v>1</v>
      </c>
      <c r="Y138" s="97">
        <f t="shared" si="831"/>
        <v>2</v>
      </c>
      <c r="Z138" s="105">
        <f t="shared" si="736"/>
        <v>2</v>
      </c>
      <c r="AA138" s="106">
        <f t="shared" ref="AA138:AF138" si="832">RANDBETWEEN(0,2)</f>
        <v>2</v>
      </c>
      <c r="AB138" s="106">
        <f t="shared" si="832"/>
        <v>0</v>
      </c>
      <c r="AC138" s="107">
        <f t="shared" si="832"/>
        <v>0</v>
      </c>
      <c r="AD138" s="108">
        <f t="shared" si="832"/>
        <v>1</v>
      </c>
      <c r="AE138" s="108">
        <f t="shared" si="832"/>
        <v>2</v>
      </c>
      <c r="AF138" s="108">
        <f t="shared" si="832"/>
        <v>2</v>
      </c>
      <c r="AG138" s="86">
        <f t="shared" si="697"/>
        <v>5</v>
      </c>
      <c r="AH138" s="107">
        <f t="shared" ref="AH138:AJ138" si="833">RANDBETWEEN(1,10)</f>
        <v>6</v>
      </c>
      <c r="AI138" s="108">
        <f t="shared" si="833"/>
        <v>4</v>
      </c>
      <c r="AJ138" s="108">
        <f t="shared" si="833"/>
        <v>10</v>
      </c>
      <c r="AK138" s="192">
        <f t="shared" si="699"/>
        <v>20</v>
      </c>
      <c r="AL138" s="107"/>
      <c r="AM138" s="108"/>
      <c r="AN138" s="108"/>
      <c r="AO138" s="108"/>
      <c r="AP138" s="89"/>
      <c r="AQ138" s="107"/>
      <c r="AR138" s="108"/>
      <c r="AS138" s="108"/>
      <c r="AT138" s="193"/>
      <c r="AU138" s="107"/>
      <c r="AV138" s="108"/>
      <c r="AW138" s="108"/>
      <c r="AX138" s="194"/>
      <c r="AY138" s="92">
        <f t="shared" ref="AY138:AZ138" si="834">RANDBETWEEN(1,10)/10</f>
        <v>0.1</v>
      </c>
      <c r="AZ138" s="92">
        <f t="shared" si="834"/>
        <v>0.3</v>
      </c>
      <c r="BA138" s="93">
        <v>0.0</v>
      </c>
      <c r="BB138" s="93">
        <v>0.0</v>
      </c>
      <c r="BC138" s="94">
        <f>SUM(BC110,'ГОЧ'!$AY138)</f>
        <v>1201.3</v>
      </c>
      <c r="BD138" s="94">
        <f>SUM(BD110,'ГОЧ'!$AZ138)</f>
        <v>1201.9</v>
      </c>
      <c r="BE138" s="108"/>
      <c r="BF138" s="108"/>
    </row>
    <row r="139" ht="15.75" customHeight="1">
      <c r="A139" s="67">
        <f t="shared" si="687"/>
        <v>46258</v>
      </c>
      <c r="B139" s="195" t="s">
        <v>64</v>
      </c>
      <c r="C139" s="157">
        <f t="shared" si="688"/>
        <v>0</v>
      </c>
      <c r="D139" s="97">
        <f t="shared" ref="D139:L139" si="835">RANDBETWEEN(0,2)</f>
        <v>0</v>
      </c>
      <c r="E139" s="97">
        <f t="shared" si="835"/>
        <v>2</v>
      </c>
      <c r="F139" s="97">
        <f t="shared" si="835"/>
        <v>0</v>
      </c>
      <c r="G139" s="97">
        <f t="shared" si="835"/>
        <v>1</v>
      </c>
      <c r="H139" s="98">
        <f t="shared" si="835"/>
        <v>2</v>
      </c>
      <c r="I139" s="99">
        <f t="shared" si="835"/>
        <v>0</v>
      </c>
      <c r="J139" s="100">
        <f t="shared" si="835"/>
        <v>1</v>
      </c>
      <c r="K139" s="101">
        <f t="shared" si="835"/>
        <v>1</v>
      </c>
      <c r="L139" s="101">
        <f t="shared" si="835"/>
        <v>0</v>
      </c>
      <c r="M139" s="140">
        <f t="shared" si="816"/>
        <v>28</v>
      </c>
      <c r="N139" s="97">
        <f t="shared" ref="N139:T139" si="836">RANDBETWEEN(0,10)</f>
        <v>5</v>
      </c>
      <c r="O139" s="97">
        <f t="shared" si="836"/>
        <v>4</v>
      </c>
      <c r="P139" s="97">
        <f t="shared" si="836"/>
        <v>7</v>
      </c>
      <c r="Q139" s="97">
        <f t="shared" si="836"/>
        <v>6</v>
      </c>
      <c r="R139" s="97">
        <f t="shared" si="836"/>
        <v>4</v>
      </c>
      <c r="S139" s="97">
        <f t="shared" si="836"/>
        <v>0</v>
      </c>
      <c r="T139" s="97">
        <f t="shared" si="836"/>
        <v>2</v>
      </c>
      <c r="U139" s="103">
        <f t="shared" si="818"/>
        <v>11</v>
      </c>
      <c r="V139" s="158">
        <f t="shared" si="727"/>
        <v>3</v>
      </c>
      <c r="W139" s="97">
        <f t="shared" ref="W139:Y139" si="837">RANDBETWEEN(0,2)</f>
        <v>2</v>
      </c>
      <c r="X139" s="97">
        <f t="shared" si="837"/>
        <v>1</v>
      </c>
      <c r="Y139" s="97">
        <f t="shared" si="837"/>
        <v>0</v>
      </c>
      <c r="Z139" s="105">
        <f t="shared" si="736"/>
        <v>2</v>
      </c>
      <c r="AA139" s="143">
        <f t="shared" ref="AA139:AF139" si="838">RANDBETWEEN(0,2)</f>
        <v>2</v>
      </c>
      <c r="AB139" s="143">
        <f t="shared" si="838"/>
        <v>0</v>
      </c>
      <c r="AC139" s="144">
        <f t="shared" si="838"/>
        <v>1</v>
      </c>
      <c r="AD139" s="145">
        <f t="shared" si="838"/>
        <v>0</v>
      </c>
      <c r="AE139" s="145">
        <f t="shared" si="838"/>
        <v>2</v>
      </c>
      <c r="AF139" s="145">
        <f t="shared" si="838"/>
        <v>0</v>
      </c>
      <c r="AG139" s="86">
        <f t="shared" si="697"/>
        <v>3</v>
      </c>
      <c r="AH139" s="144">
        <f t="shared" ref="AH139:AJ139" si="839">RANDBETWEEN(1,10)</f>
        <v>8</v>
      </c>
      <c r="AI139" s="145">
        <f t="shared" si="839"/>
        <v>4</v>
      </c>
      <c r="AJ139" s="145">
        <f t="shared" si="839"/>
        <v>7</v>
      </c>
      <c r="AK139" s="192">
        <f t="shared" si="699"/>
        <v>19</v>
      </c>
      <c r="AL139" s="144"/>
      <c r="AM139" s="145"/>
      <c r="AN139" s="145"/>
      <c r="AO139" s="145"/>
      <c r="AP139" s="89"/>
      <c r="AQ139" s="144"/>
      <c r="AR139" s="145"/>
      <c r="AS139" s="145"/>
      <c r="AT139" s="193"/>
      <c r="AU139" s="144"/>
      <c r="AV139" s="145"/>
      <c r="AW139" s="145"/>
      <c r="AX139" s="194"/>
      <c r="AY139" s="92">
        <f t="shared" ref="AY139:AZ139" si="840">RANDBETWEEN(1,10)/10</f>
        <v>0.2</v>
      </c>
      <c r="AZ139" s="92">
        <f t="shared" si="840"/>
        <v>0.4</v>
      </c>
      <c r="BA139" s="93">
        <v>0.0</v>
      </c>
      <c r="BB139" s="93">
        <v>0.0</v>
      </c>
      <c r="BC139" s="94">
        <f>SUM(BC111,'ГОЧ'!$AY139)</f>
        <v>1202</v>
      </c>
      <c r="BD139" s="94">
        <f>SUM(BD111,'ГОЧ'!$AZ139)</f>
        <v>1201.6</v>
      </c>
      <c r="BE139" s="108"/>
      <c r="BF139" s="108"/>
    </row>
    <row r="140" ht="15.75" customHeight="1">
      <c r="A140" s="67">
        <f t="shared" si="687"/>
        <v>46258</v>
      </c>
      <c r="B140" s="201" t="s">
        <v>67</v>
      </c>
      <c r="C140" s="164">
        <f t="shared" si="688"/>
        <v>7</v>
      </c>
      <c r="D140" s="164">
        <f t="shared" ref="D140:L140" si="841">SUM(D135:D139)</f>
        <v>4</v>
      </c>
      <c r="E140" s="165">
        <f t="shared" si="841"/>
        <v>8</v>
      </c>
      <c r="F140" s="165">
        <f t="shared" si="841"/>
        <v>3</v>
      </c>
      <c r="G140" s="165">
        <f t="shared" si="841"/>
        <v>5</v>
      </c>
      <c r="H140" s="165">
        <f t="shared" si="841"/>
        <v>7</v>
      </c>
      <c r="I140" s="165">
        <f t="shared" si="841"/>
        <v>5</v>
      </c>
      <c r="J140" s="165">
        <f t="shared" si="841"/>
        <v>5</v>
      </c>
      <c r="K140" s="165">
        <f t="shared" si="841"/>
        <v>6</v>
      </c>
      <c r="L140" s="165">
        <f t="shared" si="841"/>
        <v>5</v>
      </c>
      <c r="M140" s="164">
        <f t="shared" si="816"/>
        <v>168</v>
      </c>
      <c r="N140" s="164">
        <f t="shared" ref="N140:U140" si="842">SUM(N135:N139)</f>
        <v>27</v>
      </c>
      <c r="O140" s="165">
        <f t="shared" si="842"/>
        <v>26</v>
      </c>
      <c r="P140" s="165">
        <f t="shared" si="842"/>
        <v>20</v>
      </c>
      <c r="Q140" s="165">
        <f t="shared" si="842"/>
        <v>26</v>
      </c>
      <c r="R140" s="165">
        <f t="shared" si="842"/>
        <v>22</v>
      </c>
      <c r="S140" s="165">
        <f t="shared" si="842"/>
        <v>23</v>
      </c>
      <c r="T140" s="165">
        <f t="shared" si="842"/>
        <v>24</v>
      </c>
      <c r="U140" s="164">
        <f t="shared" si="842"/>
        <v>106</v>
      </c>
      <c r="V140" s="164">
        <f t="shared" si="727"/>
        <v>22</v>
      </c>
      <c r="W140" s="165">
        <f t="shared" ref="W140:Y140" si="843">SUM(W135:W139)</f>
        <v>6</v>
      </c>
      <c r="X140" s="165">
        <f t="shared" si="843"/>
        <v>8</v>
      </c>
      <c r="Y140" s="165">
        <f t="shared" si="843"/>
        <v>8</v>
      </c>
      <c r="Z140" s="164">
        <f>SUM(AA140:AB140)</f>
        <v>12</v>
      </c>
      <c r="AA140" s="164">
        <f t="shared" ref="AA140:AF140" si="844">SUM(AA135:AA139)</f>
        <v>8</v>
      </c>
      <c r="AB140" s="165">
        <f t="shared" si="844"/>
        <v>4</v>
      </c>
      <c r="AC140" s="166">
        <f t="shared" si="844"/>
        <v>4</v>
      </c>
      <c r="AD140" s="166">
        <f t="shared" si="844"/>
        <v>5</v>
      </c>
      <c r="AE140" s="166">
        <f t="shared" si="844"/>
        <v>9</v>
      </c>
      <c r="AF140" s="166">
        <f t="shared" si="844"/>
        <v>5</v>
      </c>
      <c r="AG140" s="168">
        <f t="shared" si="697"/>
        <v>23</v>
      </c>
      <c r="AH140" s="166">
        <f t="shared" ref="AH140:AJ140" si="845">SUM(AH135:AH139)</f>
        <v>27</v>
      </c>
      <c r="AI140" s="167">
        <f t="shared" si="845"/>
        <v>25</v>
      </c>
      <c r="AJ140" s="167">
        <f t="shared" si="845"/>
        <v>26</v>
      </c>
      <c r="AK140" s="168">
        <f t="shared" si="699"/>
        <v>78</v>
      </c>
      <c r="AL140" s="166"/>
      <c r="AM140" s="166"/>
      <c r="AN140" s="166"/>
      <c r="AO140" s="166"/>
      <c r="AP140" s="169"/>
      <c r="AQ140" s="166"/>
      <c r="AR140" s="167"/>
      <c r="AS140" s="167"/>
      <c r="AT140" s="170"/>
      <c r="AU140" s="166"/>
      <c r="AV140" s="167"/>
      <c r="AW140" s="167"/>
      <c r="AX140" s="171"/>
      <c r="AY140" s="196">
        <f t="shared" ref="AY140:BD140" si="846">SUM(AY135:AY139)</f>
        <v>1.6</v>
      </c>
      <c r="AZ140" s="196">
        <f t="shared" si="846"/>
        <v>3.2</v>
      </c>
      <c r="BA140" s="167">
        <f t="shared" si="846"/>
        <v>0</v>
      </c>
      <c r="BB140" s="167">
        <f t="shared" si="846"/>
        <v>0</v>
      </c>
      <c r="BC140" s="197">
        <f t="shared" si="846"/>
        <v>6009.4</v>
      </c>
      <c r="BD140" s="197">
        <f t="shared" si="846"/>
        <v>6011.2</v>
      </c>
      <c r="BE140" s="154" t="str">
        <f t="shared" ref="BE140:BF140" si="847">TEXTJOIN(", ",TRUE,BE135:BE139)</f>
        <v/>
      </c>
      <c r="BF140" s="154" t="str">
        <f t="shared" si="847"/>
        <v/>
      </c>
    </row>
    <row r="141" ht="15.75" customHeight="1">
      <c r="A141" s="67">
        <f t="shared" si="687"/>
        <v>46258</v>
      </c>
      <c r="B141" s="202" t="s">
        <v>72</v>
      </c>
      <c r="C141" s="203">
        <f t="shared" ref="C141:AK141" si="848">SUM(C115+C116+C117+C121,C120,C127,C134,C140)</f>
        <v>43</v>
      </c>
      <c r="D141" s="203">
        <f t="shared" si="848"/>
        <v>23</v>
      </c>
      <c r="E141" s="203">
        <f t="shared" si="848"/>
        <v>24</v>
      </c>
      <c r="F141" s="203">
        <f t="shared" si="848"/>
        <v>20</v>
      </c>
      <c r="G141" s="203">
        <f t="shared" si="848"/>
        <v>19</v>
      </c>
      <c r="H141" s="203">
        <f t="shared" si="848"/>
        <v>20</v>
      </c>
      <c r="I141" s="203">
        <f t="shared" si="848"/>
        <v>26</v>
      </c>
      <c r="J141" s="203">
        <f t="shared" si="848"/>
        <v>23</v>
      </c>
      <c r="K141" s="203">
        <f t="shared" si="848"/>
        <v>23</v>
      </c>
      <c r="L141" s="203">
        <f t="shared" si="848"/>
        <v>23</v>
      </c>
      <c r="M141" s="203">
        <f t="shared" si="848"/>
        <v>745</v>
      </c>
      <c r="N141" s="203">
        <f t="shared" si="848"/>
        <v>102</v>
      </c>
      <c r="O141" s="203">
        <f t="shared" si="848"/>
        <v>109</v>
      </c>
      <c r="P141" s="203">
        <f t="shared" si="848"/>
        <v>87</v>
      </c>
      <c r="Q141" s="203">
        <f t="shared" si="848"/>
        <v>129</v>
      </c>
      <c r="R141" s="203">
        <f t="shared" si="848"/>
        <v>86</v>
      </c>
      <c r="S141" s="203">
        <f t="shared" si="848"/>
        <v>107</v>
      </c>
      <c r="T141" s="203">
        <f t="shared" si="848"/>
        <v>125</v>
      </c>
      <c r="U141" s="203">
        <f t="shared" si="848"/>
        <v>403</v>
      </c>
      <c r="V141" s="203">
        <f t="shared" si="848"/>
        <v>62</v>
      </c>
      <c r="W141" s="203">
        <f t="shared" si="848"/>
        <v>24</v>
      </c>
      <c r="X141" s="203">
        <f t="shared" si="848"/>
        <v>20</v>
      </c>
      <c r="Y141" s="203">
        <f t="shared" si="848"/>
        <v>18</v>
      </c>
      <c r="Z141" s="203">
        <f t="shared" si="848"/>
        <v>39</v>
      </c>
      <c r="AA141" s="203">
        <f t="shared" si="848"/>
        <v>22</v>
      </c>
      <c r="AB141" s="203">
        <f t="shared" si="848"/>
        <v>17</v>
      </c>
      <c r="AC141" s="204">
        <f t="shared" si="848"/>
        <v>21</v>
      </c>
      <c r="AD141" s="204">
        <f t="shared" si="848"/>
        <v>19</v>
      </c>
      <c r="AE141" s="204">
        <f t="shared" si="848"/>
        <v>26</v>
      </c>
      <c r="AF141" s="204">
        <f t="shared" si="848"/>
        <v>13</v>
      </c>
      <c r="AG141" s="204">
        <f t="shared" si="848"/>
        <v>79</v>
      </c>
      <c r="AH141" s="204">
        <f t="shared" si="848"/>
        <v>117</v>
      </c>
      <c r="AI141" s="204">
        <f t="shared" si="848"/>
        <v>107</v>
      </c>
      <c r="AJ141" s="204">
        <f t="shared" si="848"/>
        <v>110</v>
      </c>
      <c r="AK141" s="204">
        <f t="shared" si="848"/>
        <v>334</v>
      </c>
      <c r="AL141" s="204"/>
      <c r="AM141" s="204"/>
      <c r="AN141" s="204"/>
      <c r="AO141" s="204"/>
      <c r="AP141" s="151"/>
      <c r="AQ141" s="204"/>
      <c r="AR141" s="204"/>
      <c r="AS141" s="204"/>
      <c r="AT141" s="152"/>
      <c r="AU141" s="204"/>
      <c r="AV141" s="204"/>
      <c r="AW141" s="204"/>
      <c r="AX141" s="153"/>
      <c r="AY141" s="205">
        <f t="shared" ref="AY141:BD141" si="849">SUM(AY115+AY116+AY117+AY121,AY120,AY127,AY134,AY140)</f>
        <v>12.7</v>
      </c>
      <c r="AZ141" s="205">
        <f t="shared" si="849"/>
        <v>15.9</v>
      </c>
      <c r="BA141" s="206">
        <f t="shared" si="849"/>
        <v>5</v>
      </c>
      <c r="BB141" s="206">
        <f t="shared" si="849"/>
        <v>3</v>
      </c>
      <c r="BC141" s="207">
        <f t="shared" si="849"/>
        <v>26449.7</v>
      </c>
      <c r="BD141" s="207">
        <f t="shared" si="849"/>
        <v>26455</v>
      </c>
      <c r="BE141" s="154" t="str">
        <f t="shared" ref="BE141:BF141" si="850">TEXTJOIN(", ",TRUE,BE140,BE134,BE127,BE121,BE120,BE117,BE116,BE115)</f>
        <v>Олександівка, Пантелеймонівка, Миколаївка, Курськ, Рильск</v>
      </c>
      <c r="BF141" s="154" t="str">
        <f t="shared" si="850"/>
        <v>Загреблі, Верхні води, Ступочки</v>
      </c>
    </row>
    <row r="142" ht="15.75" customHeight="1">
      <c r="A142" s="55">
        <f>A141+1</f>
        <v>46259</v>
      </c>
      <c r="B142" s="56"/>
      <c r="C142" s="57"/>
      <c r="D142" s="58"/>
      <c r="E142" s="59"/>
      <c r="F142" s="58"/>
      <c r="G142" s="59"/>
      <c r="H142" s="57"/>
      <c r="I142" s="60"/>
      <c r="J142" s="57"/>
      <c r="K142" s="57"/>
      <c r="L142" s="57"/>
      <c r="M142" s="57"/>
      <c r="N142" s="60"/>
      <c r="O142" s="60"/>
      <c r="P142" s="60"/>
      <c r="Q142" s="60"/>
      <c r="R142" s="60"/>
      <c r="S142" s="60"/>
      <c r="T142" s="60"/>
      <c r="U142" s="57"/>
      <c r="V142" s="58"/>
      <c r="W142" s="61"/>
      <c r="X142" s="61"/>
      <c r="Y142" s="61"/>
      <c r="Z142" s="57"/>
      <c r="AA142" s="60"/>
      <c r="AB142" s="60"/>
      <c r="AC142" s="62"/>
      <c r="AD142" s="62"/>
      <c r="AE142" s="62"/>
      <c r="AF142" s="62"/>
      <c r="AG142" s="62"/>
      <c r="AH142" s="62"/>
      <c r="AI142" s="62"/>
      <c r="AJ142" s="62"/>
      <c r="AK142" s="62"/>
      <c r="AL142" s="62"/>
      <c r="AM142" s="62"/>
      <c r="AN142" s="62"/>
      <c r="AO142" s="62"/>
      <c r="AP142" s="64"/>
      <c r="AQ142" s="62"/>
      <c r="AR142" s="62"/>
      <c r="AS142" s="62"/>
      <c r="AT142" s="65"/>
      <c r="AU142" s="62"/>
      <c r="AV142" s="62"/>
      <c r="AW142" s="62"/>
      <c r="AX142" s="66"/>
      <c r="AY142" s="208"/>
      <c r="AZ142" s="208"/>
      <c r="BA142" s="62"/>
      <c r="BB142" s="62"/>
      <c r="BC142" s="209"/>
      <c r="BD142" s="209"/>
      <c r="BE142" s="62"/>
      <c r="BF142" s="62"/>
    </row>
    <row r="143" ht="15.75" customHeight="1">
      <c r="A143" s="67">
        <f t="shared" ref="A143:A169" si="857">A142</f>
        <v>46259</v>
      </c>
      <c r="B143" s="70" t="s">
        <v>8</v>
      </c>
      <c r="C143" s="72">
        <f t="shared" ref="C143:C168" si="858">SUM(D143,F143)</f>
        <v>2</v>
      </c>
      <c r="D143" s="74">
        <f t="shared" ref="D143:L143" si="851">RANDBETWEEN(0,2)</f>
        <v>1</v>
      </c>
      <c r="E143" s="74">
        <f t="shared" si="851"/>
        <v>0</v>
      </c>
      <c r="F143" s="74">
        <f t="shared" si="851"/>
        <v>1</v>
      </c>
      <c r="G143" s="74">
        <f t="shared" si="851"/>
        <v>1</v>
      </c>
      <c r="H143" s="75">
        <f t="shared" si="851"/>
        <v>2</v>
      </c>
      <c r="I143" s="76">
        <f t="shared" si="851"/>
        <v>0</v>
      </c>
      <c r="J143" s="77">
        <f t="shared" si="851"/>
        <v>1</v>
      </c>
      <c r="K143" s="78">
        <f t="shared" si="851"/>
        <v>2</v>
      </c>
      <c r="L143" s="78">
        <f t="shared" si="851"/>
        <v>0</v>
      </c>
      <c r="M143" s="79">
        <f t="shared" ref="M143:M161" si="860">SUM(N143:T143)</f>
        <v>23</v>
      </c>
      <c r="N143" s="74">
        <f t="shared" ref="N143:T143" si="852">RANDBETWEEN(0,10)</f>
        <v>3</v>
      </c>
      <c r="O143" s="74">
        <f t="shared" si="852"/>
        <v>1</v>
      </c>
      <c r="P143" s="74">
        <f t="shared" si="852"/>
        <v>10</v>
      </c>
      <c r="Q143" s="74">
        <f t="shared" si="852"/>
        <v>0</v>
      </c>
      <c r="R143" s="74">
        <f t="shared" si="852"/>
        <v>3</v>
      </c>
      <c r="S143" s="74">
        <f t="shared" si="852"/>
        <v>0</v>
      </c>
      <c r="T143" s="74">
        <f t="shared" si="852"/>
        <v>6</v>
      </c>
      <c r="U143" s="81">
        <f t="shared" ref="U143:U144" si="862">RANDBETWEEN(10,30)</f>
        <v>12</v>
      </c>
      <c r="V143" s="82">
        <f t="shared" ref="V143:V148" si="863">SUM(W143:Y143)</f>
        <v>4</v>
      </c>
      <c r="W143" s="74">
        <f t="shared" ref="W143:Y143" si="853">RANDBETWEEN(0,2)</f>
        <v>1</v>
      </c>
      <c r="X143" s="74">
        <f t="shared" si="853"/>
        <v>1</v>
      </c>
      <c r="Y143" s="74">
        <f t="shared" si="853"/>
        <v>2</v>
      </c>
      <c r="Z143" s="83">
        <f t="shared" ref="Z143:Z145" si="865">AA143+AB143</f>
        <v>2</v>
      </c>
      <c r="AA143" s="84">
        <f t="shared" ref="AA143:AF143" si="854">RANDBETWEEN(0,2)</f>
        <v>1</v>
      </c>
      <c r="AB143" s="84">
        <f t="shared" si="854"/>
        <v>1</v>
      </c>
      <c r="AC143" s="85">
        <f t="shared" si="854"/>
        <v>0</v>
      </c>
      <c r="AD143" s="85">
        <f t="shared" si="854"/>
        <v>1</v>
      </c>
      <c r="AE143" s="85">
        <f t="shared" si="854"/>
        <v>1</v>
      </c>
      <c r="AF143" s="85">
        <f t="shared" si="854"/>
        <v>2</v>
      </c>
      <c r="AG143" s="86">
        <f t="shared" ref="AG143:AG168" si="867">SUM(AC143:AF143)</f>
        <v>4</v>
      </c>
      <c r="AH143" s="87">
        <f t="shared" ref="AH143:AJ143" si="855">RANDBETWEEN(1,10)</f>
        <v>4</v>
      </c>
      <c r="AI143" s="85">
        <f t="shared" si="855"/>
        <v>8</v>
      </c>
      <c r="AJ143" s="85">
        <f t="shared" si="855"/>
        <v>3</v>
      </c>
      <c r="AK143" s="88">
        <f t="shared" ref="AK143:AK168" si="869">SUM(AH143:AJ143)</f>
        <v>15</v>
      </c>
      <c r="AL143" s="85"/>
      <c r="AM143" s="85"/>
      <c r="AN143" s="85"/>
      <c r="AO143" s="85"/>
      <c r="AP143" s="89"/>
      <c r="AQ143" s="87"/>
      <c r="AR143" s="85"/>
      <c r="AS143" s="85"/>
      <c r="AT143" s="90"/>
      <c r="AU143" s="87"/>
      <c r="AV143" s="85"/>
      <c r="AW143" s="85"/>
      <c r="AX143" s="91"/>
      <c r="AY143" s="92">
        <f t="shared" ref="AY143:AZ143" si="856">RANDBETWEEN(1,10)/10</f>
        <v>0.4</v>
      </c>
      <c r="AZ143" s="92">
        <f t="shared" si="856"/>
        <v>1</v>
      </c>
      <c r="BA143" s="93">
        <v>0.0</v>
      </c>
      <c r="BB143" s="93">
        <v>0.0</v>
      </c>
      <c r="BC143" s="94">
        <f>SUM(BC115,'ГОЧ'!$AY143)</f>
        <v>1203.6</v>
      </c>
      <c r="BD143" s="94">
        <f>SUM(BD115,'ГОЧ'!$AZ143)</f>
        <v>1204.2</v>
      </c>
      <c r="BE143" s="85"/>
      <c r="BF143" s="85"/>
    </row>
    <row r="144" ht="15.75" customHeight="1">
      <c r="A144" s="67">
        <f t="shared" si="857"/>
        <v>46259</v>
      </c>
      <c r="B144" s="95" t="s">
        <v>10</v>
      </c>
      <c r="C144" s="96">
        <f t="shared" si="858"/>
        <v>2</v>
      </c>
      <c r="D144" s="97">
        <f t="shared" ref="D144:L144" si="859">RANDBETWEEN(0,2)</f>
        <v>1</v>
      </c>
      <c r="E144" s="97">
        <f t="shared" si="859"/>
        <v>0</v>
      </c>
      <c r="F144" s="97">
        <f t="shared" si="859"/>
        <v>1</v>
      </c>
      <c r="G144" s="97">
        <f t="shared" si="859"/>
        <v>1</v>
      </c>
      <c r="H144" s="98">
        <f t="shared" si="859"/>
        <v>2</v>
      </c>
      <c r="I144" s="99">
        <f t="shared" si="859"/>
        <v>0</v>
      </c>
      <c r="J144" s="100">
        <f t="shared" si="859"/>
        <v>0</v>
      </c>
      <c r="K144" s="101">
        <f t="shared" si="859"/>
        <v>0</v>
      </c>
      <c r="L144" s="101">
        <f t="shared" si="859"/>
        <v>2</v>
      </c>
      <c r="M144" s="102">
        <f t="shared" si="860"/>
        <v>30</v>
      </c>
      <c r="N144" s="97">
        <f t="shared" ref="N144:T144" si="861">RANDBETWEEN(0,10)</f>
        <v>4</v>
      </c>
      <c r="O144" s="97">
        <f t="shared" si="861"/>
        <v>5</v>
      </c>
      <c r="P144" s="97">
        <f t="shared" si="861"/>
        <v>9</v>
      </c>
      <c r="Q144" s="97">
        <f t="shared" si="861"/>
        <v>3</v>
      </c>
      <c r="R144" s="97">
        <f t="shared" si="861"/>
        <v>1</v>
      </c>
      <c r="S144" s="97">
        <f t="shared" si="861"/>
        <v>3</v>
      </c>
      <c r="T144" s="97">
        <f t="shared" si="861"/>
        <v>5</v>
      </c>
      <c r="U144" s="103">
        <f t="shared" si="862"/>
        <v>22</v>
      </c>
      <c r="V144" s="104">
        <f t="shared" si="863"/>
        <v>1</v>
      </c>
      <c r="W144" s="97">
        <f t="shared" ref="W144:Y144" si="864">RANDBETWEEN(0,2)</f>
        <v>1</v>
      </c>
      <c r="X144" s="97">
        <f t="shared" si="864"/>
        <v>0</v>
      </c>
      <c r="Y144" s="97">
        <f t="shared" si="864"/>
        <v>0</v>
      </c>
      <c r="Z144" s="105">
        <f t="shared" si="865"/>
        <v>2</v>
      </c>
      <c r="AA144" s="106">
        <f t="shared" ref="AA144:AF144" si="866">RANDBETWEEN(0,2)</f>
        <v>2</v>
      </c>
      <c r="AB144" s="106">
        <f t="shared" si="866"/>
        <v>0</v>
      </c>
      <c r="AC144" s="107">
        <f t="shared" si="866"/>
        <v>1</v>
      </c>
      <c r="AD144" s="108">
        <f t="shared" si="866"/>
        <v>2</v>
      </c>
      <c r="AE144" s="108">
        <f t="shared" si="866"/>
        <v>0</v>
      </c>
      <c r="AF144" s="108">
        <f t="shared" si="866"/>
        <v>0</v>
      </c>
      <c r="AG144" s="109">
        <f t="shared" si="867"/>
        <v>3</v>
      </c>
      <c r="AH144" s="107">
        <f t="shared" ref="AH144:AJ144" si="868">RANDBETWEEN(1,10)</f>
        <v>9</v>
      </c>
      <c r="AI144" s="108">
        <f t="shared" si="868"/>
        <v>8</v>
      </c>
      <c r="AJ144" s="108">
        <f t="shared" si="868"/>
        <v>6</v>
      </c>
      <c r="AK144" s="110">
        <f t="shared" si="869"/>
        <v>23</v>
      </c>
      <c r="AL144" s="107"/>
      <c r="AM144" s="108"/>
      <c r="AN144" s="108"/>
      <c r="AO144" s="108"/>
      <c r="AP144" s="111"/>
      <c r="AQ144" s="107"/>
      <c r="AR144" s="108"/>
      <c r="AS144" s="108"/>
      <c r="AT144" s="112"/>
      <c r="AU144" s="107"/>
      <c r="AV144" s="108"/>
      <c r="AW144" s="108"/>
      <c r="AX144" s="113"/>
      <c r="AY144" s="92">
        <f t="shared" ref="AY144:AZ144" si="870">RANDBETWEEN(1,10)/10</f>
        <v>0.7</v>
      </c>
      <c r="AZ144" s="92">
        <f t="shared" si="870"/>
        <v>0.2</v>
      </c>
      <c r="BA144" s="93">
        <v>0.0</v>
      </c>
      <c r="BB144" s="93">
        <v>0.0</v>
      </c>
      <c r="BC144" s="94">
        <f>SUM(BC116,'ГОЧ'!$AY144)</f>
        <v>1202.4</v>
      </c>
      <c r="BD144" s="94">
        <f>SUM(BD116,'ГОЧ'!$AZ144)</f>
        <v>1203</v>
      </c>
      <c r="BE144" s="108"/>
      <c r="BF144" s="108"/>
    </row>
    <row r="145" ht="15.75" customHeight="1">
      <c r="A145" s="67">
        <f t="shared" si="857"/>
        <v>46259</v>
      </c>
      <c r="B145" s="114" t="s">
        <v>12</v>
      </c>
      <c r="C145" s="115">
        <f t="shared" si="858"/>
        <v>0</v>
      </c>
      <c r="D145" s="115">
        <v>0.0</v>
      </c>
      <c r="E145" s="116">
        <v>0.0</v>
      </c>
      <c r="F145" s="116">
        <v>0.0</v>
      </c>
      <c r="G145" s="116">
        <v>0.0</v>
      </c>
      <c r="H145" s="115">
        <v>0.0</v>
      </c>
      <c r="I145" s="116">
        <v>0.0</v>
      </c>
      <c r="J145" s="115">
        <v>0.0</v>
      </c>
      <c r="K145" s="116">
        <v>0.0</v>
      </c>
      <c r="L145" s="116">
        <v>0.0</v>
      </c>
      <c r="M145" s="115">
        <f t="shared" si="860"/>
        <v>0</v>
      </c>
      <c r="N145" s="115">
        <v>0.0</v>
      </c>
      <c r="O145" s="116">
        <v>0.0</v>
      </c>
      <c r="P145" s="116">
        <v>0.0</v>
      </c>
      <c r="Q145" s="116">
        <v>0.0</v>
      </c>
      <c r="R145" s="116">
        <v>0.0</v>
      </c>
      <c r="S145" s="116">
        <v>0.0</v>
      </c>
      <c r="T145" s="116">
        <v>0.0</v>
      </c>
      <c r="U145" s="115">
        <v>0.0</v>
      </c>
      <c r="V145" s="115">
        <f t="shared" si="863"/>
        <v>0</v>
      </c>
      <c r="W145" s="116">
        <v>0.0</v>
      </c>
      <c r="X145" s="116">
        <v>0.0</v>
      </c>
      <c r="Y145" s="116">
        <v>0.0</v>
      </c>
      <c r="Z145" s="116">
        <f t="shared" si="865"/>
        <v>0</v>
      </c>
      <c r="AA145" s="116">
        <v>0.0</v>
      </c>
      <c r="AB145" s="116">
        <v>0.0</v>
      </c>
      <c r="AC145" s="117">
        <v>0.0</v>
      </c>
      <c r="AD145" s="118">
        <v>0.0</v>
      </c>
      <c r="AE145" s="118">
        <v>0.0</v>
      </c>
      <c r="AF145" s="118">
        <v>0.0</v>
      </c>
      <c r="AG145" s="119">
        <f t="shared" si="867"/>
        <v>0</v>
      </c>
      <c r="AH145" s="117">
        <v>0.0</v>
      </c>
      <c r="AI145" s="118">
        <v>0.0</v>
      </c>
      <c r="AJ145" s="118">
        <v>0.0</v>
      </c>
      <c r="AK145" s="119">
        <f t="shared" si="869"/>
        <v>0</v>
      </c>
      <c r="AL145" s="117"/>
      <c r="AM145" s="118"/>
      <c r="AN145" s="118"/>
      <c r="AO145" s="118"/>
      <c r="AP145" s="111"/>
      <c r="AQ145" s="117"/>
      <c r="AR145" s="118"/>
      <c r="AS145" s="118"/>
      <c r="AT145" s="120"/>
      <c r="AU145" s="117"/>
      <c r="AV145" s="118"/>
      <c r="AW145" s="118"/>
      <c r="AX145" s="121"/>
      <c r="AY145" s="122">
        <f t="shared" ref="AY145:BD145" si="871">SUM(AY143:AY144)</f>
        <v>1.1</v>
      </c>
      <c r="AZ145" s="122">
        <f t="shared" si="871"/>
        <v>1.2</v>
      </c>
      <c r="BA145" s="118">
        <f t="shared" si="871"/>
        <v>0</v>
      </c>
      <c r="BB145" s="118">
        <f t="shared" si="871"/>
        <v>0</v>
      </c>
      <c r="BC145" s="123">
        <f t="shared" si="871"/>
        <v>2406</v>
      </c>
      <c r="BD145" s="123">
        <f t="shared" si="871"/>
        <v>2407.2</v>
      </c>
      <c r="BE145" s="118"/>
      <c r="BF145" s="118"/>
    </row>
    <row r="146" ht="15.75" customHeight="1">
      <c r="A146" s="67">
        <f t="shared" si="857"/>
        <v>46259</v>
      </c>
      <c r="B146" s="124" t="s">
        <v>14</v>
      </c>
      <c r="C146" s="96">
        <f t="shared" si="858"/>
        <v>1</v>
      </c>
      <c r="D146" s="125">
        <f t="shared" ref="D146:L146" si="872">RANDBETWEEN(0,2)</f>
        <v>0</v>
      </c>
      <c r="E146" s="125">
        <f t="shared" si="872"/>
        <v>1</v>
      </c>
      <c r="F146" s="125">
        <f t="shared" si="872"/>
        <v>1</v>
      </c>
      <c r="G146" s="125">
        <f t="shared" si="872"/>
        <v>2</v>
      </c>
      <c r="H146" s="126">
        <f t="shared" si="872"/>
        <v>1</v>
      </c>
      <c r="I146" s="127">
        <f t="shared" si="872"/>
        <v>2</v>
      </c>
      <c r="J146" s="128">
        <f t="shared" si="872"/>
        <v>1</v>
      </c>
      <c r="K146" s="130">
        <f t="shared" si="872"/>
        <v>0</v>
      </c>
      <c r="L146" s="130">
        <f t="shared" si="872"/>
        <v>0</v>
      </c>
      <c r="M146" s="102">
        <f t="shared" si="860"/>
        <v>26</v>
      </c>
      <c r="N146" s="125">
        <f t="shared" ref="N146:T146" si="873">RANDBETWEEN(0,10)</f>
        <v>5</v>
      </c>
      <c r="O146" s="125">
        <f t="shared" si="873"/>
        <v>5</v>
      </c>
      <c r="P146" s="125">
        <f t="shared" si="873"/>
        <v>0</v>
      </c>
      <c r="Q146" s="125">
        <f t="shared" si="873"/>
        <v>10</v>
      </c>
      <c r="R146" s="125">
        <f t="shared" si="873"/>
        <v>2</v>
      </c>
      <c r="S146" s="125">
        <f t="shared" si="873"/>
        <v>2</v>
      </c>
      <c r="T146" s="125">
        <f t="shared" si="873"/>
        <v>2</v>
      </c>
      <c r="U146" s="103">
        <f t="shared" ref="U146:U147" si="880">RANDBETWEEN(10,30)</f>
        <v>26</v>
      </c>
      <c r="V146" s="131">
        <f t="shared" si="863"/>
        <v>5</v>
      </c>
      <c r="W146" s="125">
        <f t="shared" ref="W146:Y146" si="874">RANDBETWEEN(0,2)</f>
        <v>2</v>
      </c>
      <c r="X146" s="125">
        <f t="shared" si="874"/>
        <v>1</v>
      </c>
      <c r="Y146" s="125">
        <f t="shared" si="874"/>
        <v>2</v>
      </c>
      <c r="Z146" s="132">
        <f t="shared" ref="Z146:Z149" si="882">SUM(AA146:AB146)</f>
        <v>2</v>
      </c>
      <c r="AA146" s="133">
        <f t="shared" ref="AA146:AF146" si="875">RANDBETWEEN(0,2)</f>
        <v>1</v>
      </c>
      <c r="AB146" s="133">
        <f t="shared" si="875"/>
        <v>1</v>
      </c>
      <c r="AC146" s="134">
        <f t="shared" si="875"/>
        <v>0</v>
      </c>
      <c r="AD146" s="134">
        <f t="shared" si="875"/>
        <v>0</v>
      </c>
      <c r="AE146" s="134">
        <f t="shared" si="875"/>
        <v>1</v>
      </c>
      <c r="AF146" s="134">
        <f t="shared" si="875"/>
        <v>2</v>
      </c>
      <c r="AG146" s="135">
        <f t="shared" si="867"/>
        <v>3</v>
      </c>
      <c r="AH146" s="136">
        <f t="shared" ref="AH146:AJ146" si="876">RANDBETWEEN(1,10)</f>
        <v>3</v>
      </c>
      <c r="AI146" s="134">
        <f t="shared" si="876"/>
        <v>4</v>
      </c>
      <c r="AJ146" s="134">
        <f t="shared" si="876"/>
        <v>3</v>
      </c>
      <c r="AK146" s="137">
        <f t="shared" si="869"/>
        <v>10</v>
      </c>
      <c r="AL146" s="134"/>
      <c r="AM146" s="134"/>
      <c r="AN146" s="134"/>
      <c r="AO146" s="134"/>
      <c r="AP146" s="111"/>
      <c r="AQ146" s="136"/>
      <c r="AR146" s="134"/>
      <c r="AS146" s="134"/>
      <c r="AT146" s="120"/>
      <c r="AU146" s="136"/>
      <c r="AV146" s="134"/>
      <c r="AW146" s="134"/>
      <c r="AX146" s="121"/>
      <c r="AY146" s="92">
        <f t="shared" ref="AY146:AZ146" si="877">RANDBETWEEN(1,10)/10</f>
        <v>0.3</v>
      </c>
      <c r="AZ146" s="92">
        <f t="shared" si="877"/>
        <v>0.2</v>
      </c>
      <c r="BA146" s="93">
        <v>0.0</v>
      </c>
      <c r="BB146" s="93">
        <v>0.0</v>
      </c>
      <c r="BC146" s="94">
        <f>SUM(BC118,'ГОЧ'!$AY146)</f>
        <v>1202</v>
      </c>
      <c r="BD146" s="94">
        <f>SUM(BD118,'ГОЧ'!$AZ146)</f>
        <v>1202.8</v>
      </c>
      <c r="BE146" s="108"/>
      <c r="BF146" s="108"/>
    </row>
    <row r="147" ht="15.75" customHeight="1">
      <c r="A147" s="67">
        <f t="shared" si="857"/>
        <v>46259</v>
      </c>
      <c r="B147" s="138" t="s">
        <v>16</v>
      </c>
      <c r="C147" s="139">
        <f t="shared" si="858"/>
        <v>2</v>
      </c>
      <c r="D147" s="97">
        <f t="shared" ref="D147:L147" si="878">RANDBETWEEN(0,2)</f>
        <v>1</v>
      </c>
      <c r="E147" s="97">
        <f t="shared" si="878"/>
        <v>2</v>
      </c>
      <c r="F147" s="97">
        <f t="shared" si="878"/>
        <v>1</v>
      </c>
      <c r="G147" s="97">
        <f t="shared" si="878"/>
        <v>0</v>
      </c>
      <c r="H147" s="98">
        <f t="shared" si="878"/>
        <v>2</v>
      </c>
      <c r="I147" s="99">
        <f t="shared" si="878"/>
        <v>0</v>
      </c>
      <c r="J147" s="100">
        <f t="shared" si="878"/>
        <v>0</v>
      </c>
      <c r="K147" s="101">
        <f t="shared" si="878"/>
        <v>1</v>
      </c>
      <c r="L147" s="101">
        <f t="shared" si="878"/>
        <v>0</v>
      </c>
      <c r="M147" s="140">
        <f t="shared" si="860"/>
        <v>38</v>
      </c>
      <c r="N147" s="97">
        <f t="shared" ref="N147:T147" si="879">RANDBETWEEN(0,10)</f>
        <v>0</v>
      </c>
      <c r="O147" s="97">
        <f t="shared" si="879"/>
        <v>9</v>
      </c>
      <c r="P147" s="97">
        <f t="shared" si="879"/>
        <v>10</v>
      </c>
      <c r="Q147" s="97">
        <f t="shared" si="879"/>
        <v>6</v>
      </c>
      <c r="R147" s="97">
        <f t="shared" si="879"/>
        <v>1</v>
      </c>
      <c r="S147" s="97">
        <f t="shared" si="879"/>
        <v>3</v>
      </c>
      <c r="T147" s="97">
        <f t="shared" si="879"/>
        <v>9</v>
      </c>
      <c r="U147" s="103">
        <f t="shared" si="880"/>
        <v>26</v>
      </c>
      <c r="V147" s="141">
        <f t="shared" si="863"/>
        <v>4</v>
      </c>
      <c r="W147" s="97">
        <f t="shared" ref="W147:Y147" si="881">RANDBETWEEN(0,2)</f>
        <v>2</v>
      </c>
      <c r="X147" s="97">
        <f t="shared" si="881"/>
        <v>2</v>
      </c>
      <c r="Y147" s="97">
        <f t="shared" si="881"/>
        <v>0</v>
      </c>
      <c r="Z147" s="142">
        <f t="shared" si="882"/>
        <v>1</v>
      </c>
      <c r="AA147" s="143">
        <f t="shared" ref="AA147:AF147" si="883">RANDBETWEEN(0,2)</f>
        <v>0</v>
      </c>
      <c r="AB147" s="143">
        <f t="shared" si="883"/>
        <v>1</v>
      </c>
      <c r="AC147" s="144">
        <f t="shared" si="883"/>
        <v>1</v>
      </c>
      <c r="AD147" s="145">
        <f t="shared" si="883"/>
        <v>1</v>
      </c>
      <c r="AE147" s="145">
        <f t="shared" si="883"/>
        <v>2</v>
      </c>
      <c r="AF147" s="145">
        <f t="shared" si="883"/>
        <v>2</v>
      </c>
      <c r="AG147" s="146">
        <f t="shared" si="867"/>
        <v>6</v>
      </c>
      <c r="AH147" s="144">
        <f t="shared" ref="AH147:AJ147" si="884">RANDBETWEEN(1,10)</f>
        <v>5</v>
      </c>
      <c r="AI147" s="145">
        <f t="shared" si="884"/>
        <v>10</v>
      </c>
      <c r="AJ147" s="145">
        <f t="shared" si="884"/>
        <v>8</v>
      </c>
      <c r="AK147" s="147">
        <f t="shared" si="869"/>
        <v>23</v>
      </c>
      <c r="AL147" s="144"/>
      <c r="AM147" s="145"/>
      <c r="AN147" s="145"/>
      <c r="AO147" s="145"/>
      <c r="AP147" s="148"/>
      <c r="AQ147" s="144"/>
      <c r="AR147" s="145"/>
      <c r="AS147" s="145"/>
      <c r="AT147" s="149"/>
      <c r="AU147" s="144"/>
      <c r="AV147" s="145"/>
      <c r="AW147" s="145"/>
      <c r="AX147" s="150"/>
      <c r="AY147" s="92">
        <f t="shared" ref="AY147:AZ147" si="885">RANDBETWEEN(1,10)/10</f>
        <v>0.9</v>
      </c>
      <c r="AZ147" s="92">
        <f t="shared" si="885"/>
        <v>0.2</v>
      </c>
      <c r="BA147" s="93">
        <v>0.0</v>
      </c>
      <c r="BB147" s="93">
        <v>0.0</v>
      </c>
      <c r="BC147" s="94">
        <f>SUM(BC119,'ГОЧ'!$AY147)</f>
        <v>1202.6</v>
      </c>
      <c r="BD147" s="94">
        <f>SUM(BD119,'ГОЧ'!$AZ147)</f>
        <v>1202.9</v>
      </c>
      <c r="BE147" s="108"/>
      <c r="BF147" s="108"/>
    </row>
    <row r="148" ht="15.75" customHeight="1">
      <c r="A148" s="67">
        <f t="shared" si="857"/>
        <v>46259</v>
      </c>
      <c r="B148" s="114" t="s">
        <v>18</v>
      </c>
      <c r="C148" s="115">
        <f t="shared" si="858"/>
        <v>3</v>
      </c>
      <c r="D148" s="115">
        <f t="shared" ref="D148:L148" si="886">SUM(D146:D147)</f>
        <v>1</v>
      </c>
      <c r="E148" s="116">
        <f t="shared" si="886"/>
        <v>3</v>
      </c>
      <c r="F148" s="116">
        <f t="shared" si="886"/>
        <v>2</v>
      </c>
      <c r="G148" s="116">
        <f t="shared" si="886"/>
        <v>2</v>
      </c>
      <c r="H148" s="115">
        <f t="shared" si="886"/>
        <v>3</v>
      </c>
      <c r="I148" s="116">
        <f t="shared" si="886"/>
        <v>2</v>
      </c>
      <c r="J148" s="115">
        <f t="shared" si="886"/>
        <v>1</v>
      </c>
      <c r="K148" s="116">
        <f t="shared" si="886"/>
        <v>1</v>
      </c>
      <c r="L148" s="116">
        <f t="shared" si="886"/>
        <v>0</v>
      </c>
      <c r="M148" s="115">
        <f t="shared" si="860"/>
        <v>61</v>
      </c>
      <c r="N148" s="115">
        <f t="shared" ref="N148:Q148" si="887">SUM(N146:N147)</f>
        <v>5</v>
      </c>
      <c r="O148" s="116">
        <f t="shared" si="887"/>
        <v>14</v>
      </c>
      <c r="P148" s="116">
        <f t="shared" si="887"/>
        <v>10</v>
      </c>
      <c r="Q148" s="116">
        <f t="shared" si="887"/>
        <v>16</v>
      </c>
      <c r="R148" s="116">
        <v>0.0</v>
      </c>
      <c r="S148" s="116">
        <f t="shared" ref="S148:U148" si="888">SUM(S146:S147)</f>
        <v>5</v>
      </c>
      <c r="T148" s="116">
        <f t="shared" si="888"/>
        <v>11</v>
      </c>
      <c r="U148" s="115">
        <f t="shared" si="888"/>
        <v>52</v>
      </c>
      <c r="V148" s="115">
        <f t="shared" si="863"/>
        <v>9</v>
      </c>
      <c r="W148" s="116">
        <f t="shared" ref="W148:Y148" si="889">SUM(W146:W147)</f>
        <v>4</v>
      </c>
      <c r="X148" s="116">
        <f t="shared" si="889"/>
        <v>3</v>
      </c>
      <c r="Y148" s="116">
        <f t="shared" si="889"/>
        <v>2</v>
      </c>
      <c r="Z148" s="116">
        <f t="shared" si="882"/>
        <v>3</v>
      </c>
      <c r="AA148" s="116">
        <f t="shared" ref="AA148:AF148" si="890">SUM(AA146:AA147)</f>
        <v>1</v>
      </c>
      <c r="AB148" s="116">
        <f t="shared" si="890"/>
        <v>2</v>
      </c>
      <c r="AC148" s="118">
        <f t="shared" si="890"/>
        <v>1</v>
      </c>
      <c r="AD148" s="118">
        <f t="shared" si="890"/>
        <v>1</v>
      </c>
      <c r="AE148" s="118">
        <f t="shared" si="890"/>
        <v>3</v>
      </c>
      <c r="AF148" s="118">
        <f t="shared" si="890"/>
        <v>4</v>
      </c>
      <c r="AG148" s="117">
        <f t="shared" si="867"/>
        <v>9</v>
      </c>
      <c r="AH148" s="117">
        <f t="shared" ref="AH148:AJ148" si="891">SUM(AH146:AH147)</f>
        <v>8</v>
      </c>
      <c r="AI148" s="118">
        <f t="shared" si="891"/>
        <v>14</v>
      </c>
      <c r="AJ148" s="118">
        <f t="shared" si="891"/>
        <v>11</v>
      </c>
      <c r="AK148" s="117">
        <f t="shared" si="869"/>
        <v>33</v>
      </c>
      <c r="AL148" s="118"/>
      <c r="AM148" s="118"/>
      <c r="AN148" s="118"/>
      <c r="AO148" s="118"/>
      <c r="AP148" s="151"/>
      <c r="AQ148" s="117"/>
      <c r="AR148" s="118"/>
      <c r="AS148" s="118"/>
      <c r="AT148" s="152"/>
      <c r="AU148" s="117"/>
      <c r="AV148" s="118"/>
      <c r="AW148" s="118"/>
      <c r="AX148" s="153"/>
      <c r="AY148" s="122">
        <f t="shared" ref="AY148:BD148" si="892">SUM(AY146:AY147)</f>
        <v>1.2</v>
      </c>
      <c r="AZ148" s="122">
        <f t="shared" si="892"/>
        <v>0.4</v>
      </c>
      <c r="BA148" s="118">
        <f t="shared" si="892"/>
        <v>0</v>
      </c>
      <c r="BB148" s="118">
        <f t="shared" si="892"/>
        <v>0</v>
      </c>
      <c r="BC148" s="123">
        <f t="shared" si="892"/>
        <v>2404.6</v>
      </c>
      <c r="BD148" s="123">
        <f t="shared" si="892"/>
        <v>2405.7</v>
      </c>
      <c r="BE148" s="154" t="str">
        <f t="shared" ref="BE148:BF148" si="893">TEXTJOIN(", ",TRUE,BE146:BE147)</f>
        <v/>
      </c>
      <c r="BF148" s="154" t="str">
        <f t="shared" si="893"/>
        <v/>
      </c>
    </row>
    <row r="149" ht="15.75" customHeight="1">
      <c r="A149" s="67">
        <f t="shared" si="857"/>
        <v>46259</v>
      </c>
      <c r="B149" s="114" t="s">
        <v>20</v>
      </c>
      <c r="C149" s="115">
        <f t="shared" si="858"/>
        <v>5</v>
      </c>
      <c r="D149" s="115">
        <v>3.0</v>
      </c>
      <c r="E149" s="116">
        <v>0.0</v>
      </c>
      <c r="F149" s="116">
        <v>2.0</v>
      </c>
      <c r="G149" s="116">
        <v>2.0</v>
      </c>
      <c r="H149" s="115">
        <v>0.0</v>
      </c>
      <c r="I149" s="116">
        <v>0.0</v>
      </c>
      <c r="J149" s="115">
        <v>1.0</v>
      </c>
      <c r="K149" s="116">
        <v>1.0</v>
      </c>
      <c r="L149" s="116">
        <v>0.0</v>
      </c>
      <c r="M149" s="115">
        <f t="shared" si="860"/>
        <v>38</v>
      </c>
      <c r="N149" s="115">
        <v>0.0</v>
      </c>
      <c r="O149" s="116">
        <v>0.0</v>
      </c>
      <c r="P149" s="116">
        <v>0.0</v>
      </c>
      <c r="Q149" s="116">
        <v>9.0</v>
      </c>
      <c r="R149" s="116">
        <v>0.0</v>
      </c>
      <c r="S149" s="116">
        <v>0.0</v>
      </c>
      <c r="T149" s="116">
        <v>29.0</v>
      </c>
      <c r="U149" s="115">
        <v>7.0</v>
      </c>
      <c r="V149" s="115">
        <f t="shared" ref="V149:V168" si="897">W149+X149+Y149</f>
        <v>0</v>
      </c>
      <c r="W149" s="116">
        <v>0.0</v>
      </c>
      <c r="X149" s="116">
        <v>0.0</v>
      </c>
      <c r="Y149" s="116">
        <v>0.0</v>
      </c>
      <c r="Z149" s="116">
        <f t="shared" si="882"/>
        <v>0</v>
      </c>
      <c r="AA149" s="116">
        <v>0.0</v>
      </c>
      <c r="AB149" s="116">
        <v>0.0</v>
      </c>
      <c r="AC149" s="117">
        <v>0.0</v>
      </c>
      <c r="AD149" s="118">
        <v>1.0</v>
      </c>
      <c r="AE149" s="118">
        <v>0.0</v>
      </c>
      <c r="AF149" s="118">
        <v>0.0</v>
      </c>
      <c r="AG149" s="119">
        <f t="shared" si="867"/>
        <v>1</v>
      </c>
      <c r="AH149" s="117">
        <v>6.0</v>
      </c>
      <c r="AI149" s="118">
        <v>5.0</v>
      </c>
      <c r="AJ149" s="118">
        <v>0.0</v>
      </c>
      <c r="AK149" s="119">
        <f t="shared" si="869"/>
        <v>11</v>
      </c>
      <c r="AL149" s="117"/>
      <c r="AM149" s="118"/>
      <c r="AN149" s="118"/>
      <c r="AO149" s="118"/>
      <c r="AP149" s="111"/>
      <c r="AQ149" s="117"/>
      <c r="AR149" s="118"/>
      <c r="AS149" s="118"/>
      <c r="AT149" s="120"/>
      <c r="AU149" s="117"/>
      <c r="AV149" s="118"/>
      <c r="AW149" s="118"/>
      <c r="AX149" s="121"/>
      <c r="AY149" s="122">
        <f t="shared" ref="AY149:AZ149" si="894">RANDBETWEEN(1,10)</f>
        <v>4</v>
      </c>
      <c r="AZ149" s="122">
        <f t="shared" si="894"/>
        <v>1</v>
      </c>
      <c r="BA149" s="118">
        <v>2.0</v>
      </c>
      <c r="BB149" s="118">
        <v>0.0</v>
      </c>
      <c r="BC149" s="123">
        <v>1.0</v>
      </c>
      <c r="BD149" s="123">
        <v>2.0</v>
      </c>
      <c r="BE149" s="118" t="s">
        <v>157</v>
      </c>
      <c r="BF149" s="118"/>
    </row>
    <row r="150" ht="15.75" customHeight="1">
      <c r="A150" s="67">
        <f t="shared" si="857"/>
        <v>46259</v>
      </c>
      <c r="B150" s="124" t="s">
        <v>21</v>
      </c>
      <c r="C150" s="155">
        <f t="shared" si="858"/>
        <v>4</v>
      </c>
      <c r="D150" s="125">
        <f t="shared" ref="D150:L150" si="895">RANDBETWEEN(0,2)</f>
        <v>2</v>
      </c>
      <c r="E150" s="125">
        <f t="shared" si="895"/>
        <v>2</v>
      </c>
      <c r="F150" s="125">
        <f t="shared" si="895"/>
        <v>2</v>
      </c>
      <c r="G150" s="125">
        <f t="shared" si="895"/>
        <v>2</v>
      </c>
      <c r="H150" s="126">
        <f t="shared" si="895"/>
        <v>0</v>
      </c>
      <c r="I150" s="127">
        <f t="shared" si="895"/>
        <v>1</v>
      </c>
      <c r="J150" s="128">
        <f t="shared" si="895"/>
        <v>0</v>
      </c>
      <c r="K150" s="130">
        <f t="shared" si="895"/>
        <v>2</v>
      </c>
      <c r="L150" s="130">
        <f t="shared" si="895"/>
        <v>1</v>
      </c>
      <c r="M150" s="102">
        <f t="shared" si="860"/>
        <v>23</v>
      </c>
      <c r="N150" s="125">
        <f t="shared" ref="N150:T150" si="896">RANDBETWEEN(0,10)</f>
        <v>2</v>
      </c>
      <c r="O150" s="125">
        <f t="shared" si="896"/>
        <v>2</v>
      </c>
      <c r="P150" s="125">
        <f t="shared" si="896"/>
        <v>3</v>
      </c>
      <c r="Q150" s="125">
        <f t="shared" si="896"/>
        <v>1</v>
      </c>
      <c r="R150" s="125">
        <f t="shared" si="896"/>
        <v>10</v>
      </c>
      <c r="S150" s="125">
        <f t="shared" si="896"/>
        <v>2</v>
      </c>
      <c r="T150" s="125">
        <f t="shared" si="896"/>
        <v>3</v>
      </c>
      <c r="U150" s="103">
        <f t="shared" ref="U150:U154" si="904">RANDBETWEEN(10,30)</f>
        <v>15</v>
      </c>
      <c r="V150" s="104">
        <f t="shared" si="897"/>
        <v>2</v>
      </c>
      <c r="W150" s="125">
        <f t="shared" ref="W150:Y150" si="898">RANDBETWEEN(0,2)</f>
        <v>2</v>
      </c>
      <c r="X150" s="125">
        <f t="shared" si="898"/>
        <v>0</v>
      </c>
      <c r="Y150" s="125">
        <f t="shared" si="898"/>
        <v>0</v>
      </c>
      <c r="Z150" s="105">
        <f t="shared" ref="Z150:Z167" si="906">AA150+AB150</f>
        <v>4</v>
      </c>
      <c r="AA150" s="133">
        <f t="shared" ref="AA150:AF150" si="899">RANDBETWEEN(0,2)</f>
        <v>2</v>
      </c>
      <c r="AB150" s="133">
        <f t="shared" si="899"/>
        <v>2</v>
      </c>
      <c r="AC150" s="136">
        <f t="shared" si="899"/>
        <v>1</v>
      </c>
      <c r="AD150" s="134">
        <f t="shared" si="899"/>
        <v>1</v>
      </c>
      <c r="AE150" s="134">
        <f t="shared" si="899"/>
        <v>0</v>
      </c>
      <c r="AF150" s="134">
        <f t="shared" si="899"/>
        <v>2</v>
      </c>
      <c r="AG150" s="156">
        <f t="shared" si="867"/>
        <v>4</v>
      </c>
      <c r="AH150" s="136">
        <f t="shared" ref="AH150:AJ150" si="900">RANDBETWEEN(1,10)</f>
        <v>5</v>
      </c>
      <c r="AI150" s="134">
        <f t="shared" si="900"/>
        <v>4</v>
      </c>
      <c r="AJ150" s="134">
        <f t="shared" si="900"/>
        <v>8</v>
      </c>
      <c r="AK150" s="137">
        <f t="shared" si="869"/>
        <v>17</v>
      </c>
      <c r="AL150" s="136"/>
      <c r="AM150" s="134"/>
      <c r="AN150" s="134"/>
      <c r="AO150" s="134"/>
      <c r="AP150" s="111"/>
      <c r="AQ150" s="136"/>
      <c r="AR150" s="134"/>
      <c r="AS150" s="134"/>
      <c r="AT150" s="120"/>
      <c r="AU150" s="136"/>
      <c r="AV150" s="134"/>
      <c r="AW150" s="134"/>
      <c r="AX150" s="121"/>
      <c r="AY150" s="92">
        <f t="shared" ref="AY150:AZ150" si="901">RANDBETWEEN(1,10)/10</f>
        <v>0.8</v>
      </c>
      <c r="AZ150" s="92">
        <f t="shared" si="901"/>
        <v>0.5</v>
      </c>
      <c r="BA150" s="93">
        <v>1.0</v>
      </c>
      <c r="BB150" s="93">
        <v>0.0</v>
      </c>
      <c r="BC150" s="94">
        <f>SUM(BC122,'ГОЧ'!$AY150)</f>
        <v>1203.8</v>
      </c>
      <c r="BD150" s="94">
        <f>SUM(BD122,'ГОЧ'!$AZ150)</f>
        <v>1202.4</v>
      </c>
      <c r="BE150" s="108" t="s">
        <v>162</v>
      </c>
      <c r="BF150" s="108"/>
    </row>
    <row r="151" ht="15.75" customHeight="1">
      <c r="A151" s="67">
        <f t="shared" si="857"/>
        <v>46259</v>
      </c>
      <c r="B151" s="138" t="s">
        <v>23</v>
      </c>
      <c r="C151" s="157">
        <f t="shared" si="858"/>
        <v>2</v>
      </c>
      <c r="D151" s="97">
        <f t="shared" ref="D151:L151" si="902">RANDBETWEEN(0,2)</f>
        <v>0</v>
      </c>
      <c r="E151" s="97">
        <f t="shared" si="902"/>
        <v>1</v>
      </c>
      <c r="F151" s="97">
        <f t="shared" si="902"/>
        <v>2</v>
      </c>
      <c r="G151" s="97">
        <f t="shared" si="902"/>
        <v>0</v>
      </c>
      <c r="H151" s="98">
        <f t="shared" si="902"/>
        <v>1</v>
      </c>
      <c r="I151" s="99">
        <f t="shared" si="902"/>
        <v>1</v>
      </c>
      <c r="J151" s="100">
        <f t="shared" si="902"/>
        <v>0</v>
      </c>
      <c r="K151" s="101">
        <f t="shared" si="902"/>
        <v>0</v>
      </c>
      <c r="L151" s="101">
        <f t="shared" si="902"/>
        <v>1</v>
      </c>
      <c r="M151" s="140">
        <f t="shared" si="860"/>
        <v>41</v>
      </c>
      <c r="N151" s="97">
        <f t="shared" ref="N151:T151" si="903">RANDBETWEEN(0,10)</f>
        <v>0</v>
      </c>
      <c r="O151" s="97">
        <f t="shared" si="903"/>
        <v>2</v>
      </c>
      <c r="P151" s="97">
        <f t="shared" si="903"/>
        <v>8</v>
      </c>
      <c r="Q151" s="97">
        <f t="shared" si="903"/>
        <v>9</v>
      </c>
      <c r="R151" s="97">
        <f t="shared" si="903"/>
        <v>8</v>
      </c>
      <c r="S151" s="97">
        <f t="shared" si="903"/>
        <v>10</v>
      </c>
      <c r="T151" s="97">
        <f t="shared" si="903"/>
        <v>4</v>
      </c>
      <c r="U151" s="103">
        <f t="shared" si="904"/>
        <v>24</v>
      </c>
      <c r="V151" s="158">
        <f t="shared" si="897"/>
        <v>2</v>
      </c>
      <c r="W151" s="97">
        <f t="shared" ref="W151:Y151" si="905">RANDBETWEEN(0,2)</f>
        <v>0</v>
      </c>
      <c r="X151" s="97">
        <f t="shared" si="905"/>
        <v>2</v>
      </c>
      <c r="Y151" s="97">
        <f t="shared" si="905"/>
        <v>0</v>
      </c>
      <c r="Z151" s="159">
        <f t="shared" si="906"/>
        <v>3</v>
      </c>
      <c r="AA151" s="143">
        <f t="shared" ref="AA151:AF151" si="907">RANDBETWEEN(0,2)</f>
        <v>1</v>
      </c>
      <c r="AB151" s="143">
        <f t="shared" si="907"/>
        <v>2</v>
      </c>
      <c r="AC151" s="144">
        <f t="shared" si="907"/>
        <v>1</v>
      </c>
      <c r="AD151" s="145">
        <f t="shared" si="907"/>
        <v>2</v>
      </c>
      <c r="AE151" s="145">
        <f t="shared" si="907"/>
        <v>2</v>
      </c>
      <c r="AF151" s="145">
        <f t="shared" si="907"/>
        <v>0</v>
      </c>
      <c r="AG151" s="160">
        <f t="shared" si="867"/>
        <v>5</v>
      </c>
      <c r="AH151" s="144">
        <f t="shared" ref="AH151:AJ151" si="908">RANDBETWEEN(1,10)</f>
        <v>8</v>
      </c>
      <c r="AI151" s="145">
        <f t="shared" si="908"/>
        <v>6</v>
      </c>
      <c r="AJ151" s="145">
        <f t="shared" si="908"/>
        <v>2</v>
      </c>
      <c r="AK151" s="147">
        <f t="shared" si="869"/>
        <v>16</v>
      </c>
      <c r="AL151" s="144"/>
      <c r="AM151" s="145"/>
      <c r="AN151" s="145"/>
      <c r="AO151" s="145"/>
      <c r="AP151" s="148"/>
      <c r="AQ151" s="144"/>
      <c r="AR151" s="145"/>
      <c r="AS151" s="145"/>
      <c r="AT151" s="149"/>
      <c r="AU151" s="144"/>
      <c r="AV151" s="145"/>
      <c r="AW151" s="145"/>
      <c r="AX151" s="150"/>
      <c r="AY151" s="92">
        <f t="shared" ref="AY151:AZ151" si="909">RANDBETWEEN(1,10)/10</f>
        <v>0.6</v>
      </c>
      <c r="AZ151" s="92">
        <f t="shared" si="909"/>
        <v>0.5</v>
      </c>
      <c r="BA151" s="93">
        <v>1.0</v>
      </c>
      <c r="BB151" s="93">
        <v>2.0</v>
      </c>
      <c r="BC151" s="94">
        <f>SUM(BC123,'ГОЧ'!$AY151)</f>
        <v>1203.5</v>
      </c>
      <c r="BD151" s="94">
        <f>SUM(BD123,'ГОЧ'!$AZ151)</f>
        <v>1203.1</v>
      </c>
      <c r="BE151" s="108" t="s">
        <v>165</v>
      </c>
      <c r="BF151" s="108" t="s">
        <v>166</v>
      </c>
    </row>
    <row r="152" ht="15.75" customHeight="1">
      <c r="A152" s="67">
        <f t="shared" si="857"/>
        <v>46259</v>
      </c>
      <c r="B152" s="138" t="s">
        <v>25</v>
      </c>
      <c r="C152" s="157">
        <f t="shared" si="858"/>
        <v>3</v>
      </c>
      <c r="D152" s="97">
        <f t="shared" ref="D152:L152" si="910">RANDBETWEEN(0,2)</f>
        <v>2</v>
      </c>
      <c r="E152" s="97">
        <f t="shared" si="910"/>
        <v>2</v>
      </c>
      <c r="F152" s="97">
        <f t="shared" si="910"/>
        <v>1</v>
      </c>
      <c r="G152" s="97">
        <f t="shared" si="910"/>
        <v>1</v>
      </c>
      <c r="H152" s="98">
        <f t="shared" si="910"/>
        <v>2</v>
      </c>
      <c r="I152" s="99">
        <f t="shared" si="910"/>
        <v>0</v>
      </c>
      <c r="J152" s="100">
        <f t="shared" si="910"/>
        <v>0</v>
      </c>
      <c r="K152" s="101">
        <f t="shared" si="910"/>
        <v>2</v>
      </c>
      <c r="L152" s="101">
        <f t="shared" si="910"/>
        <v>2</v>
      </c>
      <c r="M152" s="140">
        <f t="shared" si="860"/>
        <v>42</v>
      </c>
      <c r="N152" s="97">
        <f t="shared" ref="N152:T152" si="911">RANDBETWEEN(0,10)</f>
        <v>7</v>
      </c>
      <c r="O152" s="97">
        <f t="shared" si="911"/>
        <v>0</v>
      </c>
      <c r="P152" s="97">
        <f t="shared" si="911"/>
        <v>4</v>
      </c>
      <c r="Q152" s="97">
        <f t="shared" si="911"/>
        <v>9</v>
      </c>
      <c r="R152" s="97">
        <f t="shared" si="911"/>
        <v>5</v>
      </c>
      <c r="S152" s="97">
        <f t="shared" si="911"/>
        <v>7</v>
      </c>
      <c r="T152" s="97">
        <f t="shared" si="911"/>
        <v>10</v>
      </c>
      <c r="U152" s="103">
        <f t="shared" si="904"/>
        <v>17</v>
      </c>
      <c r="V152" s="158">
        <f t="shared" si="897"/>
        <v>1</v>
      </c>
      <c r="W152" s="97">
        <f t="shared" ref="W152:Y152" si="912">RANDBETWEEN(0,2)</f>
        <v>0</v>
      </c>
      <c r="X152" s="97">
        <f t="shared" si="912"/>
        <v>1</v>
      </c>
      <c r="Y152" s="97">
        <f t="shared" si="912"/>
        <v>0</v>
      </c>
      <c r="Z152" s="159">
        <f t="shared" si="906"/>
        <v>3</v>
      </c>
      <c r="AA152" s="106">
        <f t="shared" ref="AA152:AF152" si="913">RANDBETWEEN(0,2)</f>
        <v>2</v>
      </c>
      <c r="AB152" s="106">
        <f t="shared" si="913"/>
        <v>1</v>
      </c>
      <c r="AC152" s="107">
        <f t="shared" si="913"/>
        <v>1</v>
      </c>
      <c r="AD152" s="108">
        <f t="shared" si="913"/>
        <v>2</v>
      </c>
      <c r="AE152" s="108">
        <f t="shared" si="913"/>
        <v>0</v>
      </c>
      <c r="AF152" s="108">
        <f t="shared" si="913"/>
        <v>2</v>
      </c>
      <c r="AG152" s="160">
        <f t="shared" si="867"/>
        <v>5</v>
      </c>
      <c r="AH152" s="107">
        <f t="shared" ref="AH152:AJ152" si="914">RANDBETWEEN(1,10)</f>
        <v>1</v>
      </c>
      <c r="AI152" s="108">
        <f t="shared" si="914"/>
        <v>10</v>
      </c>
      <c r="AJ152" s="108">
        <f t="shared" si="914"/>
        <v>5</v>
      </c>
      <c r="AK152" s="147">
        <f t="shared" si="869"/>
        <v>16</v>
      </c>
      <c r="AL152" s="107"/>
      <c r="AM152" s="108"/>
      <c r="AN152" s="108"/>
      <c r="AO152" s="108"/>
      <c r="AP152" s="148"/>
      <c r="AQ152" s="107"/>
      <c r="AR152" s="108"/>
      <c r="AS152" s="108"/>
      <c r="AT152" s="149"/>
      <c r="AU152" s="107"/>
      <c r="AV152" s="108"/>
      <c r="AW152" s="108"/>
      <c r="AX152" s="150"/>
      <c r="AY152" s="92">
        <f t="shared" ref="AY152:AZ152" si="915">RANDBETWEEN(1,10)/10</f>
        <v>0.5</v>
      </c>
      <c r="AZ152" s="92">
        <f t="shared" si="915"/>
        <v>0.4</v>
      </c>
      <c r="BA152" s="93">
        <v>0.0</v>
      </c>
      <c r="BB152" s="93">
        <v>0.0</v>
      </c>
      <c r="BC152" s="94">
        <f>SUM(BC124,'ГОЧ'!$AY152)</f>
        <v>1202.9</v>
      </c>
      <c r="BD152" s="94">
        <f>SUM(BD124,'ГОЧ'!$AZ152)</f>
        <v>1202</v>
      </c>
      <c r="BE152" s="108"/>
      <c r="BF152" s="108"/>
    </row>
    <row r="153" ht="15.75" customHeight="1">
      <c r="A153" s="67">
        <f t="shared" si="857"/>
        <v>46259</v>
      </c>
      <c r="B153" s="138" t="s">
        <v>26</v>
      </c>
      <c r="C153" s="157">
        <f t="shared" si="858"/>
        <v>2</v>
      </c>
      <c r="D153" s="97">
        <f t="shared" ref="D153:L153" si="916">RANDBETWEEN(0,2)</f>
        <v>0</v>
      </c>
      <c r="E153" s="97">
        <f t="shared" si="916"/>
        <v>2</v>
      </c>
      <c r="F153" s="97">
        <f t="shared" si="916"/>
        <v>2</v>
      </c>
      <c r="G153" s="97">
        <f t="shared" si="916"/>
        <v>1</v>
      </c>
      <c r="H153" s="98">
        <f t="shared" si="916"/>
        <v>0</v>
      </c>
      <c r="I153" s="99">
        <f t="shared" si="916"/>
        <v>0</v>
      </c>
      <c r="J153" s="100">
        <f t="shared" si="916"/>
        <v>0</v>
      </c>
      <c r="K153" s="101">
        <f t="shared" si="916"/>
        <v>0</v>
      </c>
      <c r="L153" s="101">
        <f t="shared" si="916"/>
        <v>0</v>
      </c>
      <c r="M153" s="140">
        <f t="shared" si="860"/>
        <v>43</v>
      </c>
      <c r="N153" s="97">
        <f t="shared" ref="N153:T153" si="917">RANDBETWEEN(0,10)</f>
        <v>6</v>
      </c>
      <c r="O153" s="97">
        <f t="shared" si="917"/>
        <v>5</v>
      </c>
      <c r="P153" s="97">
        <f t="shared" si="917"/>
        <v>10</v>
      </c>
      <c r="Q153" s="97">
        <f t="shared" si="917"/>
        <v>8</v>
      </c>
      <c r="R153" s="97">
        <f t="shared" si="917"/>
        <v>1</v>
      </c>
      <c r="S153" s="97">
        <f t="shared" si="917"/>
        <v>6</v>
      </c>
      <c r="T153" s="97">
        <f t="shared" si="917"/>
        <v>7</v>
      </c>
      <c r="U153" s="103">
        <f t="shared" si="904"/>
        <v>28</v>
      </c>
      <c r="V153" s="158">
        <f t="shared" si="897"/>
        <v>1</v>
      </c>
      <c r="W153" s="97">
        <f t="shared" ref="W153:Y153" si="918">RANDBETWEEN(0,2)</f>
        <v>0</v>
      </c>
      <c r="X153" s="97">
        <f t="shared" si="918"/>
        <v>0</v>
      </c>
      <c r="Y153" s="97">
        <f t="shared" si="918"/>
        <v>1</v>
      </c>
      <c r="Z153" s="159">
        <f t="shared" si="906"/>
        <v>4</v>
      </c>
      <c r="AA153" s="143">
        <f t="shared" ref="AA153:AF153" si="919">RANDBETWEEN(0,2)</f>
        <v>2</v>
      </c>
      <c r="AB153" s="143">
        <f t="shared" si="919"/>
        <v>2</v>
      </c>
      <c r="AC153" s="144">
        <f t="shared" si="919"/>
        <v>2</v>
      </c>
      <c r="AD153" s="145">
        <f t="shared" si="919"/>
        <v>2</v>
      </c>
      <c r="AE153" s="145">
        <f t="shared" si="919"/>
        <v>2</v>
      </c>
      <c r="AF153" s="145">
        <f t="shared" si="919"/>
        <v>1</v>
      </c>
      <c r="AG153" s="160">
        <f t="shared" si="867"/>
        <v>7</v>
      </c>
      <c r="AH153" s="144">
        <f t="shared" ref="AH153:AJ153" si="920">RANDBETWEEN(1,10)</f>
        <v>10</v>
      </c>
      <c r="AI153" s="145">
        <f t="shared" si="920"/>
        <v>9</v>
      </c>
      <c r="AJ153" s="145">
        <f t="shared" si="920"/>
        <v>1</v>
      </c>
      <c r="AK153" s="147">
        <f t="shared" si="869"/>
        <v>20</v>
      </c>
      <c r="AL153" s="144"/>
      <c r="AM153" s="145"/>
      <c r="AN153" s="145"/>
      <c r="AO153" s="145"/>
      <c r="AP153" s="148"/>
      <c r="AQ153" s="144"/>
      <c r="AR153" s="145"/>
      <c r="AS153" s="145"/>
      <c r="AT153" s="149"/>
      <c r="AU153" s="144"/>
      <c r="AV153" s="145"/>
      <c r="AW153" s="145"/>
      <c r="AX153" s="150"/>
      <c r="AY153" s="92">
        <f t="shared" ref="AY153:AZ153" si="921">RANDBETWEEN(1,10)/10</f>
        <v>0.7</v>
      </c>
      <c r="AZ153" s="92">
        <f t="shared" si="921"/>
        <v>0.4</v>
      </c>
      <c r="BA153" s="93">
        <v>1.0</v>
      </c>
      <c r="BB153" s="93">
        <v>0.0</v>
      </c>
      <c r="BC153" s="94">
        <f>SUM(BC125,'ГОЧ'!$AY153)</f>
        <v>1203.1</v>
      </c>
      <c r="BD153" s="94">
        <f>SUM(BD125,'ГОЧ'!$AZ153)</f>
        <v>1203</v>
      </c>
      <c r="BE153" s="108" t="s">
        <v>167</v>
      </c>
      <c r="BF153" s="108"/>
    </row>
    <row r="154" ht="15.75" customHeight="1">
      <c r="A154" s="67">
        <f t="shared" si="857"/>
        <v>46259</v>
      </c>
      <c r="B154" s="138" t="s">
        <v>28</v>
      </c>
      <c r="C154" s="157">
        <f t="shared" si="858"/>
        <v>4</v>
      </c>
      <c r="D154" s="97">
        <f t="shared" ref="D154:L154" si="922">RANDBETWEEN(0,2)</f>
        <v>2</v>
      </c>
      <c r="E154" s="97">
        <f t="shared" si="922"/>
        <v>2</v>
      </c>
      <c r="F154" s="97">
        <f t="shared" si="922"/>
        <v>2</v>
      </c>
      <c r="G154" s="97">
        <f t="shared" si="922"/>
        <v>2</v>
      </c>
      <c r="H154" s="98">
        <f t="shared" si="922"/>
        <v>2</v>
      </c>
      <c r="I154" s="99">
        <f t="shared" si="922"/>
        <v>0</v>
      </c>
      <c r="J154" s="100">
        <f t="shared" si="922"/>
        <v>0</v>
      </c>
      <c r="K154" s="101">
        <f t="shared" si="922"/>
        <v>1</v>
      </c>
      <c r="L154" s="101">
        <f t="shared" si="922"/>
        <v>2</v>
      </c>
      <c r="M154" s="140">
        <f t="shared" si="860"/>
        <v>40</v>
      </c>
      <c r="N154" s="97">
        <f t="shared" ref="N154:T154" si="923">RANDBETWEEN(0,10)</f>
        <v>6</v>
      </c>
      <c r="O154" s="97">
        <f t="shared" si="923"/>
        <v>5</v>
      </c>
      <c r="P154" s="97">
        <f t="shared" si="923"/>
        <v>6</v>
      </c>
      <c r="Q154" s="97">
        <f t="shared" si="923"/>
        <v>6</v>
      </c>
      <c r="R154" s="97">
        <f t="shared" si="923"/>
        <v>10</v>
      </c>
      <c r="S154" s="97">
        <f t="shared" si="923"/>
        <v>6</v>
      </c>
      <c r="T154" s="97">
        <f t="shared" si="923"/>
        <v>1</v>
      </c>
      <c r="U154" s="103">
        <f t="shared" si="904"/>
        <v>23</v>
      </c>
      <c r="V154" s="158">
        <f t="shared" si="897"/>
        <v>3</v>
      </c>
      <c r="W154" s="97">
        <f t="shared" ref="W154:Y154" si="924">RANDBETWEEN(0,2)</f>
        <v>0</v>
      </c>
      <c r="X154" s="97">
        <f t="shared" si="924"/>
        <v>1</v>
      </c>
      <c r="Y154" s="97">
        <f t="shared" si="924"/>
        <v>2</v>
      </c>
      <c r="Z154" s="159">
        <f t="shared" si="906"/>
        <v>2</v>
      </c>
      <c r="AA154" s="106">
        <f t="shared" ref="AA154:AF154" si="925">RANDBETWEEN(0,2)</f>
        <v>2</v>
      </c>
      <c r="AB154" s="106">
        <f t="shared" si="925"/>
        <v>0</v>
      </c>
      <c r="AC154" s="107">
        <f t="shared" si="925"/>
        <v>0</v>
      </c>
      <c r="AD154" s="108">
        <f t="shared" si="925"/>
        <v>0</v>
      </c>
      <c r="AE154" s="108">
        <f t="shared" si="925"/>
        <v>2</v>
      </c>
      <c r="AF154" s="108">
        <f t="shared" si="925"/>
        <v>2</v>
      </c>
      <c r="AG154" s="160">
        <f t="shared" si="867"/>
        <v>4</v>
      </c>
      <c r="AH154" s="107">
        <f t="shared" ref="AH154:AJ154" si="926">RANDBETWEEN(1,10)</f>
        <v>10</v>
      </c>
      <c r="AI154" s="108">
        <f t="shared" si="926"/>
        <v>5</v>
      </c>
      <c r="AJ154" s="108">
        <f t="shared" si="926"/>
        <v>7</v>
      </c>
      <c r="AK154" s="147">
        <f t="shared" si="869"/>
        <v>22</v>
      </c>
      <c r="AL154" s="107"/>
      <c r="AM154" s="108"/>
      <c r="AN154" s="108"/>
      <c r="AO154" s="108"/>
      <c r="AP154" s="148"/>
      <c r="AQ154" s="107"/>
      <c r="AR154" s="108"/>
      <c r="AS154" s="108"/>
      <c r="AT154" s="149"/>
      <c r="AU154" s="107"/>
      <c r="AV154" s="108"/>
      <c r="AW154" s="108"/>
      <c r="AX154" s="150"/>
      <c r="AY154" s="92">
        <f t="shared" ref="AY154:AZ154" si="927">RANDBETWEEN(1,10)/10</f>
        <v>0.4</v>
      </c>
      <c r="AZ154" s="92">
        <f t="shared" si="927"/>
        <v>0.8</v>
      </c>
      <c r="BA154" s="93">
        <v>0.0</v>
      </c>
      <c r="BB154" s="93">
        <v>1.0</v>
      </c>
      <c r="BC154" s="94">
        <f>SUM(BC126,'ГОЧ'!$AY154)</f>
        <v>1202.3</v>
      </c>
      <c r="BD154" s="94">
        <f>SUM(BD126,'ГОЧ'!$AZ154)</f>
        <v>1202.3</v>
      </c>
      <c r="BE154" s="108"/>
      <c r="BF154" s="108" t="s">
        <v>168</v>
      </c>
    </row>
    <row r="155" ht="15.75" customHeight="1">
      <c r="A155" s="67">
        <f t="shared" si="857"/>
        <v>46259</v>
      </c>
      <c r="B155" s="114" t="s">
        <v>29</v>
      </c>
      <c r="C155" s="164">
        <f t="shared" si="858"/>
        <v>15</v>
      </c>
      <c r="D155" s="165">
        <f t="shared" ref="D155:L155" si="928">D150+D151+D152+D153+D154</f>
        <v>6</v>
      </c>
      <c r="E155" s="165">
        <f t="shared" si="928"/>
        <v>9</v>
      </c>
      <c r="F155" s="165">
        <f t="shared" si="928"/>
        <v>9</v>
      </c>
      <c r="G155" s="165">
        <f t="shared" si="928"/>
        <v>6</v>
      </c>
      <c r="H155" s="164">
        <f t="shared" si="928"/>
        <v>5</v>
      </c>
      <c r="I155" s="165">
        <f t="shared" si="928"/>
        <v>2</v>
      </c>
      <c r="J155" s="164">
        <f t="shared" si="928"/>
        <v>0</v>
      </c>
      <c r="K155" s="165">
        <f t="shared" si="928"/>
        <v>5</v>
      </c>
      <c r="L155" s="165">
        <f t="shared" si="928"/>
        <v>6</v>
      </c>
      <c r="M155" s="164">
        <f t="shared" si="860"/>
        <v>189</v>
      </c>
      <c r="N155" s="164">
        <f t="shared" ref="N155:U155" si="929">N150+N151+N152+N153+N154</f>
        <v>21</v>
      </c>
      <c r="O155" s="165">
        <f t="shared" si="929"/>
        <v>14</v>
      </c>
      <c r="P155" s="165">
        <f t="shared" si="929"/>
        <v>31</v>
      </c>
      <c r="Q155" s="165">
        <f t="shared" si="929"/>
        <v>33</v>
      </c>
      <c r="R155" s="165">
        <f t="shared" si="929"/>
        <v>34</v>
      </c>
      <c r="S155" s="165">
        <f t="shared" si="929"/>
        <v>31</v>
      </c>
      <c r="T155" s="165">
        <f t="shared" si="929"/>
        <v>25</v>
      </c>
      <c r="U155" s="164">
        <f t="shared" si="929"/>
        <v>107</v>
      </c>
      <c r="V155" s="164">
        <f t="shared" si="897"/>
        <v>9</v>
      </c>
      <c r="W155" s="165">
        <f t="shared" ref="W155:Y155" si="930">W150+W151+W152+W153+W154</f>
        <v>2</v>
      </c>
      <c r="X155" s="165">
        <f t="shared" si="930"/>
        <v>4</v>
      </c>
      <c r="Y155" s="165">
        <f t="shared" si="930"/>
        <v>3</v>
      </c>
      <c r="Z155" s="165">
        <f t="shared" si="906"/>
        <v>16</v>
      </c>
      <c r="AA155" s="165">
        <f t="shared" ref="AA155:AC155" si="931">AA150+AA151+AA152+AA153+AA154</f>
        <v>9</v>
      </c>
      <c r="AB155" s="165">
        <f t="shared" si="931"/>
        <v>7</v>
      </c>
      <c r="AC155" s="166">
        <f t="shared" si="931"/>
        <v>5</v>
      </c>
      <c r="AD155" s="167">
        <f>AE150+AD151+AD152+AD153+AD154</f>
        <v>6</v>
      </c>
      <c r="AE155" s="167">
        <f t="shared" ref="AE155:AF155" si="932">AE150+AE151+AE152+AE153+AE154</f>
        <v>6</v>
      </c>
      <c r="AF155" s="167">
        <f t="shared" si="932"/>
        <v>7</v>
      </c>
      <c r="AG155" s="168">
        <f t="shared" si="867"/>
        <v>24</v>
      </c>
      <c r="AH155" s="166">
        <f t="shared" ref="AH155:AJ155" si="933">AH150+AH151+AH152+AH153+AH154</f>
        <v>34</v>
      </c>
      <c r="AI155" s="166">
        <f t="shared" si="933"/>
        <v>34</v>
      </c>
      <c r="AJ155" s="166">
        <f t="shared" si="933"/>
        <v>23</v>
      </c>
      <c r="AK155" s="168">
        <f t="shared" si="869"/>
        <v>91</v>
      </c>
      <c r="AL155" s="166"/>
      <c r="AM155" s="167"/>
      <c r="AN155" s="167"/>
      <c r="AO155" s="167"/>
      <c r="AP155" s="169"/>
      <c r="AQ155" s="166"/>
      <c r="AR155" s="166"/>
      <c r="AS155" s="166"/>
      <c r="AT155" s="170"/>
      <c r="AU155" s="166"/>
      <c r="AV155" s="166"/>
      <c r="AW155" s="166"/>
      <c r="AX155" s="171"/>
      <c r="AY155" s="172">
        <f t="shared" ref="AY155:BD155" si="934">AY150+AY151+AY152+AY153+AY154</f>
        <v>3</v>
      </c>
      <c r="AZ155" s="172">
        <f t="shared" si="934"/>
        <v>2.6</v>
      </c>
      <c r="BA155" s="166">
        <f t="shared" si="934"/>
        <v>3</v>
      </c>
      <c r="BB155" s="166">
        <f t="shared" si="934"/>
        <v>3</v>
      </c>
      <c r="BC155" s="173">
        <f t="shared" si="934"/>
        <v>6015.6</v>
      </c>
      <c r="BD155" s="173">
        <f t="shared" si="934"/>
        <v>6012.8</v>
      </c>
      <c r="BE155" s="154" t="str">
        <f t="shared" ref="BE155:BF155" si="935">TEXTJOIN(", ",TRUE,BE150:BE154)</f>
        <v>Олександівка, Пантелеймонівка, Миколаївка</v>
      </c>
      <c r="BF155" s="154" t="str">
        <f t="shared" si="935"/>
        <v>Загреблі, Верхні води, Ступочки</v>
      </c>
    </row>
    <row r="156" ht="15.75" customHeight="1">
      <c r="A156" s="67">
        <f t="shared" si="857"/>
        <v>46259</v>
      </c>
      <c r="B156" s="124" t="s">
        <v>31</v>
      </c>
      <c r="C156" s="174">
        <f t="shared" si="858"/>
        <v>2</v>
      </c>
      <c r="D156" s="175">
        <f t="shared" ref="D156:L156" si="936">RANDBETWEEN(0,2)</f>
        <v>1</v>
      </c>
      <c r="E156" s="175">
        <f t="shared" si="936"/>
        <v>2</v>
      </c>
      <c r="F156" s="175">
        <f t="shared" si="936"/>
        <v>1</v>
      </c>
      <c r="G156" s="175">
        <f t="shared" si="936"/>
        <v>1</v>
      </c>
      <c r="H156" s="176">
        <f t="shared" si="936"/>
        <v>1</v>
      </c>
      <c r="I156" s="177">
        <f t="shared" si="936"/>
        <v>0</v>
      </c>
      <c r="J156" s="178">
        <f t="shared" si="936"/>
        <v>1</v>
      </c>
      <c r="K156" s="179">
        <f t="shared" si="936"/>
        <v>1</v>
      </c>
      <c r="L156" s="179">
        <f t="shared" si="936"/>
        <v>0</v>
      </c>
      <c r="M156" s="180">
        <f t="shared" si="860"/>
        <v>26</v>
      </c>
      <c r="N156" s="175">
        <f t="shared" ref="N156:T156" si="937">RANDBETWEEN(0,10)</f>
        <v>1</v>
      </c>
      <c r="O156" s="175">
        <f t="shared" si="937"/>
        <v>0</v>
      </c>
      <c r="P156" s="175">
        <f t="shared" si="937"/>
        <v>9</v>
      </c>
      <c r="Q156" s="175">
        <f t="shared" si="937"/>
        <v>10</v>
      </c>
      <c r="R156" s="175">
        <f t="shared" si="937"/>
        <v>0</v>
      </c>
      <c r="S156" s="175">
        <f t="shared" si="937"/>
        <v>3</v>
      </c>
      <c r="T156" s="175">
        <f t="shared" si="937"/>
        <v>3</v>
      </c>
      <c r="U156" s="181">
        <f t="shared" ref="U156:U161" si="944">RANDBETWEEN(10,30)</f>
        <v>23</v>
      </c>
      <c r="V156" s="182">
        <f t="shared" si="897"/>
        <v>6</v>
      </c>
      <c r="W156" s="175">
        <f t="shared" ref="W156:Y156" si="938">RANDBETWEEN(0,2)</f>
        <v>2</v>
      </c>
      <c r="X156" s="175">
        <f t="shared" si="938"/>
        <v>2</v>
      </c>
      <c r="Y156" s="175">
        <f t="shared" si="938"/>
        <v>2</v>
      </c>
      <c r="Z156" s="183">
        <f t="shared" si="906"/>
        <v>0</v>
      </c>
      <c r="AA156" s="184">
        <f t="shared" ref="AA156:AF156" si="939">RANDBETWEEN(0,2)</f>
        <v>0</v>
      </c>
      <c r="AB156" s="184">
        <f t="shared" si="939"/>
        <v>0</v>
      </c>
      <c r="AC156" s="185">
        <f t="shared" si="939"/>
        <v>1</v>
      </c>
      <c r="AD156" s="186">
        <f t="shared" si="939"/>
        <v>1</v>
      </c>
      <c r="AE156" s="186">
        <f t="shared" si="939"/>
        <v>2</v>
      </c>
      <c r="AF156" s="186">
        <f t="shared" si="939"/>
        <v>0</v>
      </c>
      <c r="AG156" s="187">
        <f t="shared" si="867"/>
        <v>4</v>
      </c>
      <c r="AH156" s="185">
        <f t="shared" ref="AH156:AJ156" si="940">RANDBETWEEN(1,10)</f>
        <v>6</v>
      </c>
      <c r="AI156" s="186">
        <f t="shared" si="940"/>
        <v>3</v>
      </c>
      <c r="AJ156" s="186">
        <f t="shared" si="940"/>
        <v>5</v>
      </c>
      <c r="AK156" s="188">
        <f t="shared" si="869"/>
        <v>14</v>
      </c>
      <c r="AL156" s="185"/>
      <c r="AM156" s="186"/>
      <c r="AN156" s="186"/>
      <c r="AO156" s="186"/>
      <c r="AP156" s="189"/>
      <c r="AQ156" s="185"/>
      <c r="AR156" s="186"/>
      <c r="AS156" s="186"/>
      <c r="AT156" s="190"/>
      <c r="AU156" s="185"/>
      <c r="AV156" s="186"/>
      <c r="AW156" s="186"/>
      <c r="AX156" s="191"/>
      <c r="AY156" s="92">
        <f t="shared" ref="AY156:AZ156" si="941">RANDBETWEEN(1,10)/10</f>
        <v>0.6</v>
      </c>
      <c r="AZ156" s="92">
        <f t="shared" si="941"/>
        <v>0.7</v>
      </c>
      <c r="BA156" s="93">
        <v>0.0</v>
      </c>
      <c r="BB156" s="93">
        <v>0.0</v>
      </c>
      <c r="BC156" s="94">
        <f>SUM(BC128,'ГОЧ'!$AY156)</f>
        <v>1202.1</v>
      </c>
      <c r="BD156" s="94">
        <f>SUM(BD128,'ГОЧ'!$AZ156)</f>
        <v>1203.5</v>
      </c>
      <c r="BE156" s="186"/>
      <c r="BF156" s="186"/>
    </row>
    <row r="157" ht="15.75" customHeight="1">
      <c r="A157" s="67">
        <f t="shared" si="857"/>
        <v>46259</v>
      </c>
      <c r="B157" s="138" t="s">
        <v>33</v>
      </c>
      <c r="C157" s="157">
        <f t="shared" si="858"/>
        <v>1</v>
      </c>
      <c r="D157" s="97">
        <f t="shared" ref="D157:L157" si="942">RANDBETWEEN(0,2)</f>
        <v>0</v>
      </c>
      <c r="E157" s="97">
        <f t="shared" si="942"/>
        <v>2</v>
      </c>
      <c r="F157" s="97">
        <f t="shared" si="942"/>
        <v>1</v>
      </c>
      <c r="G157" s="97">
        <f t="shared" si="942"/>
        <v>2</v>
      </c>
      <c r="H157" s="98">
        <f t="shared" si="942"/>
        <v>0</v>
      </c>
      <c r="I157" s="99">
        <f t="shared" si="942"/>
        <v>2</v>
      </c>
      <c r="J157" s="100">
        <f t="shared" si="942"/>
        <v>1</v>
      </c>
      <c r="K157" s="101">
        <f t="shared" si="942"/>
        <v>1</v>
      </c>
      <c r="L157" s="101">
        <f t="shared" si="942"/>
        <v>1</v>
      </c>
      <c r="M157" s="140">
        <f t="shared" si="860"/>
        <v>29</v>
      </c>
      <c r="N157" s="97">
        <f t="shared" ref="N157:T157" si="943">RANDBETWEEN(0,10)</f>
        <v>10</v>
      </c>
      <c r="O157" s="97">
        <f t="shared" si="943"/>
        <v>2</v>
      </c>
      <c r="P157" s="97">
        <f t="shared" si="943"/>
        <v>7</v>
      </c>
      <c r="Q157" s="97">
        <f t="shared" si="943"/>
        <v>1</v>
      </c>
      <c r="R157" s="97">
        <f t="shared" si="943"/>
        <v>1</v>
      </c>
      <c r="S157" s="97">
        <f t="shared" si="943"/>
        <v>6</v>
      </c>
      <c r="T157" s="97">
        <f t="shared" si="943"/>
        <v>2</v>
      </c>
      <c r="U157" s="103">
        <f t="shared" si="944"/>
        <v>15</v>
      </c>
      <c r="V157" s="158">
        <f t="shared" si="897"/>
        <v>2</v>
      </c>
      <c r="W157" s="97">
        <f t="shared" ref="W157:Y157" si="945">RANDBETWEEN(0,2)</f>
        <v>1</v>
      </c>
      <c r="X157" s="97">
        <f t="shared" si="945"/>
        <v>1</v>
      </c>
      <c r="Y157" s="97">
        <f t="shared" si="945"/>
        <v>0</v>
      </c>
      <c r="Z157" s="105">
        <f t="shared" si="906"/>
        <v>2</v>
      </c>
      <c r="AA157" s="143">
        <f t="shared" ref="AA157:AF157" si="946">RANDBETWEEN(0,2)</f>
        <v>0</v>
      </c>
      <c r="AB157" s="143">
        <f t="shared" si="946"/>
        <v>2</v>
      </c>
      <c r="AC157" s="144">
        <f t="shared" si="946"/>
        <v>2</v>
      </c>
      <c r="AD157" s="145">
        <f t="shared" si="946"/>
        <v>0</v>
      </c>
      <c r="AE157" s="145">
        <f t="shared" si="946"/>
        <v>2</v>
      </c>
      <c r="AF157" s="145">
        <f t="shared" si="946"/>
        <v>2</v>
      </c>
      <c r="AG157" s="86">
        <f t="shared" si="867"/>
        <v>6</v>
      </c>
      <c r="AH157" s="144">
        <f t="shared" ref="AH157:AJ157" si="947">RANDBETWEEN(1,10)</f>
        <v>8</v>
      </c>
      <c r="AI157" s="145">
        <f t="shared" si="947"/>
        <v>9</v>
      </c>
      <c r="AJ157" s="145">
        <f t="shared" si="947"/>
        <v>5</v>
      </c>
      <c r="AK157" s="192">
        <f t="shared" si="869"/>
        <v>22</v>
      </c>
      <c r="AL157" s="144"/>
      <c r="AM157" s="145"/>
      <c r="AN157" s="145"/>
      <c r="AO157" s="145"/>
      <c r="AP157" s="89"/>
      <c r="AQ157" s="144"/>
      <c r="AR157" s="145"/>
      <c r="AS157" s="145"/>
      <c r="AT157" s="193"/>
      <c r="AU157" s="144"/>
      <c r="AV157" s="145"/>
      <c r="AW157" s="145"/>
      <c r="AX157" s="194"/>
      <c r="AY157" s="92">
        <f t="shared" ref="AY157:AZ157" si="948">RANDBETWEEN(1,10)/10</f>
        <v>0.9</v>
      </c>
      <c r="AZ157" s="92">
        <f t="shared" si="948"/>
        <v>0.8</v>
      </c>
      <c r="BA157" s="93">
        <v>0.0</v>
      </c>
      <c r="BB157" s="93">
        <v>0.0</v>
      </c>
      <c r="BC157" s="94">
        <f>SUM(BC129,'ГОЧ'!$AY157)</f>
        <v>1203.4</v>
      </c>
      <c r="BD157" s="94">
        <f>SUM(BD129,'ГОЧ'!$AZ157)</f>
        <v>1203.2</v>
      </c>
      <c r="BE157" s="108"/>
      <c r="BF157" s="108"/>
    </row>
    <row r="158" ht="15.75" customHeight="1">
      <c r="A158" s="67">
        <f t="shared" si="857"/>
        <v>46259</v>
      </c>
      <c r="B158" s="138" t="s">
        <v>35</v>
      </c>
      <c r="C158" s="157">
        <f t="shared" si="858"/>
        <v>1</v>
      </c>
      <c r="D158" s="97">
        <f t="shared" ref="D158:L158" si="949">RANDBETWEEN(0,2)</f>
        <v>0</v>
      </c>
      <c r="E158" s="97">
        <f t="shared" si="949"/>
        <v>1</v>
      </c>
      <c r="F158" s="97">
        <f t="shared" si="949"/>
        <v>1</v>
      </c>
      <c r="G158" s="97">
        <f t="shared" si="949"/>
        <v>2</v>
      </c>
      <c r="H158" s="98">
        <f t="shared" si="949"/>
        <v>2</v>
      </c>
      <c r="I158" s="99">
        <f t="shared" si="949"/>
        <v>0</v>
      </c>
      <c r="J158" s="100">
        <f t="shared" si="949"/>
        <v>0</v>
      </c>
      <c r="K158" s="101">
        <f t="shared" si="949"/>
        <v>0</v>
      </c>
      <c r="L158" s="101">
        <f t="shared" si="949"/>
        <v>2</v>
      </c>
      <c r="M158" s="140">
        <f t="shared" si="860"/>
        <v>27</v>
      </c>
      <c r="N158" s="97">
        <f t="shared" ref="N158:T158" si="950">RANDBETWEEN(0,10)</f>
        <v>4</v>
      </c>
      <c r="O158" s="97">
        <f t="shared" si="950"/>
        <v>6</v>
      </c>
      <c r="P158" s="97">
        <f t="shared" si="950"/>
        <v>3</v>
      </c>
      <c r="Q158" s="97">
        <f t="shared" si="950"/>
        <v>7</v>
      </c>
      <c r="R158" s="97">
        <f t="shared" si="950"/>
        <v>4</v>
      </c>
      <c r="S158" s="97">
        <f t="shared" si="950"/>
        <v>3</v>
      </c>
      <c r="T158" s="97">
        <f t="shared" si="950"/>
        <v>0</v>
      </c>
      <c r="U158" s="103">
        <f t="shared" si="944"/>
        <v>16</v>
      </c>
      <c r="V158" s="158">
        <f t="shared" si="897"/>
        <v>4</v>
      </c>
      <c r="W158" s="97">
        <f t="shared" ref="W158:Y158" si="951">RANDBETWEEN(0,2)</f>
        <v>0</v>
      </c>
      <c r="X158" s="97">
        <f t="shared" si="951"/>
        <v>2</v>
      </c>
      <c r="Y158" s="97">
        <f t="shared" si="951"/>
        <v>2</v>
      </c>
      <c r="Z158" s="105">
        <f t="shared" si="906"/>
        <v>2</v>
      </c>
      <c r="AA158" s="106">
        <f t="shared" ref="AA158:AF158" si="952">RANDBETWEEN(0,2)</f>
        <v>0</v>
      </c>
      <c r="AB158" s="106">
        <f t="shared" si="952"/>
        <v>2</v>
      </c>
      <c r="AC158" s="107">
        <f t="shared" si="952"/>
        <v>2</v>
      </c>
      <c r="AD158" s="108">
        <f t="shared" si="952"/>
        <v>0</v>
      </c>
      <c r="AE158" s="108">
        <f t="shared" si="952"/>
        <v>1</v>
      </c>
      <c r="AF158" s="108">
        <f t="shared" si="952"/>
        <v>1</v>
      </c>
      <c r="AG158" s="86">
        <f t="shared" si="867"/>
        <v>4</v>
      </c>
      <c r="AH158" s="107">
        <f t="shared" ref="AH158:AJ158" si="953">RANDBETWEEN(1,10)</f>
        <v>3</v>
      </c>
      <c r="AI158" s="108">
        <f t="shared" si="953"/>
        <v>9</v>
      </c>
      <c r="AJ158" s="108">
        <f t="shared" si="953"/>
        <v>4</v>
      </c>
      <c r="AK158" s="192">
        <f t="shared" si="869"/>
        <v>16</v>
      </c>
      <c r="AL158" s="107"/>
      <c r="AM158" s="108"/>
      <c r="AN158" s="108"/>
      <c r="AO158" s="108"/>
      <c r="AP158" s="89"/>
      <c r="AQ158" s="107"/>
      <c r="AR158" s="108"/>
      <c r="AS158" s="108"/>
      <c r="AT158" s="193"/>
      <c r="AU158" s="107"/>
      <c r="AV158" s="108"/>
      <c r="AW158" s="108"/>
      <c r="AX158" s="194"/>
      <c r="AY158" s="92">
        <f t="shared" ref="AY158:AZ158" si="954">RANDBETWEEN(1,10)/10</f>
        <v>0.7</v>
      </c>
      <c r="AZ158" s="92">
        <f t="shared" si="954"/>
        <v>0.4</v>
      </c>
      <c r="BA158" s="93">
        <v>0.0</v>
      </c>
      <c r="BB158" s="93">
        <v>0.0</v>
      </c>
      <c r="BC158" s="94">
        <f>SUM(BC130,'ГОЧ'!$AY158)</f>
        <v>1203.4</v>
      </c>
      <c r="BD158" s="94">
        <f>SUM(BD130,'ГОЧ'!$AZ158)</f>
        <v>1203.1</v>
      </c>
      <c r="BE158" s="108"/>
      <c r="BF158" s="108"/>
    </row>
    <row r="159" ht="15.75" customHeight="1">
      <c r="A159" s="67">
        <f t="shared" si="857"/>
        <v>46259</v>
      </c>
      <c r="B159" s="138" t="s">
        <v>36</v>
      </c>
      <c r="C159" s="157">
        <f t="shared" si="858"/>
        <v>3</v>
      </c>
      <c r="D159" s="97">
        <f t="shared" ref="D159:L159" si="955">RANDBETWEEN(0,2)</f>
        <v>1</v>
      </c>
      <c r="E159" s="97">
        <f t="shared" si="955"/>
        <v>0</v>
      </c>
      <c r="F159" s="97">
        <f t="shared" si="955"/>
        <v>2</v>
      </c>
      <c r="G159" s="97">
        <f t="shared" si="955"/>
        <v>1</v>
      </c>
      <c r="H159" s="98">
        <f t="shared" si="955"/>
        <v>1</v>
      </c>
      <c r="I159" s="99">
        <f t="shared" si="955"/>
        <v>1</v>
      </c>
      <c r="J159" s="100">
        <f t="shared" si="955"/>
        <v>2</v>
      </c>
      <c r="K159" s="101">
        <f t="shared" si="955"/>
        <v>1</v>
      </c>
      <c r="L159" s="101">
        <f t="shared" si="955"/>
        <v>0</v>
      </c>
      <c r="M159" s="140">
        <f t="shared" si="860"/>
        <v>42</v>
      </c>
      <c r="N159" s="97">
        <f t="shared" ref="N159:T159" si="956">RANDBETWEEN(0,10)</f>
        <v>0</v>
      </c>
      <c r="O159" s="97">
        <f t="shared" si="956"/>
        <v>10</v>
      </c>
      <c r="P159" s="97">
        <f t="shared" si="956"/>
        <v>9</v>
      </c>
      <c r="Q159" s="97">
        <f t="shared" si="956"/>
        <v>3</v>
      </c>
      <c r="R159" s="97">
        <f t="shared" si="956"/>
        <v>9</v>
      </c>
      <c r="S159" s="97">
        <f t="shared" si="956"/>
        <v>3</v>
      </c>
      <c r="T159" s="97">
        <f t="shared" si="956"/>
        <v>8</v>
      </c>
      <c r="U159" s="103">
        <f t="shared" si="944"/>
        <v>16</v>
      </c>
      <c r="V159" s="158">
        <f t="shared" si="897"/>
        <v>6</v>
      </c>
      <c r="W159" s="97">
        <f t="shared" ref="W159:Y159" si="957">RANDBETWEEN(0,2)</f>
        <v>2</v>
      </c>
      <c r="X159" s="97">
        <f t="shared" si="957"/>
        <v>2</v>
      </c>
      <c r="Y159" s="97">
        <f t="shared" si="957"/>
        <v>2</v>
      </c>
      <c r="Z159" s="105">
        <f t="shared" si="906"/>
        <v>3</v>
      </c>
      <c r="AA159" s="143">
        <f t="shared" ref="AA159:AF159" si="958">RANDBETWEEN(0,2)</f>
        <v>2</v>
      </c>
      <c r="AB159" s="143">
        <f t="shared" si="958"/>
        <v>1</v>
      </c>
      <c r="AC159" s="144">
        <f t="shared" si="958"/>
        <v>0</v>
      </c>
      <c r="AD159" s="145">
        <f t="shared" si="958"/>
        <v>1</v>
      </c>
      <c r="AE159" s="145">
        <f t="shared" si="958"/>
        <v>2</v>
      </c>
      <c r="AF159" s="145">
        <f t="shared" si="958"/>
        <v>2</v>
      </c>
      <c r="AG159" s="86">
        <f t="shared" si="867"/>
        <v>5</v>
      </c>
      <c r="AH159" s="144">
        <f t="shared" ref="AH159:AJ159" si="959">RANDBETWEEN(1,10)</f>
        <v>9</v>
      </c>
      <c r="AI159" s="145">
        <f t="shared" si="959"/>
        <v>5</v>
      </c>
      <c r="AJ159" s="145">
        <f t="shared" si="959"/>
        <v>6</v>
      </c>
      <c r="AK159" s="192">
        <f t="shared" si="869"/>
        <v>20</v>
      </c>
      <c r="AL159" s="144"/>
      <c r="AM159" s="145"/>
      <c r="AN159" s="145"/>
      <c r="AO159" s="145"/>
      <c r="AP159" s="89"/>
      <c r="AQ159" s="144"/>
      <c r="AR159" s="145"/>
      <c r="AS159" s="145"/>
      <c r="AT159" s="193"/>
      <c r="AU159" s="144"/>
      <c r="AV159" s="145"/>
      <c r="AW159" s="145"/>
      <c r="AX159" s="194"/>
      <c r="AY159" s="92">
        <f t="shared" ref="AY159:AZ159" si="960">RANDBETWEEN(1,10)/10</f>
        <v>0.8</v>
      </c>
      <c r="AZ159" s="92">
        <f t="shared" si="960"/>
        <v>0.4</v>
      </c>
      <c r="BA159" s="93">
        <v>0.0</v>
      </c>
      <c r="BB159" s="93">
        <v>0.0</v>
      </c>
      <c r="BC159" s="94">
        <f>SUM(BC131,'ГОЧ'!$AY159)</f>
        <v>1203.5</v>
      </c>
      <c r="BD159" s="94">
        <f>SUM(BD131,'ГОЧ'!$AZ159)</f>
        <v>1202.6</v>
      </c>
      <c r="BE159" s="108"/>
      <c r="BF159" s="108"/>
    </row>
    <row r="160" ht="15.75" customHeight="1">
      <c r="A160" s="67">
        <f t="shared" si="857"/>
        <v>46259</v>
      </c>
      <c r="B160" s="195" t="s">
        <v>38</v>
      </c>
      <c r="C160" s="157">
        <f t="shared" si="858"/>
        <v>0</v>
      </c>
      <c r="D160" s="97">
        <f t="shared" ref="D160:L160" si="961">RANDBETWEEN(0,2)</f>
        <v>0</v>
      </c>
      <c r="E160" s="97">
        <f t="shared" si="961"/>
        <v>1</v>
      </c>
      <c r="F160" s="97">
        <f t="shared" si="961"/>
        <v>0</v>
      </c>
      <c r="G160" s="97">
        <f t="shared" si="961"/>
        <v>0</v>
      </c>
      <c r="H160" s="98">
        <f t="shared" si="961"/>
        <v>1</v>
      </c>
      <c r="I160" s="99">
        <f t="shared" si="961"/>
        <v>2</v>
      </c>
      <c r="J160" s="100">
        <f t="shared" si="961"/>
        <v>0</v>
      </c>
      <c r="K160" s="101">
        <f t="shared" si="961"/>
        <v>0</v>
      </c>
      <c r="L160" s="101">
        <f t="shared" si="961"/>
        <v>1</v>
      </c>
      <c r="M160" s="140">
        <f t="shared" si="860"/>
        <v>37</v>
      </c>
      <c r="N160" s="97">
        <f t="shared" ref="N160:T160" si="962">RANDBETWEEN(0,10)</f>
        <v>5</v>
      </c>
      <c r="O160" s="97">
        <f t="shared" si="962"/>
        <v>0</v>
      </c>
      <c r="P160" s="97">
        <f t="shared" si="962"/>
        <v>10</v>
      </c>
      <c r="Q160" s="97">
        <f t="shared" si="962"/>
        <v>5</v>
      </c>
      <c r="R160" s="97">
        <f t="shared" si="962"/>
        <v>9</v>
      </c>
      <c r="S160" s="97">
        <f t="shared" si="962"/>
        <v>3</v>
      </c>
      <c r="T160" s="97">
        <f t="shared" si="962"/>
        <v>5</v>
      </c>
      <c r="U160" s="103">
        <f t="shared" si="944"/>
        <v>20</v>
      </c>
      <c r="V160" s="158">
        <f t="shared" si="897"/>
        <v>5</v>
      </c>
      <c r="W160" s="97">
        <f t="shared" ref="W160:Y160" si="963">RANDBETWEEN(0,2)</f>
        <v>1</v>
      </c>
      <c r="X160" s="97">
        <f t="shared" si="963"/>
        <v>2</v>
      </c>
      <c r="Y160" s="97">
        <f t="shared" si="963"/>
        <v>2</v>
      </c>
      <c r="Z160" s="105">
        <f t="shared" si="906"/>
        <v>2</v>
      </c>
      <c r="AA160" s="106">
        <f t="shared" ref="AA160:AF160" si="964">RANDBETWEEN(0,2)</f>
        <v>2</v>
      </c>
      <c r="AB160" s="106">
        <f t="shared" si="964"/>
        <v>0</v>
      </c>
      <c r="AC160" s="107">
        <f t="shared" si="964"/>
        <v>2</v>
      </c>
      <c r="AD160" s="108">
        <f t="shared" si="964"/>
        <v>1</v>
      </c>
      <c r="AE160" s="108">
        <f t="shared" si="964"/>
        <v>0</v>
      </c>
      <c r="AF160" s="108">
        <f t="shared" si="964"/>
        <v>2</v>
      </c>
      <c r="AG160" s="86">
        <f t="shared" si="867"/>
        <v>5</v>
      </c>
      <c r="AH160" s="107">
        <f t="shared" ref="AH160:AJ160" si="965">RANDBETWEEN(1,10)</f>
        <v>6</v>
      </c>
      <c r="AI160" s="108">
        <f t="shared" si="965"/>
        <v>1</v>
      </c>
      <c r="AJ160" s="108">
        <f t="shared" si="965"/>
        <v>3</v>
      </c>
      <c r="AK160" s="192">
        <f t="shared" si="869"/>
        <v>10</v>
      </c>
      <c r="AL160" s="107"/>
      <c r="AM160" s="108"/>
      <c r="AN160" s="108"/>
      <c r="AO160" s="108"/>
      <c r="AP160" s="89"/>
      <c r="AQ160" s="107"/>
      <c r="AR160" s="108"/>
      <c r="AS160" s="108"/>
      <c r="AT160" s="193"/>
      <c r="AU160" s="107"/>
      <c r="AV160" s="108"/>
      <c r="AW160" s="108"/>
      <c r="AX160" s="194"/>
      <c r="AY160" s="92">
        <f t="shared" ref="AY160:AZ160" si="966">RANDBETWEEN(1,10)/10</f>
        <v>0.1</v>
      </c>
      <c r="AZ160" s="92">
        <f t="shared" si="966"/>
        <v>0.8</v>
      </c>
      <c r="BA160" s="93">
        <v>0.0</v>
      </c>
      <c r="BB160" s="93">
        <v>0.0</v>
      </c>
      <c r="BC160" s="94">
        <f>SUM(BC132,'ГОЧ'!$AY160)</f>
        <v>1201.9</v>
      </c>
      <c r="BD160" s="94">
        <f>SUM(BD132,'ГОЧ'!$AZ160)</f>
        <v>1202</v>
      </c>
      <c r="BE160" s="108"/>
      <c r="BF160" s="108"/>
    </row>
    <row r="161" ht="15.75" customHeight="1">
      <c r="A161" s="67">
        <f t="shared" si="857"/>
        <v>46259</v>
      </c>
      <c r="B161" s="138" t="s">
        <v>41</v>
      </c>
      <c r="C161" s="157">
        <f t="shared" si="858"/>
        <v>2</v>
      </c>
      <c r="D161" s="97">
        <f t="shared" ref="D161:L161" si="967">RANDBETWEEN(0,2)</f>
        <v>0</v>
      </c>
      <c r="E161" s="97">
        <f t="shared" si="967"/>
        <v>0</v>
      </c>
      <c r="F161" s="97">
        <f t="shared" si="967"/>
        <v>2</v>
      </c>
      <c r="G161" s="97">
        <f t="shared" si="967"/>
        <v>0</v>
      </c>
      <c r="H161" s="98">
        <f t="shared" si="967"/>
        <v>0</v>
      </c>
      <c r="I161" s="99">
        <f t="shared" si="967"/>
        <v>1</v>
      </c>
      <c r="J161" s="100">
        <f t="shared" si="967"/>
        <v>0</v>
      </c>
      <c r="K161" s="101">
        <f t="shared" si="967"/>
        <v>2</v>
      </c>
      <c r="L161" s="101">
        <f t="shared" si="967"/>
        <v>0</v>
      </c>
      <c r="M161" s="140">
        <f t="shared" si="860"/>
        <v>26</v>
      </c>
      <c r="N161" s="97">
        <f t="shared" ref="N161:T161" si="968">RANDBETWEEN(0,10)</f>
        <v>6</v>
      </c>
      <c r="O161" s="97">
        <f t="shared" si="968"/>
        <v>3</v>
      </c>
      <c r="P161" s="97">
        <f t="shared" si="968"/>
        <v>4</v>
      </c>
      <c r="Q161" s="97">
        <f t="shared" si="968"/>
        <v>1</v>
      </c>
      <c r="R161" s="97">
        <f t="shared" si="968"/>
        <v>10</v>
      </c>
      <c r="S161" s="97">
        <f t="shared" si="968"/>
        <v>0</v>
      </c>
      <c r="T161" s="97">
        <f t="shared" si="968"/>
        <v>2</v>
      </c>
      <c r="U161" s="103">
        <f t="shared" si="944"/>
        <v>30</v>
      </c>
      <c r="V161" s="158">
        <f t="shared" si="897"/>
        <v>1</v>
      </c>
      <c r="W161" s="97">
        <f t="shared" ref="W161:Y161" si="969">RANDBETWEEN(0,2)</f>
        <v>1</v>
      </c>
      <c r="X161" s="97">
        <f t="shared" si="969"/>
        <v>0</v>
      </c>
      <c r="Y161" s="97">
        <f t="shared" si="969"/>
        <v>0</v>
      </c>
      <c r="Z161" s="105">
        <f t="shared" si="906"/>
        <v>3</v>
      </c>
      <c r="AA161" s="143">
        <f t="shared" ref="AA161:AF161" si="970">RANDBETWEEN(0,2)</f>
        <v>2</v>
      </c>
      <c r="AB161" s="143">
        <f t="shared" si="970"/>
        <v>1</v>
      </c>
      <c r="AC161" s="144">
        <f t="shared" si="970"/>
        <v>2</v>
      </c>
      <c r="AD161" s="145">
        <f t="shared" si="970"/>
        <v>2</v>
      </c>
      <c r="AE161" s="145">
        <f t="shared" si="970"/>
        <v>0</v>
      </c>
      <c r="AF161" s="145">
        <f t="shared" si="970"/>
        <v>1</v>
      </c>
      <c r="AG161" s="86">
        <f t="shared" si="867"/>
        <v>5</v>
      </c>
      <c r="AH161" s="144">
        <f t="shared" ref="AH161:AJ161" si="971">RANDBETWEEN(1,10)</f>
        <v>9</v>
      </c>
      <c r="AI161" s="145">
        <f t="shared" si="971"/>
        <v>5</v>
      </c>
      <c r="AJ161" s="145">
        <f t="shared" si="971"/>
        <v>9</v>
      </c>
      <c r="AK161" s="192">
        <f t="shared" si="869"/>
        <v>23</v>
      </c>
      <c r="AL161" s="144"/>
      <c r="AM161" s="145"/>
      <c r="AN161" s="145"/>
      <c r="AO161" s="145"/>
      <c r="AP161" s="89"/>
      <c r="AQ161" s="144"/>
      <c r="AR161" s="145"/>
      <c r="AS161" s="145"/>
      <c r="AT161" s="193"/>
      <c r="AU161" s="144"/>
      <c r="AV161" s="145"/>
      <c r="AW161" s="145"/>
      <c r="AX161" s="194"/>
      <c r="AY161" s="92">
        <f t="shared" ref="AY161:AZ161" si="972">RANDBETWEEN(1,10)/10</f>
        <v>0.3</v>
      </c>
      <c r="AZ161" s="92">
        <f t="shared" si="972"/>
        <v>0.8</v>
      </c>
      <c r="BA161" s="93">
        <v>0.0</v>
      </c>
      <c r="BB161" s="93">
        <v>0.0</v>
      </c>
      <c r="BC161" s="94">
        <f>SUM(BC133,'ГОЧ'!$AY161)</f>
        <v>1202.6</v>
      </c>
      <c r="BD161" s="94">
        <f>SUM(BD133,'ГОЧ'!$AZ161)</f>
        <v>1203.8</v>
      </c>
      <c r="BE161" s="108"/>
      <c r="BF161" s="108"/>
    </row>
    <row r="162" ht="15.75" customHeight="1">
      <c r="A162" s="67">
        <f t="shared" si="857"/>
        <v>46259</v>
      </c>
      <c r="B162" s="114" t="s">
        <v>45</v>
      </c>
      <c r="C162" s="164">
        <f t="shared" si="858"/>
        <v>9</v>
      </c>
      <c r="D162" s="164">
        <f t="shared" ref="D162:U162" si="973">SUM(D156:D161)</f>
        <v>2</v>
      </c>
      <c r="E162" s="165">
        <f t="shared" si="973"/>
        <v>6</v>
      </c>
      <c r="F162" s="165">
        <f t="shared" si="973"/>
        <v>7</v>
      </c>
      <c r="G162" s="165">
        <f t="shared" si="973"/>
        <v>6</v>
      </c>
      <c r="H162" s="165">
        <f t="shared" si="973"/>
        <v>5</v>
      </c>
      <c r="I162" s="165">
        <f t="shared" si="973"/>
        <v>6</v>
      </c>
      <c r="J162" s="165">
        <f t="shared" si="973"/>
        <v>4</v>
      </c>
      <c r="K162" s="165">
        <f t="shared" si="973"/>
        <v>5</v>
      </c>
      <c r="L162" s="165">
        <f t="shared" si="973"/>
        <v>4</v>
      </c>
      <c r="M162" s="164">
        <f t="shared" si="973"/>
        <v>187</v>
      </c>
      <c r="N162" s="164">
        <f t="shared" si="973"/>
        <v>26</v>
      </c>
      <c r="O162" s="165">
        <f t="shared" si="973"/>
        <v>21</v>
      </c>
      <c r="P162" s="165">
        <f t="shared" si="973"/>
        <v>42</v>
      </c>
      <c r="Q162" s="165">
        <f t="shared" si="973"/>
        <v>27</v>
      </c>
      <c r="R162" s="165">
        <f t="shared" si="973"/>
        <v>33</v>
      </c>
      <c r="S162" s="165">
        <f t="shared" si="973"/>
        <v>18</v>
      </c>
      <c r="T162" s="165">
        <f t="shared" si="973"/>
        <v>20</v>
      </c>
      <c r="U162" s="164">
        <f t="shared" si="973"/>
        <v>120</v>
      </c>
      <c r="V162" s="164">
        <f t="shared" si="897"/>
        <v>24</v>
      </c>
      <c r="W162" s="165">
        <f t="shared" ref="W162:Y162" si="974">SUM(W156:W161)</f>
        <v>7</v>
      </c>
      <c r="X162" s="165">
        <f t="shared" si="974"/>
        <v>9</v>
      </c>
      <c r="Y162" s="165">
        <f t="shared" si="974"/>
        <v>8</v>
      </c>
      <c r="Z162" s="165">
        <f t="shared" si="906"/>
        <v>12</v>
      </c>
      <c r="AA162" s="165">
        <f t="shared" ref="AA162:AF162" si="975">SUM(AA156:AA161)</f>
        <v>6</v>
      </c>
      <c r="AB162" s="165">
        <f t="shared" si="975"/>
        <v>6</v>
      </c>
      <c r="AC162" s="166">
        <f t="shared" si="975"/>
        <v>9</v>
      </c>
      <c r="AD162" s="166">
        <f t="shared" si="975"/>
        <v>5</v>
      </c>
      <c r="AE162" s="166">
        <f t="shared" si="975"/>
        <v>7</v>
      </c>
      <c r="AF162" s="166">
        <f t="shared" si="975"/>
        <v>8</v>
      </c>
      <c r="AG162" s="168">
        <f t="shared" si="867"/>
        <v>29</v>
      </c>
      <c r="AH162" s="166">
        <f t="shared" ref="AH162:AJ162" si="976">SUM(AH156:AH161)</f>
        <v>41</v>
      </c>
      <c r="AI162" s="167">
        <f t="shared" si="976"/>
        <v>32</v>
      </c>
      <c r="AJ162" s="167">
        <f t="shared" si="976"/>
        <v>32</v>
      </c>
      <c r="AK162" s="168">
        <f t="shared" si="869"/>
        <v>105</v>
      </c>
      <c r="AL162" s="166"/>
      <c r="AM162" s="166"/>
      <c r="AN162" s="166"/>
      <c r="AO162" s="166"/>
      <c r="AP162" s="169"/>
      <c r="AQ162" s="166"/>
      <c r="AR162" s="167"/>
      <c r="AS162" s="167"/>
      <c r="AT162" s="170"/>
      <c r="AU162" s="166"/>
      <c r="AV162" s="167"/>
      <c r="AW162" s="167"/>
      <c r="AX162" s="171"/>
      <c r="AY162" s="196">
        <f t="shared" ref="AY162:BD162" si="977">SUM(AY156:AY161)</f>
        <v>3.4</v>
      </c>
      <c r="AZ162" s="196">
        <f t="shared" si="977"/>
        <v>3.9</v>
      </c>
      <c r="BA162" s="167">
        <f t="shared" si="977"/>
        <v>0</v>
      </c>
      <c r="BB162" s="167">
        <f t="shared" si="977"/>
        <v>0</v>
      </c>
      <c r="BC162" s="197">
        <f t="shared" si="977"/>
        <v>7216.9</v>
      </c>
      <c r="BD162" s="197">
        <f t="shared" si="977"/>
        <v>7218.2</v>
      </c>
      <c r="BE162" s="154" t="str">
        <f t="shared" ref="BE162:BF162" si="978">TEXTJOIN(", ",TRUE,BE156:BE161)</f>
        <v/>
      </c>
      <c r="BF162" s="154" t="str">
        <f t="shared" si="978"/>
        <v/>
      </c>
    </row>
    <row r="163" ht="15.75" customHeight="1">
      <c r="A163" s="67">
        <f t="shared" si="857"/>
        <v>46259</v>
      </c>
      <c r="B163" s="124" t="s">
        <v>49</v>
      </c>
      <c r="C163" s="174">
        <f t="shared" si="858"/>
        <v>3</v>
      </c>
      <c r="D163" s="175">
        <f t="shared" ref="D163:L163" si="979">RANDBETWEEN(0,2)</f>
        <v>1</v>
      </c>
      <c r="E163" s="175">
        <f t="shared" si="979"/>
        <v>1</v>
      </c>
      <c r="F163" s="175">
        <f t="shared" si="979"/>
        <v>2</v>
      </c>
      <c r="G163" s="175">
        <f t="shared" si="979"/>
        <v>0</v>
      </c>
      <c r="H163" s="176">
        <f t="shared" si="979"/>
        <v>2</v>
      </c>
      <c r="I163" s="177">
        <f t="shared" si="979"/>
        <v>0</v>
      </c>
      <c r="J163" s="178">
        <f t="shared" si="979"/>
        <v>0</v>
      </c>
      <c r="K163" s="179">
        <f t="shared" si="979"/>
        <v>1</v>
      </c>
      <c r="L163" s="179">
        <f t="shared" si="979"/>
        <v>0</v>
      </c>
      <c r="M163" s="180">
        <f t="shared" ref="M163:M168" si="986">SUM(N163:T163)</f>
        <v>39</v>
      </c>
      <c r="N163" s="175">
        <f t="shared" ref="N163:T163" si="980">RANDBETWEEN(0,10)</f>
        <v>10</v>
      </c>
      <c r="O163" s="175">
        <f t="shared" si="980"/>
        <v>5</v>
      </c>
      <c r="P163" s="175">
        <f t="shared" si="980"/>
        <v>8</v>
      </c>
      <c r="Q163" s="175">
        <f t="shared" si="980"/>
        <v>3</v>
      </c>
      <c r="R163" s="175">
        <f t="shared" si="980"/>
        <v>9</v>
      </c>
      <c r="S163" s="175">
        <f t="shared" si="980"/>
        <v>1</v>
      </c>
      <c r="T163" s="175">
        <f t="shared" si="980"/>
        <v>3</v>
      </c>
      <c r="U163" s="181">
        <f t="shared" ref="U163:U167" si="988">RANDBETWEEN(10,30)</f>
        <v>18</v>
      </c>
      <c r="V163" s="182">
        <f t="shared" si="897"/>
        <v>2</v>
      </c>
      <c r="W163" s="175">
        <f t="shared" ref="W163:Y163" si="981">RANDBETWEEN(0,2)</f>
        <v>0</v>
      </c>
      <c r="X163" s="175">
        <f t="shared" si="981"/>
        <v>0</v>
      </c>
      <c r="Y163" s="175">
        <f t="shared" si="981"/>
        <v>2</v>
      </c>
      <c r="Z163" s="183">
        <f t="shared" si="906"/>
        <v>1</v>
      </c>
      <c r="AA163" s="198">
        <f t="shared" ref="AA163:AF163" si="982">RANDBETWEEN(0,2)</f>
        <v>0</v>
      </c>
      <c r="AB163" s="198">
        <f t="shared" si="982"/>
        <v>1</v>
      </c>
      <c r="AC163" s="199">
        <f t="shared" si="982"/>
        <v>1</v>
      </c>
      <c r="AD163" s="200">
        <f t="shared" si="982"/>
        <v>2</v>
      </c>
      <c r="AE163" s="200">
        <f t="shared" si="982"/>
        <v>0</v>
      </c>
      <c r="AF163" s="200">
        <f t="shared" si="982"/>
        <v>1</v>
      </c>
      <c r="AG163" s="187">
        <f t="shared" si="867"/>
        <v>4</v>
      </c>
      <c r="AH163" s="199">
        <f t="shared" ref="AH163:AJ163" si="983">RANDBETWEEN(1,10)</f>
        <v>7</v>
      </c>
      <c r="AI163" s="200">
        <f t="shared" si="983"/>
        <v>9</v>
      </c>
      <c r="AJ163" s="200">
        <f t="shared" si="983"/>
        <v>10</v>
      </c>
      <c r="AK163" s="188">
        <f t="shared" si="869"/>
        <v>26</v>
      </c>
      <c r="AL163" s="199"/>
      <c r="AM163" s="200"/>
      <c r="AN163" s="200"/>
      <c r="AO163" s="200"/>
      <c r="AP163" s="189"/>
      <c r="AQ163" s="199"/>
      <c r="AR163" s="200"/>
      <c r="AS163" s="200"/>
      <c r="AT163" s="190"/>
      <c r="AU163" s="199"/>
      <c r="AV163" s="200"/>
      <c r="AW163" s="200"/>
      <c r="AX163" s="191"/>
      <c r="AY163" s="92">
        <f t="shared" ref="AY163:AZ163" si="984">RANDBETWEEN(1,10)/10</f>
        <v>0.8</v>
      </c>
      <c r="AZ163" s="92">
        <f t="shared" si="984"/>
        <v>0.1</v>
      </c>
      <c r="BA163" s="93">
        <v>0.0</v>
      </c>
      <c r="BB163" s="93">
        <v>0.0</v>
      </c>
      <c r="BC163" s="94">
        <f>SUM(BC135,'ГОЧ'!$AY163)</f>
        <v>1202.1</v>
      </c>
      <c r="BD163" s="94">
        <f>SUM(BD135,'ГОЧ'!$AZ163)</f>
        <v>1202.7</v>
      </c>
      <c r="BE163" s="186"/>
      <c r="BF163" s="186"/>
    </row>
    <row r="164" ht="15.75" customHeight="1">
      <c r="A164" s="67">
        <f t="shared" si="857"/>
        <v>46259</v>
      </c>
      <c r="B164" s="195" t="s">
        <v>53</v>
      </c>
      <c r="C164" s="157">
        <f t="shared" si="858"/>
        <v>3</v>
      </c>
      <c r="D164" s="97">
        <f t="shared" ref="D164:L164" si="985">RANDBETWEEN(0,2)</f>
        <v>2</v>
      </c>
      <c r="E164" s="97">
        <f t="shared" si="985"/>
        <v>2</v>
      </c>
      <c r="F164" s="97">
        <f t="shared" si="985"/>
        <v>1</v>
      </c>
      <c r="G164" s="97">
        <f t="shared" si="985"/>
        <v>2</v>
      </c>
      <c r="H164" s="98">
        <f t="shared" si="985"/>
        <v>0</v>
      </c>
      <c r="I164" s="99">
        <f t="shared" si="985"/>
        <v>0</v>
      </c>
      <c r="J164" s="100">
        <f t="shared" si="985"/>
        <v>2</v>
      </c>
      <c r="K164" s="101">
        <f t="shared" si="985"/>
        <v>2</v>
      </c>
      <c r="L164" s="101">
        <f t="shared" si="985"/>
        <v>2</v>
      </c>
      <c r="M164" s="140">
        <f t="shared" si="986"/>
        <v>48</v>
      </c>
      <c r="N164" s="97">
        <f t="shared" ref="N164:T164" si="987">RANDBETWEEN(0,10)</f>
        <v>8</v>
      </c>
      <c r="O164" s="97">
        <f t="shared" si="987"/>
        <v>10</v>
      </c>
      <c r="P164" s="97">
        <f t="shared" si="987"/>
        <v>8</v>
      </c>
      <c r="Q164" s="97">
        <f t="shared" si="987"/>
        <v>0</v>
      </c>
      <c r="R164" s="97">
        <f t="shared" si="987"/>
        <v>8</v>
      </c>
      <c r="S164" s="97">
        <f t="shared" si="987"/>
        <v>8</v>
      </c>
      <c r="T164" s="97">
        <f t="shared" si="987"/>
        <v>6</v>
      </c>
      <c r="U164" s="103">
        <f t="shared" si="988"/>
        <v>19</v>
      </c>
      <c r="V164" s="158">
        <f t="shared" si="897"/>
        <v>4</v>
      </c>
      <c r="W164" s="97">
        <f t="shared" ref="W164:Y164" si="989">RANDBETWEEN(0,2)</f>
        <v>1</v>
      </c>
      <c r="X164" s="97">
        <f t="shared" si="989"/>
        <v>2</v>
      </c>
      <c r="Y164" s="97">
        <f t="shared" si="989"/>
        <v>1</v>
      </c>
      <c r="Z164" s="105">
        <f t="shared" si="906"/>
        <v>4</v>
      </c>
      <c r="AA164" s="106">
        <f t="shared" ref="AA164:AF164" si="990">RANDBETWEEN(0,2)</f>
        <v>2</v>
      </c>
      <c r="AB164" s="106">
        <f t="shared" si="990"/>
        <v>2</v>
      </c>
      <c r="AC164" s="107">
        <f t="shared" si="990"/>
        <v>1</v>
      </c>
      <c r="AD164" s="108">
        <f t="shared" si="990"/>
        <v>0</v>
      </c>
      <c r="AE164" s="108">
        <f t="shared" si="990"/>
        <v>2</v>
      </c>
      <c r="AF164" s="108">
        <f t="shared" si="990"/>
        <v>2</v>
      </c>
      <c r="AG164" s="86">
        <f t="shared" si="867"/>
        <v>5</v>
      </c>
      <c r="AH164" s="107">
        <f t="shared" ref="AH164:AJ164" si="991">RANDBETWEEN(1,10)</f>
        <v>3</v>
      </c>
      <c r="AI164" s="108">
        <f t="shared" si="991"/>
        <v>5</v>
      </c>
      <c r="AJ164" s="108">
        <f t="shared" si="991"/>
        <v>6</v>
      </c>
      <c r="AK164" s="192">
        <f t="shared" si="869"/>
        <v>14</v>
      </c>
      <c r="AL164" s="107"/>
      <c r="AM164" s="108"/>
      <c r="AN164" s="108"/>
      <c r="AO164" s="108"/>
      <c r="AP164" s="89"/>
      <c r="AQ164" s="107"/>
      <c r="AR164" s="108"/>
      <c r="AS164" s="108"/>
      <c r="AT164" s="193"/>
      <c r="AU164" s="107"/>
      <c r="AV164" s="108"/>
      <c r="AW164" s="108"/>
      <c r="AX164" s="194"/>
      <c r="AY164" s="92">
        <f t="shared" ref="AY164:AZ164" si="992">RANDBETWEEN(1,10)/10</f>
        <v>0.5</v>
      </c>
      <c r="AZ164" s="92">
        <f t="shared" si="992"/>
        <v>0.4</v>
      </c>
      <c r="BA164" s="93">
        <v>0.0</v>
      </c>
      <c r="BB164" s="93">
        <v>0.0</v>
      </c>
      <c r="BC164" s="94">
        <f>SUM(BC136,'ГОЧ'!$AY164)</f>
        <v>1202.6</v>
      </c>
      <c r="BD164" s="94">
        <f>SUM(BD136,'ГОЧ'!$AZ164)</f>
        <v>1202.3</v>
      </c>
      <c r="BE164" s="108"/>
      <c r="BF164" s="108"/>
    </row>
    <row r="165" ht="15.75" customHeight="1">
      <c r="A165" s="67">
        <f t="shared" si="857"/>
        <v>46259</v>
      </c>
      <c r="B165" s="138" t="s">
        <v>57</v>
      </c>
      <c r="C165" s="157">
        <f t="shared" si="858"/>
        <v>2</v>
      </c>
      <c r="D165" s="97">
        <f t="shared" ref="D165:L165" si="993">RANDBETWEEN(0,2)</f>
        <v>0</v>
      </c>
      <c r="E165" s="97">
        <f t="shared" si="993"/>
        <v>0</v>
      </c>
      <c r="F165" s="97">
        <f t="shared" si="993"/>
        <v>2</v>
      </c>
      <c r="G165" s="97">
        <f t="shared" si="993"/>
        <v>0</v>
      </c>
      <c r="H165" s="98">
        <f t="shared" si="993"/>
        <v>1</v>
      </c>
      <c r="I165" s="99">
        <f t="shared" si="993"/>
        <v>2</v>
      </c>
      <c r="J165" s="100">
        <f t="shared" si="993"/>
        <v>1</v>
      </c>
      <c r="K165" s="101">
        <f t="shared" si="993"/>
        <v>2</v>
      </c>
      <c r="L165" s="101">
        <f t="shared" si="993"/>
        <v>2</v>
      </c>
      <c r="M165" s="140">
        <f t="shared" si="986"/>
        <v>34</v>
      </c>
      <c r="N165" s="97">
        <f t="shared" ref="N165:T165" si="994">RANDBETWEEN(0,10)</f>
        <v>1</v>
      </c>
      <c r="O165" s="97">
        <f t="shared" si="994"/>
        <v>8</v>
      </c>
      <c r="P165" s="97">
        <f t="shared" si="994"/>
        <v>2</v>
      </c>
      <c r="Q165" s="97">
        <f t="shared" si="994"/>
        <v>6</v>
      </c>
      <c r="R165" s="97">
        <f t="shared" si="994"/>
        <v>10</v>
      </c>
      <c r="S165" s="97">
        <f t="shared" si="994"/>
        <v>0</v>
      </c>
      <c r="T165" s="97">
        <f t="shared" si="994"/>
        <v>7</v>
      </c>
      <c r="U165" s="103">
        <f t="shared" si="988"/>
        <v>10</v>
      </c>
      <c r="V165" s="158">
        <f t="shared" si="897"/>
        <v>5</v>
      </c>
      <c r="W165" s="97">
        <f t="shared" ref="W165:Y165" si="995">RANDBETWEEN(0,2)</f>
        <v>2</v>
      </c>
      <c r="X165" s="97">
        <f t="shared" si="995"/>
        <v>1</v>
      </c>
      <c r="Y165" s="97">
        <f t="shared" si="995"/>
        <v>2</v>
      </c>
      <c r="Z165" s="105">
        <f t="shared" si="906"/>
        <v>1</v>
      </c>
      <c r="AA165" s="143">
        <f t="shared" ref="AA165:AF165" si="996">RANDBETWEEN(0,2)</f>
        <v>1</v>
      </c>
      <c r="AB165" s="143">
        <f t="shared" si="996"/>
        <v>0</v>
      </c>
      <c r="AC165" s="144">
        <f t="shared" si="996"/>
        <v>2</v>
      </c>
      <c r="AD165" s="145">
        <f t="shared" si="996"/>
        <v>1</v>
      </c>
      <c r="AE165" s="145">
        <f t="shared" si="996"/>
        <v>2</v>
      </c>
      <c r="AF165" s="145">
        <f t="shared" si="996"/>
        <v>2</v>
      </c>
      <c r="AG165" s="86">
        <f t="shared" si="867"/>
        <v>7</v>
      </c>
      <c r="AH165" s="144">
        <f t="shared" ref="AH165:AJ165" si="997">RANDBETWEEN(1,10)</f>
        <v>6</v>
      </c>
      <c r="AI165" s="145">
        <f t="shared" si="997"/>
        <v>10</v>
      </c>
      <c r="AJ165" s="145">
        <f t="shared" si="997"/>
        <v>5</v>
      </c>
      <c r="AK165" s="192">
        <f t="shared" si="869"/>
        <v>21</v>
      </c>
      <c r="AL165" s="144"/>
      <c r="AM165" s="145"/>
      <c r="AN165" s="145"/>
      <c r="AO165" s="145"/>
      <c r="AP165" s="89"/>
      <c r="AQ165" s="144"/>
      <c r="AR165" s="145"/>
      <c r="AS165" s="145"/>
      <c r="AT165" s="193"/>
      <c r="AU165" s="144"/>
      <c r="AV165" s="145"/>
      <c r="AW165" s="145"/>
      <c r="AX165" s="194"/>
      <c r="AY165" s="92">
        <f t="shared" ref="AY165:AZ165" si="998">RANDBETWEEN(1,10)/10</f>
        <v>0.4</v>
      </c>
      <c r="AZ165" s="92">
        <f t="shared" si="998"/>
        <v>0.8</v>
      </c>
      <c r="BA165" s="93">
        <v>0.0</v>
      </c>
      <c r="BB165" s="93">
        <v>0.0</v>
      </c>
      <c r="BC165" s="94">
        <f>SUM(BC137,'ГОЧ'!$AY165)</f>
        <v>1203.1</v>
      </c>
      <c r="BD165" s="94">
        <f>SUM(BD137,'ГОЧ'!$AZ165)</f>
        <v>1204</v>
      </c>
      <c r="BE165" s="108"/>
      <c r="BF165" s="108"/>
    </row>
    <row r="166" ht="15.75" customHeight="1">
      <c r="A166" s="67">
        <f t="shared" si="857"/>
        <v>46259</v>
      </c>
      <c r="B166" s="138" t="s">
        <v>60</v>
      </c>
      <c r="C166" s="157">
        <f t="shared" si="858"/>
        <v>2</v>
      </c>
      <c r="D166" s="97">
        <f t="shared" ref="D166:L166" si="999">RANDBETWEEN(0,2)</f>
        <v>1</v>
      </c>
      <c r="E166" s="97">
        <f t="shared" si="999"/>
        <v>0</v>
      </c>
      <c r="F166" s="97">
        <f t="shared" si="999"/>
        <v>1</v>
      </c>
      <c r="G166" s="97">
        <f t="shared" si="999"/>
        <v>0</v>
      </c>
      <c r="H166" s="98">
        <f t="shared" si="999"/>
        <v>0</v>
      </c>
      <c r="I166" s="99">
        <f t="shared" si="999"/>
        <v>0</v>
      </c>
      <c r="J166" s="100">
        <f t="shared" si="999"/>
        <v>0</v>
      </c>
      <c r="K166" s="101">
        <f t="shared" si="999"/>
        <v>1</v>
      </c>
      <c r="L166" s="101">
        <f t="shared" si="999"/>
        <v>0</v>
      </c>
      <c r="M166" s="140">
        <f t="shared" si="986"/>
        <v>29</v>
      </c>
      <c r="N166" s="97">
        <f t="shared" ref="N166:T166" si="1000">RANDBETWEEN(0,10)</f>
        <v>3</v>
      </c>
      <c r="O166" s="97">
        <f t="shared" si="1000"/>
        <v>6</v>
      </c>
      <c r="P166" s="97">
        <f t="shared" si="1000"/>
        <v>3</v>
      </c>
      <c r="Q166" s="97">
        <f t="shared" si="1000"/>
        <v>1</v>
      </c>
      <c r="R166" s="97">
        <f t="shared" si="1000"/>
        <v>1</v>
      </c>
      <c r="S166" s="97">
        <f t="shared" si="1000"/>
        <v>8</v>
      </c>
      <c r="T166" s="97">
        <f t="shared" si="1000"/>
        <v>7</v>
      </c>
      <c r="U166" s="103">
        <f t="shared" si="988"/>
        <v>29</v>
      </c>
      <c r="V166" s="158">
        <f t="shared" si="897"/>
        <v>3</v>
      </c>
      <c r="W166" s="97">
        <f t="shared" ref="W166:Y166" si="1001">RANDBETWEEN(0,2)</f>
        <v>1</v>
      </c>
      <c r="X166" s="97">
        <f t="shared" si="1001"/>
        <v>2</v>
      </c>
      <c r="Y166" s="97">
        <f t="shared" si="1001"/>
        <v>0</v>
      </c>
      <c r="Z166" s="105">
        <f t="shared" si="906"/>
        <v>1</v>
      </c>
      <c r="AA166" s="106">
        <f t="shared" ref="AA166:AF166" si="1002">RANDBETWEEN(0,2)</f>
        <v>1</v>
      </c>
      <c r="AB166" s="106">
        <f t="shared" si="1002"/>
        <v>0</v>
      </c>
      <c r="AC166" s="107">
        <f t="shared" si="1002"/>
        <v>1</v>
      </c>
      <c r="AD166" s="108">
        <f t="shared" si="1002"/>
        <v>0</v>
      </c>
      <c r="AE166" s="108">
        <f t="shared" si="1002"/>
        <v>0</v>
      </c>
      <c r="AF166" s="108">
        <f t="shared" si="1002"/>
        <v>1</v>
      </c>
      <c r="AG166" s="86">
        <f t="shared" si="867"/>
        <v>2</v>
      </c>
      <c r="AH166" s="107">
        <f t="shared" ref="AH166:AJ166" si="1003">RANDBETWEEN(1,10)</f>
        <v>3</v>
      </c>
      <c r="AI166" s="108">
        <f t="shared" si="1003"/>
        <v>6</v>
      </c>
      <c r="AJ166" s="108">
        <f t="shared" si="1003"/>
        <v>7</v>
      </c>
      <c r="AK166" s="192">
        <f t="shared" si="869"/>
        <v>16</v>
      </c>
      <c r="AL166" s="107"/>
      <c r="AM166" s="108"/>
      <c r="AN166" s="108"/>
      <c r="AO166" s="108"/>
      <c r="AP166" s="89"/>
      <c r="AQ166" s="107"/>
      <c r="AR166" s="108"/>
      <c r="AS166" s="108"/>
      <c r="AT166" s="193"/>
      <c r="AU166" s="107"/>
      <c r="AV166" s="108"/>
      <c r="AW166" s="108"/>
      <c r="AX166" s="194"/>
      <c r="AY166" s="92">
        <f t="shared" ref="AY166:AZ166" si="1004">RANDBETWEEN(1,10)/10</f>
        <v>0.6</v>
      </c>
      <c r="AZ166" s="92">
        <f t="shared" si="1004"/>
        <v>0.3</v>
      </c>
      <c r="BA166" s="93">
        <v>0.0</v>
      </c>
      <c r="BB166" s="93">
        <v>0.0</v>
      </c>
      <c r="BC166" s="94">
        <f>SUM(BC138,'ГОЧ'!$AY166)</f>
        <v>1201.9</v>
      </c>
      <c r="BD166" s="94">
        <f>SUM(BD138,'ГОЧ'!$AZ166)</f>
        <v>1202.2</v>
      </c>
      <c r="BE166" s="108"/>
      <c r="BF166" s="108"/>
    </row>
    <row r="167" ht="15.75" customHeight="1">
      <c r="A167" s="67">
        <f t="shared" si="857"/>
        <v>46259</v>
      </c>
      <c r="B167" s="195" t="s">
        <v>64</v>
      </c>
      <c r="C167" s="157">
        <f t="shared" si="858"/>
        <v>0</v>
      </c>
      <c r="D167" s="97">
        <f t="shared" ref="D167:L167" si="1005">RANDBETWEEN(0,2)</f>
        <v>0</v>
      </c>
      <c r="E167" s="97">
        <f t="shared" si="1005"/>
        <v>2</v>
      </c>
      <c r="F167" s="97">
        <f t="shared" si="1005"/>
        <v>0</v>
      </c>
      <c r="G167" s="97">
        <f t="shared" si="1005"/>
        <v>1</v>
      </c>
      <c r="H167" s="98">
        <f t="shared" si="1005"/>
        <v>2</v>
      </c>
      <c r="I167" s="99">
        <f t="shared" si="1005"/>
        <v>2</v>
      </c>
      <c r="J167" s="100">
        <f t="shared" si="1005"/>
        <v>0</v>
      </c>
      <c r="K167" s="101">
        <f t="shared" si="1005"/>
        <v>2</v>
      </c>
      <c r="L167" s="101">
        <f t="shared" si="1005"/>
        <v>1</v>
      </c>
      <c r="M167" s="140">
        <f t="shared" si="986"/>
        <v>36</v>
      </c>
      <c r="N167" s="97">
        <f t="shared" ref="N167:T167" si="1006">RANDBETWEEN(0,10)</f>
        <v>10</v>
      </c>
      <c r="O167" s="97">
        <f t="shared" si="1006"/>
        <v>4</v>
      </c>
      <c r="P167" s="97">
        <f t="shared" si="1006"/>
        <v>3</v>
      </c>
      <c r="Q167" s="97">
        <f t="shared" si="1006"/>
        <v>0</v>
      </c>
      <c r="R167" s="97">
        <f t="shared" si="1006"/>
        <v>10</v>
      </c>
      <c r="S167" s="97">
        <f t="shared" si="1006"/>
        <v>3</v>
      </c>
      <c r="T167" s="97">
        <f t="shared" si="1006"/>
        <v>6</v>
      </c>
      <c r="U167" s="103">
        <f t="shared" si="988"/>
        <v>23</v>
      </c>
      <c r="V167" s="158">
        <f t="shared" si="897"/>
        <v>3</v>
      </c>
      <c r="W167" s="97">
        <f t="shared" ref="W167:Y167" si="1007">RANDBETWEEN(0,2)</f>
        <v>1</v>
      </c>
      <c r="X167" s="97">
        <f t="shared" si="1007"/>
        <v>1</v>
      </c>
      <c r="Y167" s="97">
        <f t="shared" si="1007"/>
        <v>1</v>
      </c>
      <c r="Z167" s="105">
        <f t="shared" si="906"/>
        <v>3</v>
      </c>
      <c r="AA167" s="143">
        <f t="shared" ref="AA167:AF167" si="1008">RANDBETWEEN(0,2)</f>
        <v>2</v>
      </c>
      <c r="AB167" s="143">
        <f t="shared" si="1008"/>
        <v>1</v>
      </c>
      <c r="AC167" s="144">
        <f t="shared" si="1008"/>
        <v>2</v>
      </c>
      <c r="AD167" s="145">
        <f t="shared" si="1008"/>
        <v>0</v>
      </c>
      <c r="AE167" s="145">
        <f t="shared" si="1008"/>
        <v>0</v>
      </c>
      <c r="AF167" s="145">
        <f t="shared" si="1008"/>
        <v>2</v>
      </c>
      <c r="AG167" s="86">
        <f t="shared" si="867"/>
        <v>4</v>
      </c>
      <c r="AH167" s="144">
        <f t="shared" ref="AH167:AJ167" si="1009">RANDBETWEEN(1,10)</f>
        <v>1</v>
      </c>
      <c r="AI167" s="145">
        <f t="shared" si="1009"/>
        <v>7</v>
      </c>
      <c r="AJ167" s="145">
        <f t="shared" si="1009"/>
        <v>3</v>
      </c>
      <c r="AK167" s="192">
        <f t="shared" si="869"/>
        <v>11</v>
      </c>
      <c r="AL167" s="144"/>
      <c r="AM167" s="145"/>
      <c r="AN167" s="145"/>
      <c r="AO167" s="145"/>
      <c r="AP167" s="89"/>
      <c r="AQ167" s="144"/>
      <c r="AR167" s="145"/>
      <c r="AS167" s="145"/>
      <c r="AT167" s="193"/>
      <c r="AU167" s="144"/>
      <c r="AV167" s="145"/>
      <c r="AW167" s="145"/>
      <c r="AX167" s="194"/>
      <c r="AY167" s="92">
        <f t="shared" ref="AY167:AZ167" si="1010">RANDBETWEEN(1,10)/10</f>
        <v>0.3</v>
      </c>
      <c r="AZ167" s="92">
        <f t="shared" si="1010"/>
        <v>0.6</v>
      </c>
      <c r="BA167" s="93">
        <v>0.0</v>
      </c>
      <c r="BB167" s="93">
        <v>0.0</v>
      </c>
      <c r="BC167" s="94">
        <f>SUM(BC139,'ГОЧ'!$AY167)</f>
        <v>1202.3</v>
      </c>
      <c r="BD167" s="94">
        <f>SUM(BD139,'ГОЧ'!$AZ167)</f>
        <v>1202.2</v>
      </c>
      <c r="BE167" s="108"/>
      <c r="BF167" s="108"/>
    </row>
    <row r="168" ht="15.75" customHeight="1">
      <c r="A168" s="67">
        <f t="shared" si="857"/>
        <v>46259</v>
      </c>
      <c r="B168" s="201" t="s">
        <v>67</v>
      </c>
      <c r="C168" s="164">
        <f t="shared" si="858"/>
        <v>10</v>
      </c>
      <c r="D168" s="164">
        <f t="shared" ref="D168:L168" si="1011">SUM(D163:D167)</f>
        <v>4</v>
      </c>
      <c r="E168" s="165">
        <f t="shared" si="1011"/>
        <v>5</v>
      </c>
      <c r="F168" s="165">
        <f t="shared" si="1011"/>
        <v>6</v>
      </c>
      <c r="G168" s="165">
        <f t="shared" si="1011"/>
        <v>3</v>
      </c>
      <c r="H168" s="165">
        <f t="shared" si="1011"/>
        <v>5</v>
      </c>
      <c r="I168" s="165">
        <f t="shared" si="1011"/>
        <v>4</v>
      </c>
      <c r="J168" s="165">
        <f t="shared" si="1011"/>
        <v>3</v>
      </c>
      <c r="K168" s="165">
        <f t="shared" si="1011"/>
        <v>8</v>
      </c>
      <c r="L168" s="165">
        <f t="shared" si="1011"/>
        <v>5</v>
      </c>
      <c r="M168" s="164">
        <f t="shared" si="986"/>
        <v>186</v>
      </c>
      <c r="N168" s="164">
        <f t="shared" ref="N168:U168" si="1012">SUM(N163:N167)</f>
        <v>32</v>
      </c>
      <c r="O168" s="165">
        <f t="shared" si="1012"/>
        <v>33</v>
      </c>
      <c r="P168" s="165">
        <f t="shared" si="1012"/>
        <v>24</v>
      </c>
      <c r="Q168" s="165">
        <f t="shared" si="1012"/>
        <v>10</v>
      </c>
      <c r="R168" s="165">
        <f t="shared" si="1012"/>
        <v>38</v>
      </c>
      <c r="S168" s="165">
        <f t="shared" si="1012"/>
        <v>20</v>
      </c>
      <c r="T168" s="165">
        <f t="shared" si="1012"/>
        <v>29</v>
      </c>
      <c r="U168" s="164">
        <f t="shared" si="1012"/>
        <v>99</v>
      </c>
      <c r="V168" s="164">
        <f t="shared" si="897"/>
        <v>17</v>
      </c>
      <c r="W168" s="165">
        <f t="shared" ref="W168:Y168" si="1013">SUM(W163:W167)</f>
        <v>5</v>
      </c>
      <c r="X168" s="165">
        <f t="shared" si="1013"/>
        <v>6</v>
      </c>
      <c r="Y168" s="165">
        <f t="shared" si="1013"/>
        <v>6</v>
      </c>
      <c r="Z168" s="164">
        <f>SUM(AA168:AB168)</f>
        <v>10</v>
      </c>
      <c r="AA168" s="164">
        <f t="shared" ref="AA168:AF168" si="1014">SUM(AA163:AA167)</f>
        <v>6</v>
      </c>
      <c r="AB168" s="165">
        <f t="shared" si="1014"/>
        <v>4</v>
      </c>
      <c r="AC168" s="166">
        <f t="shared" si="1014"/>
        <v>7</v>
      </c>
      <c r="AD168" s="166">
        <f t="shared" si="1014"/>
        <v>3</v>
      </c>
      <c r="AE168" s="166">
        <f t="shared" si="1014"/>
        <v>4</v>
      </c>
      <c r="AF168" s="166">
        <f t="shared" si="1014"/>
        <v>8</v>
      </c>
      <c r="AG168" s="168">
        <f t="shared" si="867"/>
        <v>22</v>
      </c>
      <c r="AH168" s="166">
        <f t="shared" ref="AH168:AJ168" si="1015">SUM(AH163:AH167)</f>
        <v>20</v>
      </c>
      <c r="AI168" s="167">
        <f t="shared" si="1015"/>
        <v>37</v>
      </c>
      <c r="AJ168" s="167">
        <f t="shared" si="1015"/>
        <v>31</v>
      </c>
      <c r="AK168" s="168">
        <f t="shared" si="869"/>
        <v>88</v>
      </c>
      <c r="AL168" s="166"/>
      <c r="AM168" s="166"/>
      <c r="AN168" s="166"/>
      <c r="AO168" s="166"/>
      <c r="AP168" s="169"/>
      <c r="AQ168" s="166"/>
      <c r="AR168" s="167"/>
      <c r="AS168" s="167"/>
      <c r="AT168" s="170"/>
      <c r="AU168" s="166"/>
      <c r="AV168" s="167"/>
      <c r="AW168" s="167"/>
      <c r="AX168" s="171"/>
      <c r="AY168" s="196">
        <f t="shared" ref="AY168:BD168" si="1016">SUM(AY163:AY167)</f>
        <v>2.6</v>
      </c>
      <c r="AZ168" s="196">
        <f t="shared" si="1016"/>
        <v>2.2</v>
      </c>
      <c r="BA168" s="167">
        <f t="shared" si="1016"/>
        <v>0</v>
      </c>
      <c r="BB168" s="167">
        <f t="shared" si="1016"/>
        <v>0</v>
      </c>
      <c r="BC168" s="197">
        <f t="shared" si="1016"/>
        <v>6012</v>
      </c>
      <c r="BD168" s="197">
        <f t="shared" si="1016"/>
        <v>6013.4</v>
      </c>
      <c r="BE168" s="154" t="str">
        <f t="shared" ref="BE168:BF168" si="1017">TEXTJOIN(", ",TRUE,BE163:BE167)</f>
        <v/>
      </c>
      <c r="BF168" s="154" t="str">
        <f t="shared" si="1017"/>
        <v/>
      </c>
    </row>
    <row r="169" ht="15.75" customHeight="1">
      <c r="A169" s="67">
        <f t="shared" si="857"/>
        <v>46259</v>
      </c>
      <c r="B169" s="202" t="s">
        <v>72</v>
      </c>
      <c r="C169" s="203">
        <f t="shared" ref="C169:AK169" si="1018">SUM(C143+C144+C145+C149,C148,C155,C162,C168)</f>
        <v>46</v>
      </c>
      <c r="D169" s="203">
        <f t="shared" si="1018"/>
        <v>18</v>
      </c>
      <c r="E169" s="203">
        <f t="shared" si="1018"/>
        <v>23</v>
      </c>
      <c r="F169" s="203">
        <f t="shared" si="1018"/>
        <v>28</v>
      </c>
      <c r="G169" s="203">
        <f t="shared" si="1018"/>
        <v>21</v>
      </c>
      <c r="H169" s="203">
        <f t="shared" si="1018"/>
        <v>22</v>
      </c>
      <c r="I169" s="203">
        <f t="shared" si="1018"/>
        <v>14</v>
      </c>
      <c r="J169" s="203">
        <f t="shared" si="1018"/>
        <v>10</v>
      </c>
      <c r="K169" s="203">
        <f t="shared" si="1018"/>
        <v>22</v>
      </c>
      <c r="L169" s="203">
        <f t="shared" si="1018"/>
        <v>17</v>
      </c>
      <c r="M169" s="203">
        <f t="shared" si="1018"/>
        <v>714</v>
      </c>
      <c r="N169" s="203">
        <f t="shared" si="1018"/>
        <v>91</v>
      </c>
      <c r="O169" s="203">
        <f t="shared" si="1018"/>
        <v>88</v>
      </c>
      <c r="P169" s="203">
        <f t="shared" si="1018"/>
        <v>126</v>
      </c>
      <c r="Q169" s="203">
        <f t="shared" si="1018"/>
        <v>98</v>
      </c>
      <c r="R169" s="203">
        <f t="shared" si="1018"/>
        <v>109</v>
      </c>
      <c r="S169" s="203">
        <f t="shared" si="1018"/>
        <v>77</v>
      </c>
      <c r="T169" s="203">
        <f t="shared" si="1018"/>
        <v>125</v>
      </c>
      <c r="U169" s="203">
        <f t="shared" si="1018"/>
        <v>419</v>
      </c>
      <c r="V169" s="203">
        <f t="shared" si="1018"/>
        <v>64</v>
      </c>
      <c r="W169" s="203">
        <f t="shared" si="1018"/>
        <v>20</v>
      </c>
      <c r="X169" s="203">
        <f t="shared" si="1018"/>
        <v>23</v>
      </c>
      <c r="Y169" s="203">
        <f t="shared" si="1018"/>
        <v>21</v>
      </c>
      <c r="Z169" s="203">
        <f t="shared" si="1018"/>
        <v>45</v>
      </c>
      <c r="AA169" s="203">
        <f t="shared" si="1018"/>
        <v>25</v>
      </c>
      <c r="AB169" s="203">
        <f t="shared" si="1018"/>
        <v>20</v>
      </c>
      <c r="AC169" s="204">
        <f t="shared" si="1018"/>
        <v>23</v>
      </c>
      <c r="AD169" s="204">
        <f t="shared" si="1018"/>
        <v>19</v>
      </c>
      <c r="AE169" s="204">
        <f t="shared" si="1018"/>
        <v>21</v>
      </c>
      <c r="AF169" s="204">
        <f t="shared" si="1018"/>
        <v>29</v>
      </c>
      <c r="AG169" s="204">
        <f t="shared" si="1018"/>
        <v>92</v>
      </c>
      <c r="AH169" s="204">
        <f t="shared" si="1018"/>
        <v>122</v>
      </c>
      <c r="AI169" s="204">
        <f t="shared" si="1018"/>
        <v>138</v>
      </c>
      <c r="AJ169" s="204">
        <f t="shared" si="1018"/>
        <v>106</v>
      </c>
      <c r="AK169" s="204">
        <f t="shared" si="1018"/>
        <v>366</v>
      </c>
      <c r="AL169" s="204"/>
      <c r="AM169" s="204"/>
      <c r="AN169" s="204"/>
      <c r="AO169" s="204"/>
      <c r="AP169" s="151"/>
      <c r="AQ169" s="204"/>
      <c r="AR169" s="204"/>
      <c r="AS169" s="204"/>
      <c r="AT169" s="152"/>
      <c r="AU169" s="204"/>
      <c r="AV169" s="204"/>
      <c r="AW169" s="204"/>
      <c r="AX169" s="153"/>
      <c r="AY169" s="205">
        <f t="shared" ref="AY169:BD169" si="1019">SUM(AY143+AY144+AY145+AY149,AY148,AY155,AY162,AY168)</f>
        <v>16.4</v>
      </c>
      <c r="AZ169" s="205">
        <f t="shared" si="1019"/>
        <v>12.5</v>
      </c>
      <c r="BA169" s="206">
        <f t="shared" si="1019"/>
        <v>5</v>
      </c>
      <c r="BB169" s="206">
        <f t="shared" si="1019"/>
        <v>3</v>
      </c>
      <c r="BC169" s="207">
        <f t="shared" si="1019"/>
        <v>26462.1</v>
      </c>
      <c r="BD169" s="207">
        <f t="shared" si="1019"/>
        <v>26466.5</v>
      </c>
      <c r="BE169" s="154" t="str">
        <f t="shared" ref="BE169:BF169" si="1020">TEXTJOIN(", ",TRUE,BE168,BE162,BE155,BE149,BE148,BE145,BE144,BE143)</f>
        <v>Олександівка, Пантелеймонівка, Миколаївка, Курськ, Рильск</v>
      </c>
      <c r="BF169" s="154" t="str">
        <f t="shared" si="1020"/>
        <v>Загреблі, Верхні води, Ступочки</v>
      </c>
    </row>
    <row r="170" ht="15.75" customHeight="1">
      <c r="A170" s="55">
        <f>A169+1</f>
        <v>46260</v>
      </c>
      <c r="B170" s="56"/>
      <c r="C170" s="57"/>
      <c r="D170" s="58"/>
      <c r="E170" s="59"/>
      <c r="F170" s="58"/>
      <c r="G170" s="59"/>
      <c r="H170" s="57"/>
      <c r="I170" s="60"/>
      <c r="J170" s="57"/>
      <c r="K170" s="57"/>
      <c r="L170" s="57"/>
      <c r="M170" s="57"/>
      <c r="N170" s="60"/>
      <c r="O170" s="60"/>
      <c r="P170" s="60"/>
      <c r="Q170" s="60"/>
      <c r="R170" s="60"/>
      <c r="S170" s="60"/>
      <c r="T170" s="60"/>
      <c r="U170" s="57"/>
      <c r="V170" s="58"/>
      <c r="W170" s="61"/>
      <c r="X170" s="61"/>
      <c r="Y170" s="61"/>
      <c r="Z170" s="57"/>
      <c r="AA170" s="60"/>
      <c r="AB170" s="60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4"/>
      <c r="AQ170" s="62"/>
      <c r="AR170" s="62"/>
      <c r="AS170" s="62"/>
      <c r="AT170" s="65"/>
      <c r="AU170" s="62"/>
      <c r="AV170" s="62"/>
      <c r="AW170" s="62"/>
      <c r="AX170" s="66"/>
      <c r="AY170" s="208"/>
      <c r="AZ170" s="208"/>
      <c r="BA170" s="62"/>
      <c r="BB170" s="62"/>
      <c r="BC170" s="209"/>
      <c r="BD170" s="209"/>
      <c r="BE170" s="62"/>
      <c r="BF170" s="62"/>
    </row>
    <row r="171" ht="15.75" customHeight="1">
      <c r="A171" s="67">
        <f t="shared" ref="A171:A197" si="1027">A170</f>
        <v>46260</v>
      </c>
      <c r="B171" s="70" t="s">
        <v>8</v>
      </c>
      <c r="C171" s="72">
        <f t="shared" ref="C171:C196" si="1028">SUM(D171,F171)</f>
        <v>2</v>
      </c>
      <c r="D171" s="74">
        <f t="shared" ref="D171:L171" si="1021">RANDBETWEEN(0,2)</f>
        <v>1</v>
      </c>
      <c r="E171" s="74">
        <f t="shared" si="1021"/>
        <v>0</v>
      </c>
      <c r="F171" s="74">
        <f t="shared" si="1021"/>
        <v>1</v>
      </c>
      <c r="G171" s="74">
        <f t="shared" si="1021"/>
        <v>0</v>
      </c>
      <c r="H171" s="75">
        <f t="shared" si="1021"/>
        <v>1</v>
      </c>
      <c r="I171" s="76">
        <f t="shared" si="1021"/>
        <v>1</v>
      </c>
      <c r="J171" s="77">
        <f t="shared" si="1021"/>
        <v>2</v>
      </c>
      <c r="K171" s="78">
        <f t="shared" si="1021"/>
        <v>1</v>
      </c>
      <c r="L171" s="78">
        <f t="shared" si="1021"/>
        <v>0</v>
      </c>
      <c r="M171" s="79">
        <f t="shared" ref="M171:M189" si="1030">SUM(N171:T171)</f>
        <v>44</v>
      </c>
      <c r="N171" s="74">
        <f t="shared" ref="N171:T171" si="1022">RANDBETWEEN(0,10)</f>
        <v>2</v>
      </c>
      <c r="O171" s="74">
        <f t="shared" si="1022"/>
        <v>10</v>
      </c>
      <c r="P171" s="74">
        <f t="shared" si="1022"/>
        <v>10</v>
      </c>
      <c r="Q171" s="74">
        <f t="shared" si="1022"/>
        <v>1</v>
      </c>
      <c r="R171" s="74">
        <f t="shared" si="1022"/>
        <v>8</v>
      </c>
      <c r="S171" s="74">
        <f t="shared" si="1022"/>
        <v>4</v>
      </c>
      <c r="T171" s="74">
        <f t="shared" si="1022"/>
        <v>9</v>
      </c>
      <c r="U171" s="81">
        <f t="shared" ref="U171:U172" si="1032">RANDBETWEEN(10,30)</f>
        <v>23</v>
      </c>
      <c r="V171" s="82">
        <f t="shared" ref="V171:V176" si="1033">SUM(W171:Y171)</f>
        <v>4</v>
      </c>
      <c r="W171" s="74">
        <f t="shared" ref="W171:Y171" si="1023">RANDBETWEEN(0,2)</f>
        <v>1</v>
      </c>
      <c r="X171" s="74">
        <f t="shared" si="1023"/>
        <v>2</v>
      </c>
      <c r="Y171" s="74">
        <f t="shared" si="1023"/>
        <v>1</v>
      </c>
      <c r="Z171" s="83">
        <f t="shared" ref="Z171:Z173" si="1035">AA171+AB171</f>
        <v>4</v>
      </c>
      <c r="AA171" s="84">
        <f t="shared" ref="AA171:AF171" si="1024">RANDBETWEEN(0,2)</f>
        <v>2</v>
      </c>
      <c r="AB171" s="84">
        <f t="shared" si="1024"/>
        <v>2</v>
      </c>
      <c r="AC171" s="85">
        <f t="shared" si="1024"/>
        <v>1</v>
      </c>
      <c r="AD171" s="85">
        <f t="shared" si="1024"/>
        <v>2</v>
      </c>
      <c r="AE171" s="85">
        <f t="shared" si="1024"/>
        <v>2</v>
      </c>
      <c r="AF171" s="85">
        <f t="shared" si="1024"/>
        <v>0</v>
      </c>
      <c r="AG171" s="86">
        <f t="shared" ref="AG171:AG196" si="1037">SUM(AC171:AF171)</f>
        <v>5</v>
      </c>
      <c r="AH171" s="87">
        <f t="shared" ref="AH171:AJ171" si="1025">RANDBETWEEN(1,10)</f>
        <v>7</v>
      </c>
      <c r="AI171" s="85">
        <f t="shared" si="1025"/>
        <v>6</v>
      </c>
      <c r="AJ171" s="85">
        <f t="shared" si="1025"/>
        <v>10</v>
      </c>
      <c r="AK171" s="88">
        <f t="shared" ref="AK171:AK196" si="1039">SUM(AH171:AJ171)</f>
        <v>23</v>
      </c>
      <c r="AL171" s="85"/>
      <c r="AM171" s="85"/>
      <c r="AN171" s="85"/>
      <c r="AO171" s="85"/>
      <c r="AP171" s="89"/>
      <c r="AQ171" s="87"/>
      <c r="AR171" s="85"/>
      <c r="AS171" s="85"/>
      <c r="AT171" s="90"/>
      <c r="AU171" s="87"/>
      <c r="AV171" s="85"/>
      <c r="AW171" s="85"/>
      <c r="AX171" s="91"/>
      <c r="AY171" s="92">
        <f t="shared" ref="AY171:AZ171" si="1026">RANDBETWEEN(1,10)/10</f>
        <v>0.9</v>
      </c>
      <c r="AZ171" s="92">
        <f t="shared" si="1026"/>
        <v>1</v>
      </c>
      <c r="BA171" s="93">
        <v>0.0</v>
      </c>
      <c r="BB171" s="93">
        <v>0.0</v>
      </c>
      <c r="BC171" s="94">
        <f>SUM(BC143,'ГОЧ'!$AY171)</f>
        <v>1204.5</v>
      </c>
      <c r="BD171" s="94">
        <f>SUM(BD143,'ГОЧ'!$AZ171)</f>
        <v>1205.2</v>
      </c>
      <c r="BE171" s="85"/>
      <c r="BF171" s="85"/>
    </row>
    <row r="172" ht="15.75" customHeight="1">
      <c r="A172" s="67">
        <f t="shared" si="1027"/>
        <v>46260</v>
      </c>
      <c r="B172" s="95" t="s">
        <v>10</v>
      </c>
      <c r="C172" s="96">
        <f t="shared" si="1028"/>
        <v>2</v>
      </c>
      <c r="D172" s="97">
        <f t="shared" ref="D172:L172" si="1029">RANDBETWEEN(0,2)</f>
        <v>2</v>
      </c>
      <c r="E172" s="97">
        <f t="shared" si="1029"/>
        <v>2</v>
      </c>
      <c r="F172" s="97">
        <f t="shared" si="1029"/>
        <v>0</v>
      </c>
      <c r="G172" s="97">
        <f t="shared" si="1029"/>
        <v>1</v>
      </c>
      <c r="H172" s="98">
        <f t="shared" si="1029"/>
        <v>1</v>
      </c>
      <c r="I172" s="99">
        <f t="shared" si="1029"/>
        <v>1</v>
      </c>
      <c r="J172" s="100">
        <f t="shared" si="1029"/>
        <v>0</v>
      </c>
      <c r="K172" s="101">
        <f t="shared" si="1029"/>
        <v>0</v>
      </c>
      <c r="L172" s="101">
        <f t="shared" si="1029"/>
        <v>0</v>
      </c>
      <c r="M172" s="102">
        <f t="shared" si="1030"/>
        <v>30</v>
      </c>
      <c r="N172" s="97">
        <f t="shared" ref="N172:T172" si="1031">RANDBETWEEN(0,10)</f>
        <v>0</v>
      </c>
      <c r="O172" s="97">
        <f t="shared" si="1031"/>
        <v>10</v>
      </c>
      <c r="P172" s="97">
        <f t="shared" si="1031"/>
        <v>6</v>
      </c>
      <c r="Q172" s="97">
        <f t="shared" si="1031"/>
        <v>3</v>
      </c>
      <c r="R172" s="97">
        <f t="shared" si="1031"/>
        <v>2</v>
      </c>
      <c r="S172" s="97">
        <f t="shared" si="1031"/>
        <v>6</v>
      </c>
      <c r="T172" s="97">
        <f t="shared" si="1031"/>
        <v>3</v>
      </c>
      <c r="U172" s="103">
        <f t="shared" si="1032"/>
        <v>24</v>
      </c>
      <c r="V172" s="104">
        <f t="shared" si="1033"/>
        <v>3</v>
      </c>
      <c r="W172" s="97">
        <f t="shared" ref="W172:Y172" si="1034">RANDBETWEEN(0,2)</f>
        <v>1</v>
      </c>
      <c r="X172" s="97">
        <f t="shared" si="1034"/>
        <v>2</v>
      </c>
      <c r="Y172" s="97">
        <f t="shared" si="1034"/>
        <v>0</v>
      </c>
      <c r="Z172" s="105">
        <f t="shared" si="1035"/>
        <v>1</v>
      </c>
      <c r="AA172" s="106">
        <f t="shared" ref="AA172:AF172" si="1036">RANDBETWEEN(0,2)</f>
        <v>0</v>
      </c>
      <c r="AB172" s="106">
        <f t="shared" si="1036"/>
        <v>1</v>
      </c>
      <c r="AC172" s="107">
        <f t="shared" si="1036"/>
        <v>0</v>
      </c>
      <c r="AD172" s="108">
        <f t="shared" si="1036"/>
        <v>0</v>
      </c>
      <c r="AE172" s="108">
        <f t="shared" si="1036"/>
        <v>2</v>
      </c>
      <c r="AF172" s="108">
        <f t="shared" si="1036"/>
        <v>2</v>
      </c>
      <c r="AG172" s="109">
        <f t="shared" si="1037"/>
        <v>4</v>
      </c>
      <c r="AH172" s="107">
        <f t="shared" ref="AH172:AJ172" si="1038">RANDBETWEEN(1,10)</f>
        <v>7</v>
      </c>
      <c r="AI172" s="108">
        <f t="shared" si="1038"/>
        <v>10</v>
      </c>
      <c r="AJ172" s="108">
        <f t="shared" si="1038"/>
        <v>3</v>
      </c>
      <c r="AK172" s="110">
        <f t="shared" si="1039"/>
        <v>20</v>
      </c>
      <c r="AL172" s="107"/>
      <c r="AM172" s="108"/>
      <c r="AN172" s="108"/>
      <c r="AO172" s="108"/>
      <c r="AP172" s="111"/>
      <c r="AQ172" s="107"/>
      <c r="AR172" s="108"/>
      <c r="AS172" s="108"/>
      <c r="AT172" s="112"/>
      <c r="AU172" s="107"/>
      <c r="AV172" s="108"/>
      <c r="AW172" s="108"/>
      <c r="AX172" s="113"/>
      <c r="AY172" s="92">
        <f t="shared" ref="AY172:AZ172" si="1040">RANDBETWEEN(1,10)/10</f>
        <v>0.5</v>
      </c>
      <c r="AZ172" s="92">
        <f t="shared" si="1040"/>
        <v>0.4</v>
      </c>
      <c r="BA172" s="93">
        <v>0.0</v>
      </c>
      <c r="BB172" s="93">
        <v>0.0</v>
      </c>
      <c r="BC172" s="94">
        <f>SUM(BC144,'ГОЧ'!$AY172)</f>
        <v>1202.9</v>
      </c>
      <c r="BD172" s="94">
        <f>SUM(BD144,'ГОЧ'!$AZ172)</f>
        <v>1203.4</v>
      </c>
      <c r="BE172" s="108"/>
      <c r="BF172" s="108"/>
    </row>
    <row r="173" ht="15.75" customHeight="1">
      <c r="A173" s="67">
        <f t="shared" si="1027"/>
        <v>46260</v>
      </c>
      <c r="B173" s="114" t="s">
        <v>12</v>
      </c>
      <c r="C173" s="115">
        <f t="shared" si="1028"/>
        <v>0</v>
      </c>
      <c r="D173" s="115">
        <v>0.0</v>
      </c>
      <c r="E173" s="116">
        <v>0.0</v>
      </c>
      <c r="F173" s="116">
        <v>0.0</v>
      </c>
      <c r="G173" s="116">
        <v>0.0</v>
      </c>
      <c r="H173" s="115">
        <v>0.0</v>
      </c>
      <c r="I173" s="116">
        <v>0.0</v>
      </c>
      <c r="J173" s="115">
        <v>0.0</v>
      </c>
      <c r="K173" s="116">
        <v>0.0</v>
      </c>
      <c r="L173" s="116">
        <v>0.0</v>
      </c>
      <c r="M173" s="115">
        <f t="shared" si="1030"/>
        <v>0</v>
      </c>
      <c r="N173" s="115">
        <v>0.0</v>
      </c>
      <c r="O173" s="116">
        <v>0.0</v>
      </c>
      <c r="P173" s="116">
        <v>0.0</v>
      </c>
      <c r="Q173" s="116">
        <v>0.0</v>
      </c>
      <c r="R173" s="116">
        <v>0.0</v>
      </c>
      <c r="S173" s="116">
        <v>0.0</v>
      </c>
      <c r="T173" s="116">
        <v>0.0</v>
      </c>
      <c r="U173" s="115">
        <v>0.0</v>
      </c>
      <c r="V173" s="115">
        <f t="shared" si="1033"/>
        <v>0</v>
      </c>
      <c r="W173" s="116">
        <v>0.0</v>
      </c>
      <c r="X173" s="116">
        <v>0.0</v>
      </c>
      <c r="Y173" s="116">
        <v>0.0</v>
      </c>
      <c r="Z173" s="116">
        <f t="shared" si="1035"/>
        <v>0</v>
      </c>
      <c r="AA173" s="116">
        <v>0.0</v>
      </c>
      <c r="AB173" s="116">
        <v>0.0</v>
      </c>
      <c r="AC173" s="117">
        <v>0.0</v>
      </c>
      <c r="AD173" s="118">
        <v>0.0</v>
      </c>
      <c r="AE173" s="118">
        <v>0.0</v>
      </c>
      <c r="AF173" s="118">
        <v>0.0</v>
      </c>
      <c r="AG173" s="119">
        <f t="shared" si="1037"/>
        <v>0</v>
      </c>
      <c r="AH173" s="117">
        <v>0.0</v>
      </c>
      <c r="AI173" s="118">
        <v>0.0</v>
      </c>
      <c r="AJ173" s="118">
        <v>0.0</v>
      </c>
      <c r="AK173" s="119">
        <f t="shared" si="1039"/>
        <v>0</v>
      </c>
      <c r="AL173" s="117"/>
      <c r="AM173" s="118"/>
      <c r="AN173" s="118"/>
      <c r="AO173" s="118"/>
      <c r="AP173" s="111"/>
      <c r="AQ173" s="117"/>
      <c r="AR173" s="118"/>
      <c r="AS173" s="118"/>
      <c r="AT173" s="120"/>
      <c r="AU173" s="117"/>
      <c r="AV173" s="118"/>
      <c r="AW173" s="118"/>
      <c r="AX173" s="121"/>
      <c r="AY173" s="122">
        <f t="shared" ref="AY173:BD173" si="1041">SUM(AY171:AY172)</f>
        <v>1.4</v>
      </c>
      <c r="AZ173" s="122">
        <f t="shared" si="1041"/>
        <v>1.4</v>
      </c>
      <c r="BA173" s="118">
        <f t="shared" si="1041"/>
        <v>0</v>
      </c>
      <c r="BB173" s="118">
        <f t="shared" si="1041"/>
        <v>0</v>
      </c>
      <c r="BC173" s="123">
        <f t="shared" si="1041"/>
        <v>2407.4</v>
      </c>
      <c r="BD173" s="123">
        <f t="shared" si="1041"/>
        <v>2408.6</v>
      </c>
      <c r="BE173" s="118"/>
      <c r="BF173" s="118"/>
    </row>
    <row r="174" ht="15.75" customHeight="1">
      <c r="A174" s="67">
        <f t="shared" si="1027"/>
        <v>46260</v>
      </c>
      <c r="B174" s="124" t="s">
        <v>14</v>
      </c>
      <c r="C174" s="96">
        <f t="shared" si="1028"/>
        <v>2</v>
      </c>
      <c r="D174" s="125">
        <f t="shared" ref="D174:L174" si="1042">RANDBETWEEN(0,2)</f>
        <v>0</v>
      </c>
      <c r="E174" s="125">
        <f t="shared" si="1042"/>
        <v>1</v>
      </c>
      <c r="F174" s="125">
        <f t="shared" si="1042"/>
        <v>2</v>
      </c>
      <c r="G174" s="125">
        <f t="shared" si="1042"/>
        <v>2</v>
      </c>
      <c r="H174" s="126">
        <f t="shared" si="1042"/>
        <v>2</v>
      </c>
      <c r="I174" s="127">
        <f t="shared" si="1042"/>
        <v>2</v>
      </c>
      <c r="J174" s="128">
        <f t="shared" si="1042"/>
        <v>2</v>
      </c>
      <c r="K174" s="130">
        <f t="shared" si="1042"/>
        <v>0</v>
      </c>
      <c r="L174" s="130">
        <f t="shared" si="1042"/>
        <v>2</v>
      </c>
      <c r="M174" s="102">
        <f t="shared" si="1030"/>
        <v>43</v>
      </c>
      <c r="N174" s="125">
        <f t="shared" ref="N174:T174" si="1043">RANDBETWEEN(0,10)</f>
        <v>10</v>
      </c>
      <c r="O174" s="125">
        <f t="shared" si="1043"/>
        <v>8</v>
      </c>
      <c r="P174" s="125">
        <f t="shared" si="1043"/>
        <v>8</v>
      </c>
      <c r="Q174" s="125">
        <f t="shared" si="1043"/>
        <v>4</v>
      </c>
      <c r="R174" s="125">
        <f t="shared" si="1043"/>
        <v>6</v>
      </c>
      <c r="S174" s="125">
        <f t="shared" si="1043"/>
        <v>7</v>
      </c>
      <c r="T174" s="125">
        <f t="shared" si="1043"/>
        <v>0</v>
      </c>
      <c r="U174" s="103">
        <f t="shared" ref="U174:U175" si="1050">RANDBETWEEN(10,30)</f>
        <v>29</v>
      </c>
      <c r="V174" s="131">
        <f t="shared" si="1033"/>
        <v>2</v>
      </c>
      <c r="W174" s="125">
        <f t="shared" ref="W174:Y174" si="1044">RANDBETWEEN(0,2)</f>
        <v>0</v>
      </c>
      <c r="X174" s="125">
        <f t="shared" si="1044"/>
        <v>0</v>
      </c>
      <c r="Y174" s="125">
        <f t="shared" si="1044"/>
        <v>2</v>
      </c>
      <c r="Z174" s="132">
        <f t="shared" ref="Z174:Z177" si="1052">SUM(AA174:AB174)</f>
        <v>3</v>
      </c>
      <c r="AA174" s="133">
        <f t="shared" ref="AA174:AF174" si="1045">RANDBETWEEN(0,2)</f>
        <v>2</v>
      </c>
      <c r="AB174" s="133">
        <f t="shared" si="1045"/>
        <v>1</v>
      </c>
      <c r="AC174" s="134">
        <f t="shared" si="1045"/>
        <v>0</v>
      </c>
      <c r="AD174" s="134">
        <f t="shared" si="1045"/>
        <v>2</v>
      </c>
      <c r="AE174" s="134">
        <f t="shared" si="1045"/>
        <v>2</v>
      </c>
      <c r="AF174" s="134">
        <f t="shared" si="1045"/>
        <v>0</v>
      </c>
      <c r="AG174" s="135">
        <f t="shared" si="1037"/>
        <v>4</v>
      </c>
      <c r="AH174" s="136">
        <f t="shared" ref="AH174:AJ174" si="1046">RANDBETWEEN(1,10)</f>
        <v>8</v>
      </c>
      <c r="AI174" s="134">
        <f t="shared" si="1046"/>
        <v>6</v>
      </c>
      <c r="AJ174" s="134">
        <f t="shared" si="1046"/>
        <v>5</v>
      </c>
      <c r="AK174" s="137">
        <f t="shared" si="1039"/>
        <v>19</v>
      </c>
      <c r="AL174" s="134"/>
      <c r="AM174" s="134"/>
      <c r="AN174" s="134"/>
      <c r="AO174" s="134"/>
      <c r="AP174" s="111"/>
      <c r="AQ174" s="136"/>
      <c r="AR174" s="134"/>
      <c r="AS174" s="134"/>
      <c r="AT174" s="120"/>
      <c r="AU174" s="136"/>
      <c r="AV174" s="134"/>
      <c r="AW174" s="134"/>
      <c r="AX174" s="121"/>
      <c r="AY174" s="92">
        <f t="shared" ref="AY174:AZ174" si="1047">RANDBETWEEN(1,10)/10</f>
        <v>0.8</v>
      </c>
      <c r="AZ174" s="92">
        <f t="shared" si="1047"/>
        <v>0.6</v>
      </c>
      <c r="BA174" s="93">
        <v>0.0</v>
      </c>
      <c r="BB174" s="93">
        <v>0.0</v>
      </c>
      <c r="BC174" s="94">
        <f>SUM(BC146,'ГОЧ'!$AY174)</f>
        <v>1202.8</v>
      </c>
      <c r="BD174" s="94">
        <f>SUM(BD146,'ГОЧ'!$AZ174)</f>
        <v>1203.4</v>
      </c>
      <c r="BE174" s="108"/>
      <c r="BF174" s="108"/>
    </row>
    <row r="175" ht="15.75" customHeight="1">
      <c r="A175" s="67">
        <f t="shared" si="1027"/>
        <v>46260</v>
      </c>
      <c r="B175" s="138" t="s">
        <v>16</v>
      </c>
      <c r="C175" s="139">
        <f t="shared" si="1028"/>
        <v>2</v>
      </c>
      <c r="D175" s="97">
        <f t="shared" ref="D175:L175" si="1048">RANDBETWEEN(0,2)</f>
        <v>0</v>
      </c>
      <c r="E175" s="97">
        <f t="shared" si="1048"/>
        <v>2</v>
      </c>
      <c r="F175" s="97">
        <f t="shared" si="1048"/>
        <v>2</v>
      </c>
      <c r="G175" s="97">
        <f t="shared" si="1048"/>
        <v>2</v>
      </c>
      <c r="H175" s="98">
        <f t="shared" si="1048"/>
        <v>0</v>
      </c>
      <c r="I175" s="99">
        <f t="shared" si="1048"/>
        <v>2</v>
      </c>
      <c r="J175" s="100">
        <f t="shared" si="1048"/>
        <v>0</v>
      </c>
      <c r="K175" s="101">
        <f t="shared" si="1048"/>
        <v>0</v>
      </c>
      <c r="L175" s="101">
        <f t="shared" si="1048"/>
        <v>2</v>
      </c>
      <c r="M175" s="140">
        <f t="shared" si="1030"/>
        <v>49</v>
      </c>
      <c r="N175" s="97">
        <f t="shared" ref="N175:T175" si="1049">RANDBETWEEN(0,10)</f>
        <v>8</v>
      </c>
      <c r="O175" s="97">
        <f t="shared" si="1049"/>
        <v>7</v>
      </c>
      <c r="P175" s="97">
        <f t="shared" si="1049"/>
        <v>8</v>
      </c>
      <c r="Q175" s="97">
        <f t="shared" si="1049"/>
        <v>7</v>
      </c>
      <c r="R175" s="97">
        <f t="shared" si="1049"/>
        <v>4</v>
      </c>
      <c r="S175" s="97">
        <f t="shared" si="1049"/>
        <v>8</v>
      </c>
      <c r="T175" s="97">
        <f t="shared" si="1049"/>
        <v>7</v>
      </c>
      <c r="U175" s="103">
        <f t="shared" si="1050"/>
        <v>30</v>
      </c>
      <c r="V175" s="141">
        <f t="shared" si="1033"/>
        <v>1</v>
      </c>
      <c r="W175" s="97">
        <f t="shared" ref="W175:Y175" si="1051">RANDBETWEEN(0,2)</f>
        <v>1</v>
      </c>
      <c r="X175" s="97">
        <f t="shared" si="1051"/>
        <v>0</v>
      </c>
      <c r="Y175" s="97">
        <f t="shared" si="1051"/>
        <v>0</v>
      </c>
      <c r="Z175" s="142">
        <f t="shared" si="1052"/>
        <v>2</v>
      </c>
      <c r="AA175" s="143">
        <f t="shared" ref="AA175:AF175" si="1053">RANDBETWEEN(0,2)</f>
        <v>1</v>
      </c>
      <c r="AB175" s="143">
        <f t="shared" si="1053"/>
        <v>1</v>
      </c>
      <c r="AC175" s="144">
        <f t="shared" si="1053"/>
        <v>0</v>
      </c>
      <c r="AD175" s="145">
        <f t="shared" si="1053"/>
        <v>2</v>
      </c>
      <c r="AE175" s="145">
        <f t="shared" si="1053"/>
        <v>0</v>
      </c>
      <c r="AF175" s="145">
        <f t="shared" si="1053"/>
        <v>2</v>
      </c>
      <c r="AG175" s="146">
        <f t="shared" si="1037"/>
        <v>4</v>
      </c>
      <c r="AH175" s="144">
        <f t="shared" ref="AH175:AJ175" si="1054">RANDBETWEEN(1,10)</f>
        <v>2</v>
      </c>
      <c r="AI175" s="145">
        <f t="shared" si="1054"/>
        <v>7</v>
      </c>
      <c r="AJ175" s="145">
        <f t="shared" si="1054"/>
        <v>9</v>
      </c>
      <c r="AK175" s="147">
        <f t="shared" si="1039"/>
        <v>18</v>
      </c>
      <c r="AL175" s="144"/>
      <c r="AM175" s="145"/>
      <c r="AN175" s="145"/>
      <c r="AO175" s="145"/>
      <c r="AP175" s="148"/>
      <c r="AQ175" s="144"/>
      <c r="AR175" s="145"/>
      <c r="AS175" s="145"/>
      <c r="AT175" s="149"/>
      <c r="AU175" s="144"/>
      <c r="AV175" s="145"/>
      <c r="AW175" s="145"/>
      <c r="AX175" s="150"/>
      <c r="AY175" s="92">
        <f t="shared" ref="AY175:AZ175" si="1055">RANDBETWEEN(1,10)/10</f>
        <v>0.3</v>
      </c>
      <c r="AZ175" s="92">
        <f t="shared" si="1055"/>
        <v>0.4</v>
      </c>
      <c r="BA175" s="93">
        <v>0.0</v>
      </c>
      <c r="BB175" s="93">
        <v>0.0</v>
      </c>
      <c r="BC175" s="94">
        <f>SUM(BC147,'ГОЧ'!$AY175)</f>
        <v>1202.9</v>
      </c>
      <c r="BD175" s="94">
        <f>SUM(BD147,'ГОЧ'!$AZ175)</f>
        <v>1203.3</v>
      </c>
      <c r="BE175" s="108"/>
      <c r="BF175" s="108"/>
    </row>
    <row r="176" ht="15.75" customHeight="1">
      <c r="A176" s="67">
        <f t="shared" si="1027"/>
        <v>46260</v>
      </c>
      <c r="B176" s="114" t="s">
        <v>18</v>
      </c>
      <c r="C176" s="115">
        <f t="shared" si="1028"/>
        <v>4</v>
      </c>
      <c r="D176" s="115">
        <f t="shared" ref="D176:L176" si="1056">SUM(D174:D175)</f>
        <v>0</v>
      </c>
      <c r="E176" s="116">
        <f t="shared" si="1056"/>
        <v>3</v>
      </c>
      <c r="F176" s="116">
        <f t="shared" si="1056"/>
        <v>4</v>
      </c>
      <c r="G176" s="116">
        <f t="shared" si="1056"/>
        <v>4</v>
      </c>
      <c r="H176" s="115">
        <f t="shared" si="1056"/>
        <v>2</v>
      </c>
      <c r="I176" s="116">
        <f t="shared" si="1056"/>
        <v>4</v>
      </c>
      <c r="J176" s="115">
        <f t="shared" si="1056"/>
        <v>2</v>
      </c>
      <c r="K176" s="116">
        <f t="shared" si="1056"/>
        <v>0</v>
      </c>
      <c r="L176" s="116">
        <f t="shared" si="1056"/>
        <v>4</v>
      </c>
      <c r="M176" s="115">
        <f t="shared" si="1030"/>
        <v>82</v>
      </c>
      <c r="N176" s="115">
        <f t="shared" ref="N176:Q176" si="1057">SUM(N174:N175)</f>
        <v>18</v>
      </c>
      <c r="O176" s="116">
        <f t="shared" si="1057"/>
        <v>15</v>
      </c>
      <c r="P176" s="116">
        <f t="shared" si="1057"/>
        <v>16</v>
      </c>
      <c r="Q176" s="116">
        <f t="shared" si="1057"/>
        <v>11</v>
      </c>
      <c r="R176" s="116">
        <v>0.0</v>
      </c>
      <c r="S176" s="116">
        <f t="shared" ref="S176:U176" si="1058">SUM(S174:S175)</f>
        <v>15</v>
      </c>
      <c r="T176" s="116">
        <f t="shared" si="1058"/>
        <v>7</v>
      </c>
      <c r="U176" s="115">
        <f t="shared" si="1058"/>
        <v>59</v>
      </c>
      <c r="V176" s="115">
        <f t="shared" si="1033"/>
        <v>3</v>
      </c>
      <c r="W176" s="116">
        <f t="shared" ref="W176:Y176" si="1059">SUM(W174:W175)</f>
        <v>1</v>
      </c>
      <c r="X176" s="116">
        <f t="shared" si="1059"/>
        <v>0</v>
      </c>
      <c r="Y176" s="116">
        <f t="shared" si="1059"/>
        <v>2</v>
      </c>
      <c r="Z176" s="116">
        <f t="shared" si="1052"/>
        <v>5</v>
      </c>
      <c r="AA176" s="116">
        <f t="shared" ref="AA176:AF176" si="1060">SUM(AA174:AA175)</f>
        <v>3</v>
      </c>
      <c r="AB176" s="116">
        <f t="shared" si="1060"/>
        <v>2</v>
      </c>
      <c r="AC176" s="118">
        <f t="shared" si="1060"/>
        <v>0</v>
      </c>
      <c r="AD176" s="118">
        <f t="shared" si="1060"/>
        <v>4</v>
      </c>
      <c r="AE176" s="118">
        <f t="shared" si="1060"/>
        <v>2</v>
      </c>
      <c r="AF176" s="118">
        <f t="shared" si="1060"/>
        <v>2</v>
      </c>
      <c r="AG176" s="117">
        <f t="shared" si="1037"/>
        <v>8</v>
      </c>
      <c r="AH176" s="117">
        <f t="shared" ref="AH176:AJ176" si="1061">SUM(AH174:AH175)</f>
        <v>10</v>
      </c>
      <c r="AI176" s="118">
        <f t="shared" si="1061"/>
        <v>13</v>
      </c>
      <c r="AJ176" s="118">
        <f t="shared" si="1061"/>
        <v>14</v>
      </c>
      <c r="AK176" s="117">
        <f t="shared" si="1039"/>
        <v>37</v>
      </c>
      <c r="AL176" s="118"/>
      <c r="AM176" s="118"/>
      <c r="AN176" s="118"/>
      <c r="AO176" s="118"/>
      <c r="AP176" s="151"/>
      <c r="AQ176" s="117"/>
      <c r="AR176" s="118"/>
      <c r="AS176" s="118"/>
      <c r="AT176" s="152"/>
      <c r="AU176" s="117"/>
      <c r="AV176" s="118"/>
      <c r="AW176" s="118"/>
      <c r="AX176" s="153"/>
      <c r="AY176" s="122">
        <f t="shared" ref="AY176:BD176" si="1062">SUM(AY174:AY175)</f>
        <v>1.1</v>
      </c>
      <c r="AZ176" s="122">
        <f t="shared" si="1062"/>
        <v>1</v>
      </c>
      <c r="BA176" s="118">
        <f t="shared" si="1062"/>
        <v>0</v>
      </c>
      <c r="BB176" s="118">
        <f t="shared" si="1062"/>
        <v>0</v>
      </c>
      <c r="BC176" s="123">
        <f t="shared" si="1062"/>
        <v>2405.7</v>
      </c>
      <c r="BD176" s="123">
        <f t="shared" si="1062"/>
        <v>2406.7</v>
      </c>
      <c r="BE176" s="154" t="str">
        <f t="shared" ref="BE176:BF176" si="1063">TEXTJOIN(", ",TRUE,BE174:BE175)</f>
        <v/>
      </c>
      <c r="BF176" s="154" t="str">
        <f t="shared" si="1063"/>
        <v/>
      </c>
    </row>
    <row r="177" ht="15.75" customHeight="1">
      <c r="A177" s="67">
        <f t="shared" si="1027"/>
        <v>46260</v>
      </c>
      <c r="B177" s="114" t="s">
        <v>20</v>
      </c>
      <c r="C177" s="115">
        <f t="shared" si="1028"/>
        <v>5</v>
      </c>
      <c r="D177" s="115">
        <v>3.0</v>
      </c>
      <c r="E177" s="116">
        <v>0.0</v>
      </c>
      <c r="F177" s="116">
        <v>2.0</v>
      </c>
      <c r="G177" s="116">
        <v>2.0</v>
      </c>
      <c r="H177" s="115">
        <v>0.0</v>
      </c>
      <c r="I177" s="116">
        <v>0.0</v>
      </c>
      <c r="J177" s="115">
        <v>1.0</v>
      </c>
      <c r="K177" s="116">
        <v>1.0</v>
      </c>
      <c r="L177" s="116">
        <v>0.0</v>
      </c>
      <c r="M177" s="115">
        <f t="shared" si="1030"/>
        <v>38</v>
      </c>
      <c r="N177" s="115">
        <v>0.0</v>
      </c>
      <c r="O177" s="116">
        <v>0.0</v>
      </c>
      <c r="P177" s="116">
        <v>0.0</v>
      </c>
      <c r="Q177" s="116">
        <v>9.0</v>
      </c>
      <c r="R177" s="116">
        <v>0.0</v>
      </c>
      <c r="S177" s="116">
        <v>0.0</v>
      </c>
      <c r="T177" s="116">
        <v>29.0</v>
      </c>
      <c r="U177" s="115">
        <v>7.0</v>
      </c>
      <c r="V177" s="115">
        <f t="shared" ref="V177:V196" si="1067">W177+X177+Y177</f>
        <v>0</v>
      </c>
      <c r="W177" s="116">
        <v>0.0</v>
      </c>
      <c r="X177" s="116">
        <v>0.0</v>
      </c>
      <c r="Y177" s="116">
        <v>0.0</v>
      </c>
      <c r="Z177" s="116">
        <f t="shared" si="1052"/>
        <v>0</v>
      </c>
      <c r="AA177" s="116">
        <v>0.0</v>
      </c>
      <c r="AB177" s="116">
        <v>0.0</v>
      </c>
      <c r="AC177" s="117">
        <v>0.0</v>
      </c>
      <c r="AD177" s="118">
        <v>1.0</v>
      </c>
      <c r="AE177" s="118">
        <v>0.0</v>
      </c>
      <c r="AF177" s="118">
        <v>0.0</v>
      </c>
      <c r="AG177" s="119">
        <f t="shared" si="1037"/>
        <v>1</v>
      </c>
      <c r="AH177" s="117">
        <v>6.0</v>
      </c>
      <c r="AI177" s="118">
        <v>5.0</v>
      </c>
      <c r="AJ177" s="118">
        <v>0.0</v>
      </c>
      <c r="AK177" s="119">
        <f t="shared" si="1039"/>
        <v>11</v>
      </c>
      <c r="AL177" s="117"/>
      <c r="AM177" s="118"/>
      <c r="AN177" s="118"/>
      <c r="AO177" s="118"/>
      <c r="AP177" s="111"/>
      <c r="AQ177" s="117"/>
      <c r="AR177" s="118"/>
      <c r="AS177" s="118"/>
      <c r="AT177" s="120"/>
      <c r="AU177" s="117"/>
      <c r="AV177" s="118"/>
      <c r="AW177" s="118"/>
      <c r="AX177" s="121"/>
      <c r="AY177" s="122">
        <f t="shared" ref="AY177:AZ177" si="1064">RANDBETWEEN(1,10)</f>
        <v>6</v>
      </c>
      <c r="AZ177" s="122">
        <f t="shared" si="1064"/>
        <v>10</v>
      </c>
      <c r="BA177" s="118">
        <v>2.0</v>
      </c>
      <c r="BB177" s="118">
        <v>0.0</v>
      </c>
      <c r="BC177" s="123">
        <v>1.0</v>
      </c>
      <c r="BD177" s="123">
        <v>2.0</v>
      </c>
      <c r="BE177" s="118" t="s">
        <v>157</v>
      </c>
      <c r="BF177" s="118"/>
    </row>
    <row r="178" ht="15.75" customHeight="1">
      <c r="A178" s="67">
        <f t="shared" si="1027"/>
        <v>46260</v>
      </c>
      <c r="B178" s="124" t="s">
        <v>21</v>
      </c>
      <c r="C178" s="155">
        <f t="shared" si="1028"/>
        <v>2</v>
      </c>
      <c r="D178" s="125">
        <f t="shared" ref="D178:L178" si="1065">RANDBETWEEN(0,2)</f>
        <v>0</v>
      </c>
      <c r="E178" s="125">
        <f t="shared" si="1065"/>
        <v>1</v>
      </c>
      <c r="F178" s="125">
        <f t="shared" si="1065"/>
        <v>2</v>
      </c>
      <c r="G178" s="125">
        <f t="shared" si="1065"/>
        <v>0</v>
      </c>
      <c r="H178" s="126">
        <f t="shared" si="1065"/>
        <v>2</v>
      </c>
      <c r="I178" s="127">
        <f t="shared" si="1065"/>
        <v>0</v>
      </c>
      <c r="J178" s="128">
        <f t="shared" si="1065"/>
        <v>0</v>
      </c>
      <c r="K178" s="130">
        <f t="shared" si="1065"/>
        <v>2</v>
      </c>
      <c r="L178" s="130">
        <f t="shared" si="1065"/>
        <v>2</v>
      </c>
      <c r="M178" s="102">
        <f t="shared" si="1030"/>
        <v>31</v>
      </c>
      <c r="N178" s="125">
        <f t="shared" ref="N178:T178" si="1066">RANDBETWEEN(0,10)</f>
        <v>1</v>
      </c>
      <c r="O178" s="125">
        <f t="shared" si="1066"/>
        <v>2</v>
      </c>
      <c r="P178" s="125">
        <f t="shared" si="1066"/>
        <v>4</v>
      </c>
      <c r="Q178" s="125">
        <f t="shared" si="1066"/>
        <v>2</v>
      </c>
      <c r="R178" s="125">
        <f t="shared" si="1066"/>
        <v>8</v>
      </c>
      <c r="S178" s="125">
        <f t="shared" si="1066"/>
        <v>8</v>
      </c>
      <c r="T178" s="125">
        <f t="shared" si="1066"/>
        <v>6</v>
      </c>
      <c r="U178" s="103">
        <f t="shared" ref="U178:U182" si="1074">RANDBETWEEN(10,30)</f>
        <v>15</v>
      </c>
      <c r="V178" s="104">
        <f t="shared" si="1067"/>
        <v>5</v>
      </c>
      <c r="W178" s="125">
        <f t="shared" ref="W178:Y178" si="1068">RANDBETWEEN(0,2)</f>
        <v>2</v>
      </c>
      <c r="X178" s="125">
        <f t="shared" si="1068"/>
        <v>2</v>
      </c>
      <c r="Y178" s="125">
        <f t="shared" si="1068"/>
        <v>1</v>
      </c>
      <c r="Z178" s="105">
        <f t="shared" ref="Z178:Z195" si="1076">AA178+AB178</f>
        <v>4</v>
      </c>
      <c r="AA178" s="133">
        <f t="shared" ref="AA178:AF178" si="1069">RANDBETWEEN(0,2)</f>
        <v>2</v>
      </c>
      <c r="AB178" s="133">
        <f t="shared" si="1069"/>
        <v>2</v>
      </c>
      <c r="AC178" s="136">
        <f t="shared" si="1069"/>
        <v>1</v>
      </c>
      <c r="AD178" s="134">
        <f t="shared" si="1069"/>
        <v>0</v>
      </c>
      <c r="AE178" s="134">
        <f t="shared" si="1069"/>
        <v>0</v>
      </c>
      <c r="AF178" s="134">
        <f t="shared" si="1069"/>
        <v>1</v>
      </c>
      <c r="AG178" s="156">
        <f t="shared" si="1037"/>
        <v>2</v>
      </c>
      <c r="AH178" s="136">
        <f t="shared" ref="AH178:AJ178" si="1070">RANDBETWEEN(1,10)</f>
        <v>7</v>
      </c>
      <c r="AI178" s="134">
        <f t="shared" si="1070"/>
        <v>1</v>
      </c>
      <c r="AJ178" s="134">
        <f t="shared" si="1070"/>
        <v>4</v>
      </c>
      <c r="AK178" s="137">
        <f t="shared" si="1039"/>
        <v>12</v>
      </c>
      <c r="AL178" s="136"/>
      <c r="AM178" s="134"/>
      <c r="AN178" s="134"/>
      <c r="AO178" s="134"/>
      <c r="AP178" s="111"/>
      <c r="AQ178" s="136"/>
      <c r="AR178" s="134"/>
      <c r="AS178" s="134"/>
      <c r="AT178" s="120"/>
      <c r="AU178" s="136"/>
      <c r="AV178" s="134"/>
      <c r="AW178" s="134"/>
      <c r="AX178" s="121"/>
      <c r="AY178" s="92">
        <f t="shared" ref="AY178:AZ178" si="1071">RANDBETWEEN(1,10)/10</f>
        <v>0.1</v>
      </c>
      <c r="AZ178" s="92">
        <f t="shared" si="1071"/>
        <v>0.4</v>
      </c>
      <c r="BA178" s="93">
        <v>1.0</v>
      </c>
      <c r="BB178" s="93">
        <v>0.0</v>
      </c>
      <c r="BC178" s="94">
        <f>SUM(BC150,'ГОЧ'!$AY178)</f>
        <v>1203.9</v>
      </c>
      <c r="BD178" s="94">
        <f>SUM(BD150,'ГОЧ'!$AZ178)</f>
        <v>1202.8</v>
      </c>
      <c r="BE178" s="108" t="s">
        <v>162</v>
      </c>
      <c r="BF178" s="108"/>
    </row>
    <row r="179" ht="15.75" customHeight="1">
      <c r="A179" s="67">
        <f t="shared" si="1027"/>
        <v>46260</v>
      </c>
      <c r="B179" s="138" t="s">
        <v>23</v>
      </c>
      <c r="C179" s="157">
        <f t="shared" si="1028"/>
        <v>2</v>
      </c>
      <c r="D179" s="97">
        <f t="shared" ref="D179:L179" si="1072">RANDBETWEEN(0,2)</f>
        <v>1</v>
      </c>
      <c r="E179" s="97">
        <f t="shared" si="1072"/>
        <v>1</v>
      </c>
      <c r="F179" s="97">
        <f t="shared" si="1072"/>
        <v>1</v>
      </c>
      <c r="G179" s="97">
        <f t="shared" si="1072"/>
        <v>1</v>
      </c>
      <c r="H179" s="98">
        <f t="shared" si="1072"/>
        <v>1</v>
      </c>
      <c r="I179" s="99">
        <f t="shared" si="1072"/>
        <v>1</v>
      </c>
      <c r="J179" s="100">
        <f t="shared" si="1072"/>
        <v>1</v>
      </c>
      <c r="K179" s="101">
        <f t="shared" si="1072"/>
        <v>2</v>
      </c>
      <c r="L179" s="101">
        <f t="shared" si="1072"/>
        <v>0</v>
      </c>
      <c r="M179" s="140">
        <f t="shared" si="1030"/>
        <v>21</v>
      </c>
      <c r="N179" s="97">
        <f t="shared" ref="N179:T179" si="1073">RANDBETWEEN(0,10)</f>
        <v>0</v>
      </c>
      <c r="O179" s="97">
        <f t="shared" si="1073"/>
        <v>1</v>
      </c>
      <c r="P179" s="97">
        <f t="shared" si="1073"/>
        <v>2</v>
      </c>
      <c r="Q179" s="97">
        <f t="shared" si="1073"/>
        <v>1</v>
      </c>
      <c r="R179" s="97">
        <f t="shared" si="1073"/>
        <v>4</v>
      </c>
      <c r="S179" s="97">
        <f t="shared" si="1073"/>
        <v>10</v>
      </c>
      <c r="T179" s="97">
        <f t="shared" si="1073"/>
        <v>3</v>
      </c>
      <c r="U179" s="103">
        <f t="shared" si="1074"/>
        <v>27</v>
      </c>
      <c r="V179" s="158">
        <f t="shared" si="1067"/>
        <v>4</v>
      </c>
      <c r="W179" s="97">
        <f t="shared" ref="W179:Y179" si="1075">RANDBETWEEN(0,2)</f>
        <v>1</v>
      </c>
      <c r="X179" s="97">
        <f t="shared" si="1075"/>
        <v>1</v>
      </c>
      <c r="Y179" s="97">
        <f t="shared" si="1075"/>
        <v>2</v>
      </c>
      <c r="Z179" s="159">
        <f t="shared" si="1076"/>
        <v>1</v>
      </c>
      <c r="AA179" s="143">
        <f t="shared" ref="AA179:AF179" si="1077">RANDBETWEEN(0,2)</f>
        <v>0</v>
      </c>
      <c r="AB179" s="143">
        <f t="shared" si="1077"/>
        <v>1</v>
      </c>
      <c r="AC179" s="144">
        <f t="shared" si="1077"/>
        <v>2</v>
      </c>
      <c r="AD179" s="145">
        <f t="shared" si="1077"/>
        <v>2</v>
      </c>
      <c r="AE179" s="145">
        <f t="shared" si="1077"/>
        <v>2</v>
      </c>
      <c r="AF179" s="145">
        <f t="shared" si="1077"/>
        <v>2</v>
      </c>
      <c r="AG179" s="160">
        <f t="shared" si="1037"/>
        <v>8</v>
      </c>
      <c r="AH179" s="144">
        <f t="shared" ref="AH179:AJ179" si="1078">RANDBETWEEN(1,10)</f>
        <v>3</v>
      </c>
      <c r="AI179" s="145">
        <f t="shared" si="1078"/>
        <v>9</v>
      </c>
      <c r="AJ179" s="145">
        <f t="shared" si="1078"/>
        <v>5</v>
      </c>
      <c r="AK179" s="147">
        <f t="shared" si="1039"/>
        <v>17</v>
      </c>
      <c r="AL179" s="144"/>
      <c r="AM179" s="145"/>
      <c r="AN179" s="145"/>
      <c r="AO179" s="145"/>
      <c r="AP179" s="148"/>
      <c r="AQ179" s="144"/>
      <c r="AR179" s="145"/>
      <c r="AS179" s="145"/>
      <c r="AT179" s="149"/>
      <c r="AU179" s="144"/>
      <c r="AV179" s="145"/>
      <c r="AW179" s="145"/>
      <c r="AX179" s="150"/>
      <c r="AY179" s="92">
        <f t="shared" ref="AY179:AZ179" si="1079">RANDBETWEEN(1,10)/10</f>
        <v>0.9</v>
      </c>
      <c r="AZ179" s="92">
        <f t="shared" si="1079"/>
        <v>0.5</v>
      </c>
      <c r="BA179" s="93">
        <v>1.0</v>
      </c>
      <c r="BB179" s="93">
        <v>2.0</v>
      </c>
      <c r="BC179" s="94">
        <f>SUM(BC151,'ГОЧ'!$AY179)</f>
        <v>1204.4</v>
      </c>
      <c r="BD179" s="94">
        <f>SUM(BD151,'ГОЧ'!$AZ179)</f>
        <v>1203.6</v>
      </c>
      <c r="BE179" s="108" t="s">
        <v>165</v>
      </c>
      <c r="BF179" s="108" t="s">
        <v>166</v>
      </c>
    </row>
    <row r="180" ht="15.75" customHeight="1">
      <c r="A180" s="67">
        <f t="shared" si="1027"/>
        <v>46260</v>
      </c>
      <c r="B180" s="138" t="s">
        <v>25</v>
      </c>
      <c r="C180" s="157">
        <f t="shared" si="1028"/>
        <v>3</v>
      </c>
      <c r="D180" s="97">
        <f t="shared" ref="D180:L180" si="1080">RANDBETWEEN(0,2)</f>
        <v>1</v>
      </c>
      <c r="E180" s="97">
        <f t="shared" si="1080"/>
        <v>2</v>
      </c>
      <c r="F180" s="97">
        <f t="shared" si="1080"/>
        <v>2</v>
      </c>
      <c r="G180" s="97">
        <f t="shared" si="1080"/>
        <v>0</v>
      </c>
      <c r="H180" s="98">
        <f t="shared" si="1080"/>
        <v>2</v>
      </c>
      <c r="I180" s="99">
        <f t="shared" si="1080"/>
        <v>0</v>
      </c>
      <c r="J180" s="100">
        <f t="shared" si="1080"/>
        <v>0</v>
      </c>
      <c r="K180" s="101">
        <f t="shared" si="1080"/>
        <v>1</v>
      </c>
      <c r="L180" s="101">
        <f t="shared" si="1080"/>
        <v>1</v>
      </c>
      <c r="M180" s="140">
        <f t="shared" si="1030"/>
        <v>24</v>
      </c>
      <c r="N180" s="97">
        <f t="shared" ref="N180:T180" si="1081">RANDBETWEEN(0,10)</f>
        <v>1</v>
      </c>
      <c r="O180" s="97">
        <f t="shared" si="1081"/>
        <v>0</v>
      </c>
      <c r="P180" s="97">
        <f t="shared" si="1081"/>
        <v>4</v>
      </c>
      <c r="Q180" s="97">
        <f t="shared" si="1081"/>
        <v>7</v>
      </c>
      <c r="R180" s="97">
        <f t="shared" si="1081"/>
        <v>7</v>
      </c>
      <c r="S180" s="97">
        <f t="shared" si="1081"/>
        <v>5</v>
      </c>
      <c r="T180" s="97">
        <f t="shared" si="1081"/>
        <v>0</v>
      </c>
      <c r="U180" s="103">
        <f t="shared" si="1074"/>
        <v>13</v>
      </c>
      <c r="V180" s="158">
        <f t="shared" si="1067"/>
        <v>4</v>
      </c>
      <c r="W180" s="97">
        <f t="shared" ref="W180:Y180" si="1082">RANDBETWEEN(0,2)</f>
        <v>0</v>
      </c>
      <c r="X180" s="97">
        <f t="shared" si="1082"/>
        <v>2</v>
      </c>
      <c r="Y180" s="97">
        <f t="shared" si="1082"/>
        <v>2</v>
      </c>
      <c r="Z180" s="159">
        <f t="shared" si="1076"/>
        <v>0</v>
      </c>
      <c r="AA180" s="106">
        <f t="shared" ref="AA180:AF180" si="1083">RANDBETWEEN(0,2)</f>
        <v>0</v>
      </c>
      <c r="AB180" s="106">
        <f t="shared" si="1083"/>
        <v>0</v>
      </c>
      <c r="AC180" s="107">
        <f t="shared" si="1083"/>
        <v>2</v>
      </c>
      <c r="AD180" s="108">
        <f t="shared" si="1083"/>
        <v>1</v>
      </c>
      <c r="AE180" s="108">
        <f t="shared" si="1083"/>
        <v>1</v>
      </c>
      <c r="AF180" s="108">
        <f t="shared" si="1083"/>
        <v>0</v>
      </c>
      <c r="AG180" s="160">
        <f t="shared" si="1037"/>
        <v>4</v>
      </c>
      <c r="AH180" s="107">
        <f t="shared" ref="AH180:AJ180" si="1084">RANDBETWEEN(1,10)</f>
        <v>6</v>
      </c>
      <c r="AI180" s="108">
        <f t="shared" si="1084"/>
        <v>1</v>
      </c>
      <c r="AJ180" s="108">
        <f t="shared" si="1084"/>
        <v>4</v>
      </c>
      <c r="AK180" s="147">
        <f t="shared" si="1039"/>
        <v>11</v>
      </c>
      <c r="AL180" s="107"/>
      <c r="AM180" s="108"/>
      <c r="AN180" s="108"/>
      <c r="AO180" s="108"/>
      <c r="AP180" s="148"/>
      <c r="AQ180" s="107"/>
      <c r="AR180" s="108"/>
      <c r="AS180" s="108"/>
      <c r="AT180" s="149"/>
      <c r="AU180" s="107"/>
      <c r="AV180" s="108"/>
      <c r="AW180" s="108"/>
      <c r="AX180" s="150"/>
      <c r="AY180" s="92">
        <f t="shared" ref="AY180:AZ180" si="1085">RANDBETWEEN(1,10)/10</f>
        <v>0.5</v>
      </c>
      <c r="AZ180" s="92">
        <f t="shared" si="1085"/>
        <v>0.4</v>
      </c>
      <c r="BA180" s="93">
        <v>0.0</v>
      </c>
      <c r="BB180" s="93">
        <v>0.0</v>
      </c>
      <c r="BC180" s="94">
        <f>SUM(BC152,'ГОЧ'!$AY180)</f>
        <v>1203.4</v>
      </c>
      <c r="BD180" s="94">
        <f>SUM(BD152,'ГОЧ'!$AZ180)</f>
        <v>1202.4</v>
      </c>
      <c r="BE180" s="108"/>
      <c r="BF180" s="108"/>
    </row>
    <row r="181" ht="15.75" customHeight="1">
      <c r="A181" s="67">
        <f t="shared" si="1027"/>
        <v>46260</v>
      </c>
      <c r="B181" s="138" t="s">
        <v>26</v>
      </c>
      <c r="C181" s="157">
        <f t="shared" si="1028"/>
        <v>1</v>
      </c>
      <c r="D181" s="97">
        <f t="shared" ref="D181:L181" si="1086">RANDBETWEEN(0,2)</f>
        <v>1</v>
      </c>
      <c r="E181" s="97">
        <f t="shared" si="1086"/>
        <v>0</v>
      </c>
      <c r="F181" s="97">
        <f t="shared" si="1086"/>
        <v>0</v>
      </c>
      <c r="G181" s="97">
        <f t="shared" si="1086"/>
        <v>0</v>
      </c>
      <c r="H181" s="98">
        <f t="shared" si="1086"/>
        <v>1</v>
      </c>
      <c r="I181" s="99">
        <f t="shared" si="1086"/>
        <v>2</v>
      </c>
      <c r="J181" s="100">
        <f t="shared" si="1086"/>
        <v>2</v>
      </c>
      <c r="K181" s="101">
        <f t="shared" si="1086"/>
        <v>0</v>
      </c>
      <c r="L181" s="101">
        <f t="shared" si="1086"/>
        <v>2</v>
      </c>
      <c r="M181" s="140">
        <f t="shared" si="1030"/>
        <v>36</v>
      </c>
      <c r="N181" s="97">
        <f t="shared" ref="N181:T181" si="1087">RANDBETWEEN(0,10)</f>
        <v>1</v>
      </c>
      <c r="O181" s="97">
        <f t="shared" si="1087"/>
        <v>6</v>
      </c>
      <c r="P181" s="97">
        <f t="shared" si="1087"/>
        <v>8</v>
      </c>
      <c r="Q181" s="97">
        <f t="shared" si="1087"/>
        <v>7</v>
      </c>
      <c r="R181" s="97">
        <f t="shared" si="1087"/>
        <v>3</v>
      </c>
      <c r="S181" s="97">
        <f t="shared" si="1087"/>
        <v>7</v>
      </c>
      <c r="T181" s="97">
        <f t="shared" si="1087"/>
        <v>4</v>
      </c>
      <c r="U181" s="103">
        <f t="shared" si="1074"/>
        <v>21</v>
      </c>
      <c r="V181" s="158">
        <f t="shared" si="1067"/>
        <v>4</v>
      </c>
      <c r="W181" s="97">
        <f t="shared" ref="W181:Y181" si="1088">RANDBETWEEN(0,2)</f>
        <v>1</v>
      </c>
      <c r="X181" s="97">
        <f t="shared" si="1088"/>
        <v>2</v>
      </c>
      <c r="Y181" s="97">
        <f t="shared" si="1088"/>
        <v>1</v>
      </c>
      <c r="Z181" s="159">
        <f t="shared" si="1076"/>
        <v>2</v>
      </c>
      <c r="AA181" s="143">
        <f t="shared" ref="AA181:AF181" si="1089">RANDBETWEEN(0,2)</f>
        <v>2</v>
      </c>
      <c r="AB181" s="143">
        <f t="shared" si="1089"/>
        <v>0</v>
      </c>
      <c r="AC181" s="144">
        <f t="shared" si="1089"/>
        <v>0</v>
      </c>
      <c r="AD181" s="145">
        <f t="shared" si="1089"/>
        <v>0</v>
      </c>
      <c r="AE181" s="145">
        <f t="shared" si="1089"/>
        <v>2</v>
      </c>
      <c r="AF181" s="145">
        <f t="shared" si="1089"/>
        <v>0</v>
      </c>
      <c r="AG181" s="160">
        <f t="shared" si="1037"/>
        <v>2</v>
      </c>
      <c r="AH181" s="144">
        <f t="shared" ref="AH181:AJ181" si="1090">RANDBETWEEN(1,10)</f>
        <v>9</v>
      </c>
      <c r="AI181" s="145">
        <f t="shared" si="1090"/>
        <v>1</v>
      </c>
      <c r="AJ181" s="145">
        <f t="shared" si="1090"/>
        <v>8</v>
      </c>
      <c r="AK181" s="147">
        <f t="shared" si="1039"/>
        <v>18</v>
      </c>
      <c r="AL181" s="144"/>
      <c r="AM181" s="145"/>
      <c r="AN181" s="145"/>
      <c r="AO181" s="145"/>
      <c r="AP181" s="148"/>
      <c r="AQ181" s="144"/>
      <c r="AR181" s="145"/>
      <c r="AS181" s="145"/>
      <c r="AT181" s="149"/>
      <c r="AU181" s="144"/>
      <c r="AV181" s="145"/>
      <c r="AW181" s="145"/>
      <c r="AX181" s="150"/>
      <c r="AY181" s="92">
        <f t="shared" ref="AY181:AZ181" si="1091">RANDBETWEEN(1,10)/10</f>
        <v>0.3</v>
      </c>
      <c r="AZ181" s="92">
        <f t="shared" si="1091"/>
        <v>1</v>
      </c>
      <c r="BA181" s="93">
        <v>1.0</v>
      </c>
      <c r="BB181" s="93">
        <v>0.0</v>
      </c>
      <c r="BC181" s="94">
        <f>SUM(BC153,'ГОЧ'!$AY181)</f>
        <v>1203.4</v>
      </c>
      <c r="BD181" s="94">
        <f>SUM(BD153,'ГОЧ'!$AZ181)</f>
        <v>1204</v>
      </c>
      <c r="BE181" s="108" t="s">
        <v>167</v>
      </c>
      <c r="BF181" s="108"/>
    </row>
    <row r="182" ht="15.75" customHeight="1">
      <c r="A182" s="67">
        <f t="shared" si="1027"/>
        <v>46260</v>
      </c>
      <c r="B182" s="138" t="s">
        <v>28</v>
      </c>
      <c r="C182" s="157">
        <f t="shared" si="1028"/>
        <v>2</v>
      </c>
      <c r="D182" s="97">
        <f t="shared" ref="D182:L182" si="1092">RANDBETWEEN(0,2)</f>
        <v>2</v>
      </c>
      <c r="E182" s="97">
        <f t="shared" si="1092"/>
        <v>2</v>
      </c>
      <c r="F182" s="97">
        <f t="shared" si="1092"/>
        <v>0</v>
      </c>
      <c r="G182" s="97">
        <f t="shared" si="1092"/>
        <v>1</v>
      </c>
      <c r="H182" s="98">
        <f t="shared" si="1092"/>
        <v>0</v>
      </c>
      <c r="I182" s="99">
        <f t="shared" si="1092"/>
        <v>2</v>
      </c>
      <c r="J182" s="100">
        <f t="shared" si="1092"/>
        <v>1</v>
      </c>
      <c r="K182" s="101">
        <f t="shared" si="1092"/>
        <v>0</v>
      </c>
      <c r="L182" s="101">
        <f t="shared" si="1092"/>
        <v>2</v>
      </c>
      <c r="M182" s="140">
        <f t="shared" si="1030"/>
        <v>27</v>
      </c>
      <c r="N182" s="97">
        <f t="shared" ref="N182:T182" si="1093">RANDBETWEEN(0,10)</f>
        <v>0</v>
      </c>
      <c r="O182" s="97">
        <f t="shared" si="1093"/>
        <v>2</v>
      </c>
      <c r="P182" s="97">
        <f t="shared" si="1093"/>
        <v>4</v>
      </c>
      <c r="Q182" s="97">
        <f t="shared" si="1093"/>
        <v>6</v>
      </c>
      <c r="R182" s="97">
        <f t="shared" si="1093"/>
        <v>1</v>
      </c>
      <c r="S182" s="97">
        <f t="shared" si="1093"/>
        <v>5</v>
      </c>
      <c r="T182" s="97">
        <f t="shared" si="1093"/>
        <v>9</v>
      </c>
      <c r="U182" s="103">
        <f t="shared" si="1074"/>
        <v>10</v>
      </c>
      <c r="V182" s="158">
        <f t="shared" si="1067"/>
        <v>3</v>
      </c>
      <c r="W182" s="97">
        <f t="shared" ref="W182:Y182" si="1094">RANDBETWEEN(0,2)</f>
        <v>1</v>
      </c>
      <c r="X182" s="97">
        <f t="shared" si="1094"/>
        <v>0</v>
      </c>
      <c r="Y182" s="97">
        <f t="shared" si="1094"/>
        <v>2</v>
      </c>
      <c r="Z182" s="159">
        <f t="shared" si="1076"/>
        <v>1</v>
      </c>
      <c r="AA182" s="106">
        <f t="shared" ref="AA182:AF182" si="1095">RANDBETWEEN(0,2)</f>
        <v>1</v>
      </c>
      <c r="AB182" s="106">
        <f t="shared" si="1095"/>
        <v>0</v>
      </c>
      <c r="AC182" s="107">
        <f t="shared" si="1095"/>
        <v>1</v>
      </c>
      <c r="AD182" s="108">
        <f t="shared" si="1095"/>
        <v>1</v>
      </c>
      <c r="AE182" s="108">
        <f t="shared" si="1095"/>
        <v>0</v>
      </c>
      <c r="AF182" s="108">
        <f t="shared" si="1095"/>
        <v>1</v>
      </c>
      <c r="AG182" s="160">
        <f t="shared" si="1037"/>
        <v>3</v>
      </c>
      <c r="AH182" s="107">
        <f t="shared" ref="AH182:AJ182" si="1096">RANDBETWEEN(1,10)</f>
        <v>9</v>
      </c>
      <c r="AI182" s="108">
        <f t="shared" si="1096"/>
        <v>7</v>
      </c>
      <c r="AJ182" s="108">
        <f t="shared" si="1096"/>
        <v>8</v>
      </c>
      <c r="AK182" s="147">
        <f t="shared" si="1039"/>
        <v>24</v>
      </c>
      <c r="AL182" s="107"/>
      <c r="AM182" s="108"/>
      <c r="AN182" s="108"/>
      <c r="AO182" s="108"/>
      <c r="AP182" s="148"/>
      <c r="AQ182" s="107"/>
      <c r="AR182" s="108"/>
      <c r="AS182" s="108"/>
      <c r="AT182" s="149"/>
      <c r="AU182" s="107"/>
      <c r="AV182" s="108"/>
      <c r="AW182" s="108"/>
      <c r="AX182" s="150"/>
      <c r="AY182" s="92">
        <f t="shared" ref="AY182:AZ182" si="1097">RANDBETWEEN(1,10)/10</f>
        <v>1</v>
      </c>
      <c r="AZ182" s="92">
        <f t="shared" si="1097"/>
        <v>1</v>
      </c>
      <c r="BA182" s="93">
        <v>0.0</v>
      </c>
      <c r="BB182" s="93">
        <v>1.0</v>
      </c>
      <c r="BC182" s="94">
        <f>SUM(BC154,'ГОЧ'!$AY182)</f>
        <v>1203.3</v>
      </c>
      <c r="BD182" s="94">
        <f>SUM(BD154,'ГОЧ'!$AZ182)</f>
        <v>1203.3</v>
      </c>
      <c r="BE182" s="108"/>
      <c r="BF182" s="108" t="s">
        <v>168</v>
      </c>
    </row>
    <row r="183" ht="15.75" customHeight="1">
      <c r="A183" s="67">
        <f t="shared" si="1027"/>
        <v>46260</v>
      </c>
      <c r="B183" s="114" t="s">
        <v>29</v>
      </c>
      <c r="C183" s="164">
        <f t="shared" si="1028"/>
        <v>10</v>
      </c>
      <c r="D183" s="165">
        <f t="shared" ref="D183:L183" si="1098">D178+D179+D180+D181+D182</f>
        <v>5</v>
      </c>
      <c r="E183" s="165">
        <f t="shared" si="1098"/>
        <v>6</v>
      </c>
      <c r="F183" s="165">
        <f t="shared" si="1098"/>
        <v>5</v>
      </c>
      <c r="G183" s="165">
        <f t="shared" si="1098"/>
        <v>2</v>
      </c>
      <c r="H183" s="164">
        <f t="shared" si="1098"/>
        <v>6</v>
      </c>
      <c r="I183" s="165">
        <f t="shared" si="1098"/>
        <v>5</v>
      </c>
      <c r="J183" s="164">
        <f t="shared" si="1098"/>
        <v>4</v>
      </c>
      <c r="K183" s="165">
        <f t="shared" si="1098"/>
        <v>5</v>
      </c>
      <c r="L183" s="165">
        <f t="shared" si="1098"/>
        <v>7</v>
      </c>
      <c r="M183" s="164">
        <f t="shared" si="1030"/>
        <v>139</v>
      </c>
      <c r="N183" s="164">
        <f t="shared" ref="N183:U183" si="1099">N178+N179+N180+N181+N182</f>
        <v>3</v>
      </c>
      <c r="O183" s="165">
        <f t="shared" si="1099"/>
        <v>11</v>
      </c>
      <c r="P183" s="165">
        <f t="shared" si="1099"/>
        <v>22</v>
      </c>
      <c r="Q183" s="165">
        <f t="shared" si="1099"/>
        <v>23</v>
      </c>
      <c r="R183" s="165">
        <f t="shared" si="1099"/>
        <v>23</v>
      </c>
      <c r="S183" s="165">
        <f t="shared" si="1099"/>
        <v>35</v>
      </c>
      <c r="T183" s="165">
        <f t="shared" si="1099"/>
        <v>22</v>
      </c>
      <c r="U183" s="164">
        <f t="shared" si="1099"/>
        <v>86</v>
      </c>
      <c r="V183" s="164">
        <f t="shared" si="1067"/>
        <v>20</v>
      </c>
      <c r="W183" s="165">
        <f t="shared" ref="W183:Y183" si="1100">W178+W179+W180+W181+W182</f>
        <v>5</v>
      </c>
      <c r="X183" s="165">
        <f t="shared" si="1100"/>
        <v>7</v>
      </c>
      <c r="Y183" s="165">
        <f t="shared" si="1100"/>
        <v>8</v>
      </c>
      <c r="Z183" s="165">
        <f t="shared" si="1076"/>
        <v>8</v>
      </c>
      <c r="AA183" s="165">
        <f t="shared" ref="AA183:AC183" si="1101">AA178+AA179+AA180+AA181+AA182</f>
        <v>5</v>
      </c>
      <c r="AB183" s="165">
        <f t="shared" si="1101"/>
        <v>3</v>
      </c>
      <c r="AC183" s="166">
        <f t="shared" si="1101"/>
        <v>6</v>
      </c>
      <c r="AD183" s="167">
        <f>AE178+AD179+AD180+AD181+AD182</f>
        <v>4</v>
      </c>
      <c r="AE183" s="167">
        <f t="shared" ref="AE183:AF183" si="1102">AE178+AE179+AE180+AE181+AE182</f>
        <v>5</v>
      </c>
      <c r="AF183" s="167">
        <f t="shared" si="1102"/>
        <v>4</v>
      </c>
      <c r="AG183" s="168">
        <f t="shared" si="1037"/>
        <v>19</v>
      </c>
      <c r="AH183" s="166">
        <f t="shared" ref="AH183:AJ183" si="1103">AH178+AH179+AH180+AH181+AH182</f>
        <v>34</v>
      </c>
      <c r="AI183" s="166">
        <f t="shared" si="1103"/>
        <v>19</v>
      </c>
      <c r="AJ183" s="166">
        <f t="shared" si="1103"/>
        <v>29</v>
      </c>
      <c r="AK183" s="168">
        <f t="shared" si="1039"/>
        <v>82</v>
      </c>
      <c r="AL183" s="166"/>
      <c r="AM183" s="167"/>
      <c r="AN183" s="167"/>
      <c r="AO183" s="167"/>
      <c r="AP183" s="169"/>
      <c r="AQ183" s="166"/>
      <c r="AR183" s="166"/>
      <c r="AS183" s="166"/>
      <c r="AT183" s="170"/>
      <c r="AU183" s="166"/>
      <c r="AV183" s="166"/>
      <c r="AW183" s="166"/>
      <c r="AX183" s="171"/>
      <c r="AY183" s="172">
        <f t="shared" ref="AY183:BD183" si="1104">AY178+AY179+AY180+AY181+AY182</f>
        <v>2.8</v>
      </c>
      <c r="AZ183" s="172">
        <f t="shared" si="1104"/>
        <v>3.3</v>
      </c>
      <c r="BA183" s="166">
        <f t="shared" si="1104"/>
        <v>3</v>
      </c>
      <c r="BB183" s="166">
        <f t="shared" si="1104"/>
        <v>3</v>
      </c>
      <c r="BC183" s="173">
        <f t="shared" si="1104"/>
        <v>6018.4</v>
      </c>
      <c r="BD183" s="173">
        <f t="shared" si="1104"/>
        <v>6016.1</v>
      </c>
      <c r="BE183" s="154" t="str">
        <f t="shared" ref="BE183:BF183" si="1105">TEXTJOIN(", ",TRUE,BE178:BE182)</f>
        <v>Олександівка, Пантелеймонівка, Миколаївка</v>
      </c>
      <c r="BF183" s="154" t="str">
        <f t="shared" si="1105"/>
        <v>Загреблі, Верхні води, Ступочки</v>
      </c>
    </row>
    <row r="184" ht="15.75" customHeight="1">
      <c r="A184" s="67">
        <f t="shared" si="1027"/>
        <v>46260</v>
      </c>
      <c r="B184" s="124" t="s">
        <v>31</v>
      </c>
      <c r="C184" s="174">
        <f t="shared" si="1028"/>
        <v>1</v>
      </c>
      <c r="D184" s="175">
        <f t="shared" ref="D184:L184" si="1106">RANDBETWEEN(0,2)</f>
        <v>0</v>
      </c>
      <c r="E184" s="175">
        <f t="shared" si="1106"/>
        <v>1</v>
      </c>
      <c r="F184" s="175">
        <f t="shared" si="1106"/>
        <v>1</v>
      </c>
      <c r="G184" s="175">
        <f t="shared" si="1106"/>
        <v>0</v>
      </c>
      <c r="H184" s="176">
        <f t="shared" si="1106"/>
        <v>1</v>
      </c>
      <c r="I184" s="177">
        <f t="shared" si="1106"/>
        <v>1</v>
      </c>
      <c r="J184" s="178">
        <f t="shared" si="1106"/>
        <v>1</v>
      </c>
      <c r="K184" s="179">
        <f t="shared" si="1106"/>
        <v>2</v>
      </c>
      <c r="L184" s="179">
        <f t="shared" si="1106"/>
        <v>2</v>
      </c>
      <c r="M184" s="180">
        <f t="shared" si="1030"/>
        <v>21</v>
      </c>
      <c r="N184" s="175">
        <f t="shared" ref="N184:T184" si="1107">RANDBETWEEN(0,10)</f>
        <v>1</v>
      </c>
      <c r="O184" s="175">
        <f t="shared" si="1107"/>
        <v>3</v>
      </c>
      <c r="P184" s="175">
        <f t="shared" si="1107"/>
        <v>1</v>
      </c>
      <c r="Q184" s="175">
        <f t="shared" si="1107"/>
        <v>8</v>
      </c>
      <c r="R184" s="175">
        <f t="shared" si="1107"/>
        <v>4</v>
      </c>
      <c r="S184" s="175">
        <f t="shared" si="1107"/>
        <v>2</v>
      </c>
      <c r="T184" s="175">
        <f t="shared" si="1107"/>
        <v>2</v>
      </c>
      <c r="U184" s="181">
        <f t="shared" ref="U184:U189" si="1114">RANDBETWEEN(10,30)</f>
        <v>27</v>
      </c>
      <c r="V184" s="182">
        <f t="shared" si="1067"/>
        <v>4</v>
      </c>
      <c r="W184" s="175">
        <f t="shared" ref="W184:Y184" si="1108">RANDBETWEEN(0,2)</f>
        <v>1</v>
      </c>
      <c r="X184" s="175">
        <f t="shared" si="1108"/>
        <v>1</v>
      </c>
      <c r="Y184" s="175">
        <f t="shared" si="1108"/>
        <v>2</v>
      </c>
      <c r="Z184" s="183">
        <f t="shared" si="1076"/>
        <v>3</v>
      </c>
      <c r="AA184" s="184">
        <f t="shared" ref="AA184:AF184" si="1109">RANDBETWEEN(0,2)</f>
        <v>2</v>
      </c>
      <c r="AB184" s="184">
        <f t="shared" si="1109"/>
        <v>1</v>
      </c>
      <c r="AC184" s="185">
        <f t="shared" si="1109"/>
        <v>2</v>
      </c>
      <c r="AD184" s="186">
        <f t="shared" si="1109"/>
        <v>2</v>
      </c>
      <c r="AE184" s="186">
        <f t="shared" si="1109"/>
        <v>0</v>
      </c>
      <c r="AF184" s="186">
        <f t="shared" si="1109"/>
        <v>1</v>
      </c>
      <c r="AG184" s="187">
        <f t="shared" si="1037"/>
        <v>5</v>
      </c>
      <c r="AH184" s="185">
        <f t="shared" ref="AH184:AJ184" si="1110">RANDBETWEEN(1,10)</f>
        <v>4</v>
      </c>
      <c r="AI184" s="186">
        <f t="shared" si="1110"/>
        <v>8</v>
      </c>
      <c r="AJ184" s="186">
        <f t="shared" si="1110"/>
        <v>5</v>
      </c>
      <c r="AK184" s="188">
        <f t="shared" si="1039"/>
        <v>17</v>
      </c>
      <c r="AL184" s="185"/>
      <c r="AM184" s="186"/>
      <c r="AN184" s="186"/>
      <c r="AO184" s="186"/>
      <c r="AP184" s="189"/>
      <c r="AQ184" s="185"/>
      <c r="AR184" s="186"/>
      <c r="AS184" s="186"/>
      <c r="AT184" s="190"/>
      <c r="AU184" s="185"/>
      <c r="AV184" s="186"/>
      <c r="AW184" s="186"/>
      <c r="AX184" s="191"/>
      <c r="AY184" s="92">
        <f t="shared" ref="AY184:AZ184" si="1111">RANDBETWEEN(1,10)/10</f>
        <v>1</v>
      </c>
      <c r="AZ184" s="92">
        <f t="shared" si="1111"/>
        <v>0.8</v>
      </c>
      <c r="BA184" s="93">
        <v>0.0</v>
      </c>
      <c r="BB184" s="93">
        <v>0.0</v>
      </c>
      <c r="BC184" s="94">
        <f>SUM(BC156,'ГОЧ'!$AY184)</f>
        <v>1203.1</v>
      </c>
      <c r="BD184" s="94">
        <f>SUM(BD156,'ГОЧ'!$AZ184)</f>
        <v>1204.3</v>
      </c>
      <c r="BE184" s="186"/>
      <c r="BF184" s="186"/>
    </row>
    <row r="185" ht="15.75" customHeight="1">
      <c r="A185" s="67">
        <f t="shared" si="1027"/>
        <v>46260</v>
      </c>
      <c r="B185" s="138" t="s">
        <v>33</v>
      </c>
      <c r="C185" s="157">
        <f t="shared" si="1028"/>
        <v>0</v>
      </c>
      <c r="D185" s="97">
        <f t="shared" ref="D185:L185" si="1112">RANDBETWEEN(0,2)</f>
        <v>0</v>
      </c>
      <c r="E185" s="97">
        <f t="shared" si="1112"/>
        <v>1</v>
      </c>
      <c r="F185" s="97">
        <f t="shared" si="1112"/>
        <v>0</v>
      </c>
      <c r="G185" s="97">
        <f t="shared" si="1112"/>
        <v>1</v>
      </c>
      <c r="H185" s="98">
        <f t="shared" si="1112"/>
        <v>2</v>
      </c>
      <c r="I185" s="99">
        <f t="shared" si="1112"/>
        <v>0</v>
      </c>
      <c r="J185" s="100">
        <f t="shared" si="1112"/>
        <v>0</v>
      </c>
      <c r="K185" s="101">
        <f t="shared" si="1112"/>
        <v>2</v>
      </c>
      <c r="L185" s="101">
        <f t="shared" si="1112"/>
        <v>2</v>
      </c>
      <c r="M185" s="140">
        <f t="shared" si="1030"/>
        <v>39</v>
      </c>
      <c r="N185" s="97">
        <f t="shared" ref="N185:T185" si="1113">RANDBETWEEN(0,10)</f>
        <v>10</v>
      </c>
      <c r="O185" s="97">
        <f t="shared" si="1113"/>
        <v>3</v>
      </c>
      <c r="P185" s="97">
        <f t="shared" si="1113"/>
        <v>10</v>
      </c>
      <c r="Q185" s="97">
        <f t="shared" si="1113"/>
        <v>3</v>
      </c>
      <c r="R185" s="97">
        <f t="shared" si="1113"/>
        <v>1</v>
      </c>
      <c r="S185" s="97">
        <f t="shared" si="1113"/>
        <v>7</v>
      </c>
      <c r="T185" s="97">
        <f t="shared" si="1113"/>
        <v>5</v>
      </c>
      <c r="U185" s="103">
        <f t="shared" si="1114"/>
        <v>22</v>
      </c>
      <c r="V185" s="158">
        <f t="shared" si="1067"/>
        <v>4</v>
      </c>
      <c r="W185" s="97">
        <f t="shared" ref="W185:Y185" si="1115">RANDBETWEEN(0,2)</f>
        <v>0</v>
      </c>
      <c r="X185" s="97">
        <f t="shared" si="1115"/>
        <v>2</v>
      </c>
      <c r="Y185" s="97">
        <f t="shared" si="1115"/>
        <v>2</v>
      </c>
      <c r="Z185" s="105">
        <f t="shared" si="1076"/>
        <v>4</v>
      </c>
      <c r="AA185" s="143">
        <f t="shared" ref="AA185:AF185" si="1116">RANDBETWEEN(0,2)</f>
        <v>2</v>
      </c>
      <c r="AB185" s="143">
        <f t="shared" si="1116"/>
        <v>2</v>
      </c>
      <c r="AC185" s="144">
        <f t="shared" si="1116"/>
        <v>2</v>
      </c>
      <c r="AD185" s="145">
        <f t="shared" si="1116"/>
        <v>1</v>
      </c>
      <c r="AE185" s="145">
        <f t="shared" si="1116"/>
        <v>1</v>
      </c>
      <c r="AF185" s="145">
        <f t="shared" si="1116"/>
        <v>1</v>
      </c>
      <c r="AG185" s="86">
        <f t="shared" si="1037"/>
        <v>5</v>
      </c>
      <c r="AH185" s="144">
        <f t="shared" ref="AH185:AJ185" si="1117">RANDBETWEEN(1,10)</f>
        <v>8</v>
      </c>
      <c r="AI185" s="145">
        <f t="shared" si="1117"/>
        <v>6</v>
      </c>
      <c r="AJ185" s="145">
        <f t="shared" si="1117"/>
        <v>4</v>
      </c>
      <c r="AK185" s="192">
        <f t="shared" si="1039"/>
        <v>18</v>
      </c>
      <c r="AL185" s="144"/>
      <c r="AM185" s="145"/>
      <c r="AN185" s="145"/>
      <c r="AO185" s="145"/>
      <c r="AP185" s="89"/>
      <c r="AQ185" s="144"/>
      <c r="AR185" s="145"/>
      <c r="AS185" s="145"/>
      <c r="AT185" s="193"/>
      <c r="AU185" s="144"/>
      <c r="AV185" s="145"/>
      <c r="AW185" s="145"/>
      <c r="AX185" s="194"/>
      <c r="AY185" s="92">
        <f t="shared" ref="AY185:AZ185" si="1118">RANDBETWEEN(1,10)/10</f>
        <v>0.6</v>
      </c>
      <c r="AZ185" s="92">
        <f t="shared" si="1118"/>
        <v>0.1</v>
      </c>
      <c r="BA185" s="93">
        <v>0.0</v>
      </c>
      <c r="BB185" s="93">
        <v>0.0</v>
      </c>
      <c r="BC185" s="94">
        <f>SUM(BC157,'ГОЧ'!$AY185)</f>
        <v>1204</v>
      </c>
      <c r="BD185" s="94">
        <f>SUM(BD157,'ГОЧ'!$AZ185)</f>
        <v>1203.3</v>
      </c>
      <c r="BE185" s="108"/>
      <c r="BF185" s="108"/>
    </row>
    <row r="186" ht="15.75" customHeight="1">
      <c r="A186" s="67">
        <f t="shared" si="1027"/>
        <v>46260</v>
      </c>
      <c r="B186" s="138" t="s">
        <v>35</v>
      </c>
      <c r="C186" s="157">
        <f t="shared" si="1028"/>
        <v>3</v>
      </c>
      <c r="D186" s="97">
        <f t="shared" ref="D186:L186" si="1119">RANDBETWEEN(0,2)</f>
        <v>1</v>
      </c>
      <c r="E186" s="97">
        <f t="shared" si="1119"/>
        <v>0</v>
      </c>
      <c r="F186" s="97">
        <f t="shared" si="1119"/>
        <v>2</v>
      </c>
      <c r="G186" s="97">
        <f t="shared" si="1119"/>
        <v>2</v>
      </c>
      <c r="H186" s="98">
        <f t="shared" si="1119"/>
        <v>2</v>
      </c>
      <c r="I186" s="99">
        <f t="shared" si="1119"/>
        <v>0</v>
      </c>
      <c r="J186" s="100">
        <f t="shared" si="1119"/>
        <v>1</v>
      </c>
      <c r="K186" s="101">
        <f t="shared" si="1119"/>
        <v>0</v>
      </c>
      <c r="L186" s="101">
        <f t="shared" si="1119"/>
        <v>1</v>
      </c>
      <c r="M186" s="140">
        <f t="shared" si="1030"/>
        <v>37</v>
      </c>
      <c r="N186" s="97">
        <f t="shared" ref="N186:T186" si="1120">RANDBETWEEN(0,10)</f>
        <v>0</v>
      </c>
      <c r="O186" s="97">
        <f t="shared" si="1120"/>
        <v>8</v>
      </c>
      <c r="P186" s="97">
        <f t="shared" si="1120"/>
        <v>5</v>
      </c>
      <c r="Q186" s="97">
        <f t="shared" si="1120"/>
        <v>6</v>
      </c>
      <c r="R186" s="97">
        <f t="shared" si="1120"/>
        <v>6</v>
      </c>
      <c r="S186" s="97">
        <f t="shared" si="1120"/>
        <v>2</v>
      </c>
      <c r="T186" s="97">
        <f t="shared" si="1120"/>
        <v>10</v>
      </c>
      <c r="U186" s="103">
        <f t="shared" si="1114"/>
        <v>29</v>
      </c>
      <c r="V186" s="158">
        <f t="shared" si="1067"/>
        <v>4</v>
      </c>
      <c r="W186" s="97">
        <f t="shared" ref="W186:Y186" si="1121">RANDBETWEEN(0,2)</f>
        <v>2</v>
      </c>
      <c r="X186" s="97">
        <f t="shared" si="1121"/>
        <v>0</v>
      </c>
      <c r="Y186" s="97">
        <f t="shared" si="1121"/>
        <v>2</v>
      </c>
      <c r="Z186" s="105">
        <f t="shared" si="1076"/>
        <v>3</v>
      </c>
      <c r="AA186" s="106">
        <f t="shared" ref="AA186:AF186" si="1122">RANDBETWEEN(0,2)</f>
        <v>1</v>
      </c>
      <c r="AB186" s="106">
        <f t="shared" si="1122"/>
        <v>2</v>
      </c>
      <c r="AC186" s="107">
        <f t="shared" si="1122"/>
        <v>1</v>
      </c>
      <c r="AD186" s="108">
        <f t="shared" si="1122"/>
        <v>2</v>
      </c>
      <c r="AE186" s="108">
        <f t="shared" si="1122"/>
        <v>2</v>
      </c>
      <c r="AF186" s="108">
        <f t="shared" si="1122"/>
        <v>1</v>
      </c>
      <c r="AG186" s="86">
        <f t="shared" si="1037"/>
        <v>6</v>
      </c>
      <c r="AH186" s="107">
        <f t="shared" ref="AH186:AJ186" si="1123">RANDBETWEEN(1,10)</f>
        <v>5</v>
      </c>
      <c r="AI186" s="108">
        <f t="shared" si="1123"/>
        <v>5</v>
      </c>
      <c r="AJ186" s="108">
        <f t="shared" si="1123"/>
        <v>4</v>
      </c>
      <c r="AK186" s="192">
        <f t="shared" si="1039"/>
        <v>14</v>
      </c>
      <c r="AL186" s="107"/>
      <c r="AM186" s="108"/>
      <c r="AN186" s="108"/>
      <c r="AO186" s="108"/>
      <c r="AP186" s="89"/>
      <c r="AQ186" s="107"/>
      <c r="AR186" s="108"/>
      <c r="AS186" s="108"/>
      <c r="AT186" s="193"/>
      <c r="AU186" s="107"/>
      <c r="AV186" s="108"/>
      <c r="AW186" s="108"/>
      <c r="AX186" s="194"/>
      <c r="AY186" s="92">
        <f t="shared" ref="AY186:AZ186" si="1124">RANDBETWEEN(1,10)/10</f>
        <v>0.2</v>
      </c>
      <c r="AZ186" s="92">
        <f t="shared" si="1124"/>
        <v>0.4</v>
      </c>
      <c r="BA186" s="93">
        <v>0.0</v>
      </c>
      <c r="BB186" s="93">
        <v>0.0</v>
      </c>
      <c r="BC186" s="94">
        <f>SUM(BC158,'ГОЧ'!$AY186)</f>
        <v>1203.6</v>
      </c>
      <c r="BD186" s="94">
        <f>SUM(BD158,'ГОЧ'!$AZ186)</f>
        <v>1203.5</v>
      </c>
      <c r="BE186" s="108"/>
      <c r="BF186" s="108"/>
    </row>
    <row r="187" ht="15.75" customHeight="1">
      <c r="A187" s="67">
        <f t="shared" si="1027"/>
        <v>46260</v>
      </c>
      <c r="B187" s="138" t="s">
        <v>36</v>
      </c>
      <c r="C187" s="157">
        <f t="shared" si="1028"/>
        <v>0</v>
      </c>
      <c r="D187" s="97">
        <f t="shared" ref="D187:L187" si="1125">RANDBETWEEN(0,2)</f>
        <v>0</v>
      </c>
      <c r="E187" s="97">
        <f t="shared" si="1125"/>
        <v>2</v>
      </c>
      <c r="F187" s="97">
        <f t="shared" si="1125"/>
        <v>0</v>
      </c>
      <c r="G187" s="97">
        <f t="shared" si="1125"/>
        <v>0</v>
      </c>
      <c r="H187" s="98">
        <f t="shared" si="1125"/>
        <v>1</v>
      </c>
      <c r="I187" s="99">
        <f t="shared" si="1125"/>
        <v>0</v>
      </c>
      <c r="J187" s="100">
        <f t="shared" si="1125"/>
        <v>2</v>
      </c>
      <c r="K187" s="101">
        <f t="shared" si="1125"/>
        <v>0</v>
      </c>
      <c r="L187" s="101">
        <f t="shared" si="1125"/>
        <v>2</v>
      </c>
      <c r="M187" s="140">
        <f t="shared" si="1030"/>
        <v>49</v>
      </c>
      <c r="N187" s="97">
        <f t="shared" ref="N187:T187" si="1126">RANDBETWEEN(0,10)</f>
        <v>7</v>
      </c>
      <c r="O187" s="97">
        <f t="shared" si="1126"/>
        <v>9</v>
      </c>
      <c r="P187" s="97">
        <f t="shared" si="1126"/>
        <v>4</v>
      </c>
      <c r="Q187" s="97">
        <f t="shared" si="1126"/>
        <v>5</v>
      </c>
      <c r="R187" s="97">
        <f t="shared" si="1126"/>
        <v>7</v>
      </c>
      <c r="S187" s="97">
        <f t="shared" si="1126"/>
        <v>7</v>
      </c>
      <c r="T187" s="97">
        <f t="shared" si="1126"/>
        <v>10</v>
      </c>
      <c r="U187" s="103">
        <f t="shared" si="1114"/>
        <v>11</v>
      </c>
      <c r="V187" s="158">
        <f t="shared" si="1067"/>
        <v>4</v>
      </c>
      <c r="W187" s="97">
        <f t="shared" ref="W187:Y187" si="1127">RANDBETWEEN(0,2)</f>
        <v>2</v>
      </c>
      <c r="X187" s="97">
        <f t="shared" si="1127"/>
        <v>2</v>
      </c>
      <c r="Y187" s="97">
        <f t="shared" si="1127"/>
        <v>0</v>
      </c>
      <c r="Z187" s="105">
        <f t="shared" si="1076"/>
        <v>3</v>
      </c>
      <c r="AA187" s="143">
        <f t="shared" ref="AA187:AF187" si="1128">RANDBETWEEN(0,2)</f>
        <v>1</v>
      </c>
      <c r="AB187" s="143">
        <f t="shared" si="1128"/>
        <v>2</v>
      </c>
      <c r="AC187" s="144">
        <f t="shared" si="1128"/>
        <v>2</v>
      </c>
      <c r="AD187" s="145">
        <f t="shared" si="1128"/>
        <v>2</v>
      </c>
      <c r="AE187" s="145">
        <f t="shared" si="1128"/>
        <v>1</v>
      </c>
      <c r="AF187" s="145">
        <f t="shared" si="1128"/>
        <v>0</v>
      </c>
      <c r="AG187" s="86">
        <f t="shared" si="1037"/>
        <v>5</v>
      </c>
      <c r="AH187" s="144">
        <f t="shared" ref="AH187:AJ187" si="1129">RANDBETWEEN(1,10)</f>
        <v>8</v>
      </c>
      <c r="AI187" s="145">
        <f t="shared" si="1129"/>
        <v>3</v>
      </c>
      <c r="AJ187" s="145">
        <f t="shared" si="1129"/>
        <v>5</v>
      </c>
      <c r="AK187" s="192">
        <f t="shared" si="1039"/>
        <v>16</v>
      </c>
      <c r="AL187" s="144"/>
      <c r="AM187" s="145"/>
      <c r="AN187" s="145"/>
      <c r="AO187" s="145"/>
      <c r="AP187" s="89"/>
      <c r="AQ187" s="144"/>
      <c r="AR187" s="145"/>
      <c r="AS187" s="145"/>
      <c r="AT187" s="193"/>
      <c r="AU187" s="144"/>
      <c r="AV187" s="145"/>
      <c r="AW187" s="145"/>
      <c r="AX187" s="194"/>
      <c r="AY187" s="92">
        <f t="shared" ref="AY187:AZ187" si="1130">RANDBETWEEN(1,10)/10</f>
        <v>0.2</v>
      </c>
      <c r="AZ187" s="92">
        <f t="shared" si="1130"/>
        <v>1</v>
      </c>
      <c r="BA187" s="93">
        <v>0.0</v>
      </c>
      <c r="BB187" s="93">
        <v>0.0</v>
      </c>
      <c r="BC187" s="94">
        <f>SUM(BC159,'ГОЧ'!$AY187)</f>
        <v>1203.7</v>
      </c>
      <c r="BD187" s="94">
        <f>SUM(BD159,'ГОЧ'!$AZ187)</f>
        <v>1203.6</v>
      </c>
      <c r="BE187" s="108"/>
      <c r="BF187" s="108"/>
    </row>
    <row r="188" ht="15.75" customHeight="1">
      <c r="A188" s="67">
        <f t="shared" si="1027"/>
        <v>46260</v>
      </c>
      <c r="B188" s="195" t="s">
        <v>38</v>
      </c>
      <c r="C188" s="157">
        <f t="shared" si="1028"/>
        <v>3</v>
      </c>
      <c r="D188" s="97">
        <f t="shared" ref="D188:L188" si="1131">RANDBETWEEN(0,2)</f>
        <v>1</v>
      </c>
      <c r="E188" s="97">
        <f t="shared" si="1131"/>
        <v>1</v>
      </c>
      <c r="F188" s="97">
        <f t="shared" si="1131"/>
        <v>2</v>
      </c>
      <c r="G188" s="97">
        <f t="shared" si="1131"/>
        <v>1</v>
      </c>
      <c r="H188" s="98">
        <f t="shared" si="1131"/>
        <v>0</v>
      </c>
      <c r="I188" s="99">
        <f t="shared" si="1131"/>
        <v>2</v>
      </c>
      <c r="J188" s="100">
        <f t="shared" si="1131"/>
        <v>2</v>
      </c>
      <c r="K188" s="101">
        <f t="shared" si="1131"/>
        <v>0</v>
      </c>
      <c r="L188" s="101">
        <f t="shared" si="1131"/>
        <v>0</v>
      </c>
      <c r="M188" s="140">
        <f t="shared" si="1030"/>
        <v>27</v>
      </c>
      <c r="N188" s="97">
        <f t="shared" ref="N188:T188" si="1132">RANDBETWEEN(0,10)</f>
        <v>7</v>
      </c>
      <c r="O188" s="97">
        <f t="shared" si="1132"/>
        <v>4</v>
      </c>
      <c r="P188" s="97">
        <f t="shared" si="1132"/>
        <v>2</v>
      </c>
      <c r="Q188" s="97">
        <f t="shared" si="1132"/>
        <v>4</v>
      </c>
      <c r="R188" s="97">
        <f t="shared" si="1132"/>
        <v>0</v>
      </c>
      <c r="S188" s="97">
        <f t="shared" si="1132"/>
        <v>9</v>
      </c>
      <c r="T188" s="97">
        <f t="shared" si="1132"/>
        <v>1</v>
      </c>
      <c r="U188" s="103">
        <f t="shared" si="1114"/>
        <v>30</v>
      </c>
      <c r="V188" s="158">
        <f t="shared" si="1067"/>
        <v>1</v>
      </c>
      <c r="W188" s="97">
        <f t="shared" ref="W188:Y188" si="1133">RANDBETWEEN(0,2)</f>
        <v>0</v>
      </c>
      <c r="X188" s="97">
        <f t="shared" si="1133"/>
        <v>1</v>
      </c>
      <c r="Y188" s="97">
        <f t="shared" si="1133"/>
        <v>0</v>
      </c>
      <c r="Z188" s="105">
        <f t="shared" si="1076"/>
        <v>2</v>
      </c>
      <c r="AA188" s="106">
        <f t="shared" ref="AA188:AF188" si="1134">RANDBETWEEN(0,2)</f>
        <v>0</v>
      </c>
      <c r="AB188" s="106">
        <f t="shared" si="1134"/>
        <v>2</v>
      </c>
      <c r="AC188" s="107">
        <f t="shared" si="1134"/>
        <v>1</v>
      </c>
      <c r="AD188" s="108">
        <f t="shared" si="1134"/>
        <v>1</v>
      </c>
      <c r="AE188" s="108">
        <f t="shared" si="1134"/>
        <v>0</v>
      </c>
      <c r="AF188" s="108">
        <f t="shared" si="1134"/>
        <v>1</v>
      </c>
      <c r="AG188" s="86">
        <f t="shared" si="1037"/>
        <v>3</v>
      </c>
      <c r="AH188" s="107">
        <f t="shared" ref="AH188:AJ188" si="1135">RANDBETWEEN(1,10)</f>
        <v>2</v>
      </c>
      <c r="AI188" s="108">
        <f t="shared" si="1135"/>
        <v>5</v>
      </c>
      <c r="AJ188" s="108">
        <f t="shared" si="1135"/>
        <v>4</v>
      </c>
      <c r="AK188" s="192">
        <f t="shared" si="1039"/>
        <v>11</v>
      </c>
      <c r="AL188" s="107"/>
      <c r="AM188" s="108"/>
      <c r="AN188" s="108"/>
      <c r="AO188" s="108"/>
      <c r="AP188" s="89"/>
      <c r="AQ188" s="107"/>
      <c r="AR188" s="108"/>
      <c r="AS188" s="108"/>
      <c r="AT188" s="193"/>
      <c r="AU188" s="107"/>
      <c r="AV188" s="108"/>
      <c r="AW188" s="108"/>
      <c r="AX188" s="194"/>
      <c r="AY188" s="92">
        <f t="shared" ref="AY188:AZ188" si="1136">RANDBETWEEN(1,10)/10</f>
        <v>0.6</v>
      </c>
      <c r="AZ188" s="92">
        <f t="shared" si="1136"/>
        <v>0.5</v>
      </c>
      <c r="BA188" s="93">
        <v>0.0</v>
      </c>
      <c r="BB188" s="93">
        <v>0.0</v>
      </c>
      <c r="BC188" s="94">
        <f>SUM(BC160,'ГОЧ'!$AY188)</f>
        <v>1202.5</v>
      </c>
      <c r="BD188" s="94">
        <f>SUM(BD160,'ГОЧ'!$AZ188)</f>
        <v>1202.5</v>
      </c>
      <c r="BE188" s="108"/>
      <c r="BF188" s="108"/>
    </row>
    <row r="189" ht="15.75" customHeight="1">
      <c r="A189" s="67">
        <f t="shared" si="1027"/>
        <v>46260</v>
      </c>
      <c r="B189" s="138" t="s">
        <v>41</v>
      </c>
      <c r="C189" s="157">
        <f t="shared" si="1028"/>
        <v>3</v>
      </c>
      <c r="D189" s="97">
        <f t="shared" ref="D189:L189" si="1137">RANDBETWEEN(0,2)</f>
        <v>1</v>
      </c>
      <c r="E189" s="97">
        <f t="shared" si="1137"/>
        <v>1</v>
      </c>
      <c r="F189" s="97">
        <f t="shared" si="1137"/>
        <v>2</v>
      </c>
      <c r="G189" s="97">
        <f t="shared" si="1137"/>
        <v>2</v>
      </c>
      <c r="H189" s="98">
        <f t="shared" si="1137"/>
        <v>0</v>
      </c>
      <c r="I189" s="99">
        <f t="shared" si="1137"/>
        <v>2</v>
      </c>
      <c r="J189" s="100">
        <f t="shared" si="1137"/>
        <v>1</v>
      </c>
      <c r="K189" s="101">
        <f t="shared" si="1137"/>
        <v>0</v>
      </c>
      <c r="L189" s="101">
        <f t="shared" si="1137"/>
        <v>2</v>
      </c>
      <c r="M189" s="140">
        <f t="shared" si="1030"/>
        <v>50</v>
      </c>
      <c r="N189" s="97">
        <f t="shared" ref="N189:T189" si="1138">RANDBETWEEN(0,10)</f>
        <v>8</v>
      </c>
      <c r="O189" s="97">
        <f t="shared" si="1138"/>
        <v>9</v>
      </c>
      <c r="P189" s="97">
        <f t="shared" si="1138"/>
        <v>10</v>
      </c>
      <c r="Q189" s="97">
        <f t="shared" si="1138"/>
        <v>7</v>
      </c>
      <c r="R189" s="97">
        <f t="shared" si="1138"/>
        <v>4</v>
      </c>
      <c r="S189" s="97">
        <f t="shared" si="1138"/>
        <v>10</v>
      </c>
      <c r="T189" s="97">
        <f t="shared" si="1138"/>
        <v>2</v>
      </c>
      <c r="U189" s="103">
        <f t="shared" si="1114"/>
        <v>15</v>
      </c>
      <c r="V189" s="158">
        <f t="shared" si="1067"/>
        <v>4</v>
      </c>
      <c r="W189" s="97">
        <f t="shared" ref="W189:Y189" si="1139">RANDBETWEEN(0,2)</f>
        <v>2</v>
      </c>
      <c r="X189" s="97">
        <f t="shared" si="1139"/>
        <v>0</v>
      </c>
      <c r="Y189" s="97">
        <f t="shared" si="1139"/>
        <v>2</v>
      </c>
      <c r="Z189" s="105">
        <f t="shared" si="1076"/>
        <v>4</v>
      </c>
      <c r="AA189" s="143">
        <f t="shared" ref="AA189:AF189" si="1140">RANDBETWEEN(0,2)</f>
        <v>2</v>
      </c>
      <c r="AB189" s="143">
        <f t="shared" si="1140"/>
        <v>2</v>
      </c>
      <c r="AC189" s="144">
        <f t="shared" si="1140"/>
        <v>0</v>
      </c>
      <c r="AD189" s="145">
        <f t="shared" si="1140"/>
        <v>0</v>
      </c>
      <c r="AE189" s="145">
        <f t="shared" si="1140"/>
        <v>2</v>
      </c>
      <c r="AF189" s="145">
        <f t="shared" si="1140"/>
        <v>2</v>
      </c>
      <c r="AG189" s="86">
        <f t="shared" si="1037"/>
        <v>4</v>
      </c>
      <c r="AH189" s="144">
        <f t="shared" ref="AH189:AJ189" si="1141">RANDBETWEEN(1,10)</f>
        <v>7</v>
      </c>
      <c r="AI189" s="145">
        <f t="shared" si="1141"/>
        <v>10</v>
      </c>
      <c r="AJ189" s="145">
        <f t="shared" si="1141"/>
        <v>4</v>
      </c>
      <c r="AK189" s="192">
        <f t="shared" si="1039"/>
        <v>21</v>
      </c>
      <c r="AL189" s="144"/>
      <c r="AM189" s="145"/>
      <c r="AN189" s="145"/>
      <c r="AO189" s="145"/>
      <c r="AP189" s="89"/>
      <c r="AQ189" s="144"/>
      <c r="AR189" s="145"/>
      <c r="AS189" s="145"/>
      <c r="AT189" s="193"/>
      <c r="AU189" s="144"/>
      <c r="AV189" s="145"/>
      <c r="AW189" s="145"/>
      <c r="AX189" s="194"/>
      <c r="AY189" s="92">
        <f t="shared" ref="AY189:AZ189" si="1142">RANDBETWEEN(1,10)/10</f>
        <v>0.4</v>
      </c>
      <c r="AZ189" s="92">
        <f t="shared" si="1142"/>
        <v>0.2</v>
      </c>
      <c r="BA189" s="93">
        <v>0.0</v>
      </c>
      <c r="BB189" s="93">
        <v>0.0</v>
      </c>
      <c r="BC189" s="94">
        <f>SUM(BC161,'ГОЧ'!$AY189)</f>
        <v>1203</v>
      </c>
      <c r="BD189" s="94">
        <f>SUM(BD161,'ГОЧ'!$AZ189)</f>
        <v>1204</v>
      </c>
      <c r="BE189" s="108"/>
      <c r="BF189" s="108"/>
    </row>
    <row r="190" ht="15.75" customHeight="1">
      <c r="A190" s="67">
        <f t="shared" si="1027"/>
        <v>46260</v>
      </c>
      <c r="B190" s="114" t="s">
        <v>45</v>
      </c>
      <c r="C190" s="164">
        <f t="shared" si="1028"/>
        <v>10</v>
      </c>
      <c r="D190" s="164">
        <f t="shared" ref="D190:U190" si="1143">SUM(D184:D189)</f>
        <v>3</v>
      </c>
      <c r="E190" s="165">
        <f t="shared" si="1143"/>
        <v>6</v>
      </c>
      <c r="F190" s="165">
        <f t="shared" si="1143"/>
        <v>7</v>
      </c>
      <c r="G190" s="165">
        <f t="shared" si="1143"/>
        <v>6</v>
      </c>
      <c r="H190" s="165">
        <f t="shared" si="1143"/>
        <v>6</v>
      </c>
      <c r="I190" s="165">
        <f t="shared" si="1143"/>
        <v>5</v>
      </c>
      <c r="J190" s="165">
        <f t="shared" si="1143"/>
        <v>7</v>
      </c>
      <c r="K190" s="165">
        <f t="shared" si="1143"/>
        <v>4</v>
      </c>
      <c r="L190" s="165">
        <f t="shared" si="1143"/>
        <v>9</v>
      </c>
      <c r="M190" s="164">
        <f t="shared" si="1143"/>
        <v>223</v>
      </c>
      <c r="N190" s="164">
        <f t="shared" si="1143"/>
        <v>33</v>
      </c>
      <c r="O190" s="165">
        <f t="shared" si="1143"/>
        <v>36</v>
      </c>
      <c r="P190" s="165">
        <f t="shared" si="1143"/>
        <v>32</v>
      </c>
      <c r="Q190" s="165">
        <f t="shared" si="1143"/>
        <v>33</v>
      </c>
      <c r="R190" s="165">
        <f t="shared" si="1143"/>
        <v>22</v>
      </c>
      <c r="S190" s="165">
        <f t="shared" si="1143"/>
        <v>37</v>
      </c>
      <c r="T190" s="165">
        <f t="shared" si="1143"/>
        <v>30</v>
      </c>
      <c r="U190" s="164">
        <f t="shared" si="1143"/>
        <v>134</v>
      </c>
      <c r="V190" s="164">
        <f t="shared" si="1067"/>
        <v>21</v>
      </c>
      <c r="W190" s="165">
        <f t="shared" ref="W190:Y190" si="1144">SUM(W184:W189)</f>
        <v>7</v>
      </c>
      <c r="X190" s="165">
        <f t="shared" si="1144"/>
        <v>6</v>
      </c>
      <c r="Y190" s="165">
        <f t="shared" si="1144"/>
        <v>8</v>
      </c>
      <c r="Z190" s="165">
        <f t="shared" si="1076"/>
        <v>19</v>
      </c>
      <c r="AA190" s="165">
        <f t="shared" ref="AA190:AF190" si="1145">SUM(AA184:AA189)</f>
        <v>8</v>
      </c>
      <c r="AB190" s="165">
        <f t="shared" si="1145"/>
        <v>11</v>
      </c>
      <c r="AC190" s="166">
        <f t="shared" si="1145"/>
        <v>8</v>
      </c>
      <c r="AD190" s="166">
        <f t="shared" si="1145"/>
        <v>8</v>
      </c>
      <c r="AE190" s="166">
        <f t="shared" si="1145"/>
        <v>6</v>
      </c>
      <c r="AF190" s="166">
        <f t="shared" si="1145"/>
        <v>6</v>
      </c>
      <c r="AG190" s="168">
        <f t="shared" si="1037"/>
        <v>28</v>
      </c>
      <c r="AH190" s="166">
        <f t="shared" ref="AH190:AJ190" si="1146">SUM(AH184:AH189)</f>
        <v>34</v>
      </c>
      <c r="AI190" s="167">
        <f t="shared" si="1146"/>
        <v>37</v>
      </c>
      <c r="AJ190" s="167">
        <f t="shared" si="1146"/>
        <v>26</v>
      </c>
      <c r="AK190" s="168">
        <f t="shared" si="1039"/>
        <v>97</v>
      </c>
      <c r="AL190" s="166"/>
      <c r="AM190" s="166"/>
      <c r="AN190" s="166"/>
      <c r="AO190" s="166"/>
      <c r="AP190" s="169"/>
      <c r="AQ190" s="166"/>
      <c r="AR190" s="167"/>
      <c r="AS190" s="167"/>
      <c r="AT190" s="170"/>
      <c r="AU190" s="166"/>
      <c r="AV190" s="167"/>
      <c r="AW190" s="167"/>
      <c r="AX190" s="171"/>
      <c r="AY190" s="196">
        <f t="shared" ref="AY190:BD190" si="1147">SUM(AY184:AY189)</f>
        <v>3</v>
      </c>
      <c r="AZ190" s="196">
        <f t="shared" si="1147"/>
        <v>3</v>
      </c>
      <c r="BA190" s="167">
        <f t="shared" si="1147"/>
        <v>0</v>
      </c>
      <c r="BB190" s="167">
        <f t="shared" si="1147"/>
        <v>0</v>
      </c>
      <c r="BC190" s="197">
        <f t="shared" si="1147"/>
        <v>7219.9</v>
      </c>
      <c r="BD190" s="197">
        <f t="shared" si="1147"/>
        <v>7221.2</v>
      </c>
      <c r="BE190" s="154" t="str">
        <f t="shared" ref="BE190:BF190" si="1148">TEXTJOIN(", ",TRUE,BE184:BE189)</f>
        <v/>
      </c>
      <c r="BF190" s="154" t="str">
        <f t="shared" si="1148"/>
        <v/>
      </c>
    </row>
    <row r="191" ht="15.75" customHeight="1">
      <c r="A191" s="67">
        <f t="shared" si="1027"/>
        <v>46260</v>
      </c>
      <c r="B191" s="124" t="s">
        <v>49</v>
      </c>
      <c r="C191" s="174">
        <f t="shared" si="1028"/>
        <v>2</v>
      </c>
      <c r="D191" s="175">
        <f t="shared" ref="D191:L191" si="1149">RANDBETWEEN(0,2)</f>
        <v>0</v>
      </c>
      <c r="E191" s="175">
        <f t="shared" si="1149"/>
        <v>1</v>
      </c>
      <c r="F191" s="175">
        <f t="shared" si="1149"/>
        <v>2</v>
      </c>
      <c r="G191" s="175">
        <f t="shared" si="1149"/>
        <v>0</v>
      </c>
      <c r="H191" s="176">
        <f t="shared" si="1149"/>
        <v>1</v>
      </c>
      <c r="I191" s="177">
        <f t="shared" si="1149"/>
        <v>1</v>
      </c>
      <c r="J191" s="178">
        <f t="shared" si="1149"/>
        <v>0</v>
      </c>
      <c r="K191" s="179">
        <f t="shared" si="1149"/>
        <v>1</v>
      </c>
      <c r="L191" s="179">
        <f t="shared" si="1149"/>
        <v>0</v>
      </c>
      <c r="M191" s="180">
        <f t="shared" ref="M191:M196" si="1156">SUM(N191:T191)</f>
        <v>38</v>
      </c>
      <c r="N191" s="175">
        <f t="shared" ref="N191:T191" si="1150">RANDBETWEEN(0,10)</f>
        <v>9</v>
      </c>
      <c r="O191" s="175">
        <f t="shared" si="1150"/>
        <v>8</v>
      </c>
      <c r="P191" s="175">
        <f t="shared" si="1150"/>
        <v>10</v>
      </c>
      <c r="Q191" s="175">
        <f t="shared" si="1150"/>
        <v>0</v>
      </c>
      <c r="R191" s="175">
        <f t="shared" si="1150"/>
        <v>1</v>
      </c>
      <c r="S191" s="175">
        <f t="shared" si="1150"/>
        <v>6</v>
      </c>
      <c r="T191" s="175">
        <f t="shared" si="1150"/>
        <v>4</v>
      </c>
      <c r="U191" s="181">
        <f t="shared" ref="U191:U195" si="1158">RANDBETWEEN(10,30)</f>
        <v>12</v>
      </c>
      <c r="V191" s="182">
        <f t="shared" si="1067"/>
        <v>3</v>
      </c>
      <c r="W191" s="175">
        <f t="shared" ref="W191:Y191" si="1151">RANDBETWEEN(0,2)</f>
        <v>0</v>
      </c>
      <c r="X191" s="175">
        <f t="shared" si="1151"/>
        <v>1</v>
      </c>
      <c r="Y191" s="175">
        <f t="shared" si="1151"/>
        <v>2</v>
      </c>
      <c r="Z191" s="183">
        <f t="shared" si="1076"/>
        <v>1</v>
      </c>
      <c r="AA191" s="198">
        <f t="shared" ref="AA191:AF191" si="1152">RANDBETWEEN(0,2)</f>
        <v>1</v>
      </c>
      <c r="AB191" s="198">
        <f t="shared" si="1152"/>
        <v>0</v>
      </c>
      <c r="AC191" s="199">
        <f t="shared" si="1152"/>
        <v>2</v>
      </c>
      <c r="AD191" s="200">
        <f t="shared" si="1152"/>
        <v>0</v>
      </c>
      <c r="AE191" s="200">
        <f t="shared" si="1152"/>
        <v>1</v>
      </c>
      <c r="AF191" s="200">
        <f t="shared" si="1152"/>
        <v>2</v>
      </c>
      <c r="AG191" s="187">
        <f t="shared" si="1037"/>
        <v>5</v>
      </c>
      <c r="AH191" s="199">
        <f t="shared" ref="AH191:AJ191" si="1153">RANDBETWEEN(1,10)</f>
        <v>8</v>
      </c>
      <c r="AI191" s="200">
        <f t="shared" si="1153"/>
        <v>1</v>
      </c>
      <c r="AJ191" s="200">
        <f t="shared" si="1153"/>
        <v>8</v>
      </c>
      <c r="AK191" s="188">
        <f t="shared" si="1039"/>
        <v>17</v>
      </c>
      <c r="AL191" s="199"/>
      <c r="AM191" s="200"/>
      <c r="AN191" s="200"/>
      <c r="AO191" s="200"/>
      <c r="AP191" s="189"/>
      <c r="AQ191" s="199"/>
      <c r="AR191" s="200"/>
      <c r="AS191" s="200"/>
      <c r="AT191" s="190"/>
      <c r="AU191" s="199"/>
      <c r="AV191" s="200"/>
      <c r="AW191" s="200"/>
      <c r="AX191" s="191"/>
      <c r="AY191" s="92">
        <f t="shared" ref="AY191:AZ191" si="1154">RANDBETWEEN(1,10)/10</f>
        <v>0.6</v>
      </c>
      <c r="AZ191" s="92">
        <f t="shared" si="1154"/>
        <v>0.3</v>
      </c>
      <c r="BA191" s="93">
        <v>0.0</v>
      </c>
      <c r="BB191" s="93">
        <v>0.0</v>
      </c>
      <c r="BC191" s="94">
        <f>SUM(BC163,'ГОЧ'!$AY191)</f>
        <v>1202.7</v>
      </c>
      <c r="BD191" s="94">
        <f>SUM(BD163,'ГОЧ'!$AZ191)</f>
        <v>1203</v>
      </c>
      <c r="BE191" s="186"/>
      <c r="BF191" s="186"/>
    </row>
    <row r="192" ht="15.75" customHeight="1">
      <c r="A192" s="67">
        <f t="shared" si="1027"/>
        <v>46260</v>
      </c>
      <c r="B192" s="195" t="s">
        <v>53</v>
      </c>
      <c r="C192" s="157">
        <f t="shared" si="1028"/>
        <v>1</v>
      </c>
      <c r="D192" s="97">
        <f t="shared" ref="D192:L192" si="1155">RANDBETWEEN(0,2)</f>
        <v>0</v>
      </c>
      <c r="E192" s="97">
        <f t="shared" si="1155"/>
        <v>2</v>
      </c>
      <c r="F192" s="97">
        <f t="shared" si="1155"/>
        <v>1</v>
      </c>
      <c r="G192" s="97">
        <f t="shared" si="1155"/>
        <v>1</v>
      </c>
      <c r="H192" s="98">
        <f t="shared" si="1155"/>
        <v>0</v>
      </c>
      <c r="I192" s="99">
        <f t="shared" si="1155"/>
        <v>1</v>
      </c>
      <c r="J192" s="100">
        <f t="shared" si="1155"/>
        <v>2</v>
      </c>
      <c r="K192" s="101">
        <f t="shared" si="1155"/>
        <v>0</v>
      </c>
      <c r="L192" s="101">
        <f t="shared" si="1155"/>
        <v>2</v>
      </c>
      <c r="M192" s="140">
        <f t="shared" si="1156"/>
        <v>31</v>
      </c>
      <c r="N192" s="97">
        <f t="shared" ref="N192:T192" si="1157">RANDBETWEEN(0,10)</f>
        <v>10</v>
      </c>
      <c r="O192" s="97">
        <f t="shared" si="1157"/>
        <v>6</v>
      </c>
      <c r="P192" s="97">
        <f t="shared" si="1157"/>
        <v>1</v>
      </c>
      <c r="Q192" s="97">
        <f t="shared" si="1157"/>
        <v>9</v>
      </c>
      <c r="R192" s="97">
        <f t="shared" si="1157"/>
        <v>0</v>
      </c>
      <c r="S192" s="97">
        <f t="shared" si="1157"/>
        <v>5</v>
      </c>
      <c r="T192" s="97">
        <f t="shared" si="1157"/>
        <v>0</v>
      </c>
      <c r="U192" s="103">
        <f t="shared" si="1158"/>
        <v>21</v>
      </c>
      <c r="V192" s="158">
        <f t="shared" si="1067"/>
        <v>3</v>
      </c>
      <c r="W192" s="97">
        <f t="shared" ref="W192:Y192" si="1159">RANDBETWEEN(0,2)</f>
        <v>2</v>
      </c>
      <c r="X192" s="97">
        <f t="shared" si="1159"/>
        <v>1</v>
      </c>
      <c r="Y192" s="97">
        <f t="shared" si="1159"/>
        <v>0</v>
      </c>
      <c r="Z192" s="105">
        <f t="shared" si="1076"/>
        <v>3</v>
      </c>
      <c r="AA192" s="106">
        <f t="shared" ref="AA192:AF192" si="1160">RANDBETWEEN(0,2)</f>
        <v>1</v>
      </c>
      <c r="AB192" s="106">
        <f t="shared" si="1160"/>
        <v>2</v>
      </c>
      <c r="AC192" s="107">
        <f t="shared" si="1160"/>
        <v>2</v>
      </c>
      <c r="AD192" s="108">
        <f t="shared" si="1160"/>
        <v>1</v>
      </c>
      <c r="AE192" s="108">
        <f t="shared" si="1160"/>
        <v>1</v>
      </c>
      <c r="AF192" s="108">
        <f t="shared" si="1160"/>
        <v>2</v>
      </c>
      <c r="AG192" s="86">
        <f t="shared" si="1037"/>
        <v>6</v>
      </c>
      <c r="AH192" s="107">
        <f t="shared" ref="AH192:AJ192" si="1161">RANDBETWEEN(1,10)</f>
        <v>2</v>
      </c>
      <c r="AI192" s="108">
        <f t="shared" si="1161"/>
        <v>3</v>
      </c>
      <c r="AJ192" s="108">
        <f t="shared" si="1161"/>
        <v>2</v>
      </c>
      <c r="AK192" s="192">
        <f t="shared" si="1039"/>
        <v>7</v>
      </c>
      <c r="AL192" s="107"/>
      <c r="AM192" s="108"/>
      <c r="AN192" s="108"/>
      <c r="AO192" s="108"/>
      <c r="AP192" s="89"/>
      <c r="AQ192" s="107"/>
      <c r="AR192" s="108"/>
      <c r="AS192" s="108"/>
      <c r="AT192" s="193"/>
      <c r="AU192" s="107"/>
      <c r="AV192" s="108"/>
      <c r="AW192" s="108"/>
      <c r="AX192" s="194"/>
      <c r="AY192" s="92">
        <f t="shared" ref="AY192:AZ192" si="1162">RANDBETWEEN(1,10)/10</f>
        <v>0.7</v>
      </c>
      <c r="AZ192" s="92">
        <f t="shared" si="1162"/>
        <v>0.8</v>
      </c>
      <c r="BA192" s="93">
        <v>0.0</v>
      </c>
      <c r="BB192" s="93">
        <v>0.0</v>
      </c>
      <c r="BC192" s="94">
        <f>SUM(BC164,'ГОЧ'!$AY192)</f>
        <v>1203.3</v>
      </c>
      <c r="BD192" s="94">
        <f>SUM(BD164,'ГОЧ'!$AZ192)</f>
        <v>1203.1</v>
      </c>
      <c r="BE192" s="108"/>
      <c r="BF192" s="108"/>
    </row>
    <row r="193" ht="15.75" customHeight="1">
      <c r="A193" s="67">
        <f t="shared" si="1027"/>
        <v>46260</v>
      </c>
      <c r="B193" s="138" t="s">
        <v>57</v>
      </c>
      <c r="C193" s="157">
        <f t="shared" si="1028"/>
        <v>1</v>
      </c>
      <c r="D193" s="97">
        <f t="shared" ref="D193:L193" si="1163">RANDBETWEEN(0,2)</f>
        <v>0</v>
      </c>
      <c r="E193" s="97">
        <f t="shared" si="1163"/>
        <v>1</v>
      </c>
      <c r="F193" s="97">
        <f t="shared" si="1163"/>
        <v>1</v>
      </c>
      <c r="G193" s="97">
        <f t="shared" si="1163"/>
        <v>2</v>
      </c>
      <c r="H193" s="98">
        <f t="shared" si="1163"/>
        <v>1</v>
      </c>
      <c r="I193" s="99">
        <f t="shared" si="1163"/>
        <v>0</v>
      </c>
      <c r="J193" s="100">
        <f t="shared" si="1163"/>
        <v>1</v>
      </c>
      <c r="K193" s="101">
        <f t="shared" si="1163"/>
        <v>2</v>
      </c>
      <c r="L193" s="101">
        <f t="shared" si="1163"/>
        <v>0</v>
      </c>
      <c r="M193" s="140">
        <f t="shared" si="1156"/>
        <v>31</v>
      </c>
      <c r="N193" s="97">
        <f t="shared" ref="N193:T193" si="1164">RANDBETWEEN(0,10)</f>
        <v>2</v>
      </c>
      <c r="O193" s="97">
        <f t="shared" si="1164"/>
        <v>6</v>
      </c>
      <c r="P193" s="97">
        <f t="shared" si="1164"/>
        <v>9</v>
      </c>
      <c r="Q193" s="97">
        <f t="shared" si="1164"/>
        <v>0</v>
      </c>
      <c r="R193" s="97">
        <f t="shared" si="1164"/>
        <v>6</v>
      </c>
      <c r="S193" s="97">
        <f t="shared" si="1164"/>
        <v>2</v>
      </c>
      <c r="T193" s="97">
        <f t="shared" si="1164"/>
        <v>6</v>
      </c>
      <c r="U193" s="103">
        <f t="shared" si="1158"/>
        <v>23</v>
      </c>
      <c r="V193" s="158">
        <f t="shared" si="1067"/>
        <v>3</v>
      </c>
      <c r="W193" s="97">
        <f t="shared" ref="W193:Y193" si="1165">RANDBETWEEN(0,2)</f>
        <v>2</v>
      </c>
      <c r="X193" s="97">
        <f t="shared" si="1165"/>
        <v>1</v>
      </c>
      <c r="Y193" s="97">
        <f t="shared" si="1165"/>
        <v>0</v>
      </c>
      <c r="Z193" s="105">
        <f t="shared" si="1076"/>
        <v>2</v>
      </c>
      <c r="AA193" s="143">
        <f t="shared" ref="AA193:AF193" si="1166">RANDBETWEEN(0,2)</f>
        <v>2</v>
      </c>
      <c r="AB193" s="143">
        <f t="shared" si="1166"/>
        <v>0</v>
      </c>
      <c r="AC193" s="144">
        <f t="shared" si="1166"/>
        <v>1</v>
      </c>
      <c r="AD193" s="145">
        <f t="shared" si="1166"/>
        <v>0</v>
      </c>
      <c r="AE193" s="145">
        <f t="shared" si="1166"/>
        <v>2</v>
      </c>
      <c r="AF193" s="145">
        <f t="shared" si="1166"/>
        <v>0</v>
      </c>
      <c r="AG193" s="86">
        <f t="shared" si="1037"/>
        <v>3</v>
      </c>
      <c r="AH193" s="144">
        <f t="shared" ref="AH193:AJ193" si="1167">RANDBETWEEN(1,10)</f>
        <v>4</v>
      </c>
      <c r="AI193" s="145">
        <f t="shared" si="1167"/>
        <v>1</v>
      </c>
      <c r="AJ193" s="145">
        <f t="shared" si="1167"/>
        <v>3</v>
      </c>
      <c r="AK193" s="192">
        <f t="shared" si="1039"/>
        <v>8</v>
      </c>
      <c r="AL193" s="144"/>
      <c r="AM193" s="145"/>
      <c r="AN193" s="145"/>
      <c r="AO193" s="145"/>
      <c r="AP193" s="89"/>
      <c r="AQ193" s="144"/>
      <c r="AR193" s="145"/>
      <c r="AS193" s="145"/>
      <c r="AT193" s="193"/>
      <c r="AU193" s="144"/>
      <c r="AV193" s="145"/>
      <c r="AW193" s="145"/>
      <c r="AX193" s="194"/>
      <c r="AY193" s="92">
        <f t="shared" ref="AY193:AZ193" si="1168">RANDBETWEEN(1,10)/10</f>
        <v>0.5</v>
      </c>
      <c r="AZ193" s="92">
        <f t="shared" si="1168"/>
        <v>0.2</v>
      </c>
      <c r="BA193" s="93">
        <v>0.0</v>
      </c>
      <c r="BB193" s="93">
        <v>0.0</v>
      </c>
      <c r="BC193" s="94">
        <f>SUM(BC165,'ГОЧ'!$AY193)</f>
        <v>1203.6</v>
      </c>
      <c r="BD193" s="94">
        <f>SUM(BD165,'ГОЧ'!$AZ193)</f>
        <v>1204.2</v>
      </c>
      <c r="BE193" s="108"/>
      <c r="BF193" s="108"/>
    </row>
    <row r="194" ht="15.75" customHeight="1">
      <c r="A194" s="67">
        <f t="shared" si="1027"/>
        <v>46260</v>
      </c>
      <c r="B194" s="138" t="s">
        <v>60</v>
      </c>
      <c r="C194" s="157">
        <f t="shared" si="1028"/>
        <v>2</v>
      </c>
      <c r="D194" s="97">
        <f t="shared" ref="D194:L194" si="1169">RANDBETWEEN(0,2)</f>
        <v>0</v>
      </c>
      <c r="E194" s="97">
        <f t="shared" si="1169"/>
        <v>0</v>
      </c>
      <c r="F194" s="97">
        <f t="shared" si="1169"/>
        <v>2</v>
      </c>
      <c r="G194" s="97">
        <f t="shared" si="1169"/>
        <v>0</v>
      </c>
      <c r="H194" s="98">
        <f t="shared" si="1169"/>
        <v>1</v>
      </c>
      <c r="I194" s="99">
        <f t="shared" si="1169"/>
        <v>2</v>
      </c>
      <c r="J194" s="100">
        <f t="shared" si="1169"/>
        <v>2</v>
      </c>
      <c r="K194" s="101">
        <f t="shared" si="1169"/>
        <v>1</v>
      </c>
      <c r="L194" s="101">
        <f t="shared" si="1169"/>
        <v>2</v>
      </c>
      <c r="M194" s="140">
        <f t="shared" si="1156"/>
        <v>42</v>
      </c>
      <c r="N194" s="97">
        <f t="shared" ref="N194:T194" si="1170">RANDBETWEEN(0,10)</f>
        <v>10</v>
      </c>
      <c r="O194" s="97">
        <f t="shared" si="1170"/>
        <v>4</v>
      </c>
      <c r="P194" s="97">
        <f t="shared" si="1170"/>
        <v>7</v>
      </c>
      <c r="Q194" s="97">
        <f t="shared" si="1170"/>
        <v>2</v>
      </c>
      <c r="R194" s="97">
        <f t="shared" si="1170"/>
        <v>4</v>
      </c>
      <c r="S194" s="97">
        <f t="shared" si="1170"/>
        <v>9</v>
      </c>
      <c r="T194" s="97">
        <f t="shared" si="1170"/>
        <v>6</v>
      </c>
      <c r="U194" s="103">
        <f t="shared" si="1158"/>
        <v>30</v>
      </c>
      <c r="V194" s="158">
        <f t="shared" si="1067"/>
        <v>3</v>
      </c>
      <c r="W194" s="97">
        <f t="shared" ref="W194:Y194" si="1171">RANDBETWEEN(0,2)</f>
        <v>2</v>
      </c>
      <c r="X194" s="97">
        <f t="shared" si="1171"/>
        <v>1</v>
      </c>
      <c r="Y194" s="97">
        <f t="shared" si="1171"/>
        <v>0</v>
      </c>
      <c r="Z194" s="105">
        <f t="shared" si="1076"/>
        <v>2</v>
      </c>
      <c r="AA194" s="106">
        <f t="shared" ref="AA194:AF194" si="1172">RANDBETWEEN(0,2)</f>
        <v>1</v>
      </c>
      <c r="AB194" s="106">
        <f t="shared" si="1172"/>
        <v>1</v>
      </c>
      <c r="AC194" s="107">
        <f t="shared" si="1172"/>
        <v>1</v>
      </c>
      <c r="AD194" s="108">
        <f t="shared" si="1172"/>
        <v>2</v>
      </c>
      <c r="AE194" s="108">
        <f t="shared" si="1172"/>
        <v>0</v>
      </c>
      <c r="AF194" s="108">
        <f t="shared" si="1172"/>
        <v>2</v>
      </c>
      <c r="AG194" s="86">
        <f t="shared" si="1037"/>
        <v>5</v>
      </c>
      <c r="AH194" s="107">
        <f t="shared" ref="AH194:AJ194" si="1173">RANDBETWEEN(1,10)</f>
        <v>2</v>
      </c>
      <c r="AI194" s="108">
        <f t="shared" si="1173"/>
        <v>3</v>
      </c>
      <c r="AJ194" s="108">
        <f t="shared" si="1173"/>
        <v>6</v>
      </c>
      <c r="AK194" s="192">
        <f t="shared" si="1039"/>
        <v>11</v>
      </c>
      <c r="AL194" s="107"/>
      <c r="AM194" s="108"/>
      <c r="AN194" s="108"/>
      <c r="AO194" s="108"/>
      <c r="AP194" s="89"/>
      <c r="AQ194" s="107"/>
      <c r="AR194" s="108"/>
      <c r="AS194" s="108"/>
      <c r="AT194" s="193"/>
      <c r="AU194" s="107"/>
      <c r="AV194" s="108"/>
      <c r="AW194" s="108"/>
      <c r="AX194" s="194"/>
      <c r="AY194" s="92">
        <f t="shared" ref="AY194:AZ194" si="1174">RANDBETWEEN(1,10)/10</f>
        <v>0.6</v>
      </c>
      <c r="AZ194" s="92">
        <f t="shared" si="1174"/>
        <v>0.9</v>
      </c>
      <c r="BA194" s="93">
        <v>0.0</v>
      </c>
      <c r="BB194" s="93">
        <v>0.0</v>
      </c>
      <c r="BC194" s="94">
        <f>SUM(BC166,'ГОЧ'!$AY194)</f>
        <v>1202.5</v>
      </c>
      <c r="BD194" s="94">
        <f>SUM(BD166,'ГОЧ'!$AZ194)</f>
        <v>1203.1</v>
      </c>
      <c r="BE194" s="108"/>
      <c r="BF194" s="108"/>
    </row>
    <row r="195" ht="15.75" customHeight="1">
      <c r="A195" s="67">
        <f t="shared" si="1027"/>
        <v>46260</v>
      </c>
      <c r="B195" s="195" t="s">
        <v>64</v>
      </c>
      <c r="C195" s="157">
        <f t="shared" si="1028"/>
        <v>2</v>
      </c>
      <c r="D195" s="97">
        <f t="shared" ref="D195:L195" si="1175">RANDBETWEEN(0,2)</f>
        <v>0</v>
      </c>
      <c r="E195" s="97">
        <f t="shared" si="1175"/>
        <v>0</v>
      </c>
      <c r="F195" s="97">
        <f t="shared" si="1175"/>
        <v>2</v>
      </c>
      <c r="G195" s="97">
        <f t="shared" si="1175"/>
        <v>1</v>
      </c>
      <c r="H195" s="98">
        <f t="shared" si="1175"/>
        <v>1</v>
      </c>
      <c r="I195" s="99">
        <f t="shared" si="1175"/>
        <v>0</v>
      </c>
      <c r="J195" s="100">
        <f t="shared" si="1175"/>
        <v>1</v>
      </c>
      <c r="K195" s="101">
        <f t="shared" si="1175"/>
        <v>1</v>
      </c>
      <c r="L195" s="101">
        <f t="shared" si="1175"/>
        <v>1</v>
      </c>
      <c r="M195" s="140">
        <f t="shared" si="1156"/>
        <v>37</v>
      </c>
      <c r="N195" s="97">
        <f t="shared" ref="N195:T195" si="1176">RANDBETWEEN(0,10)</f>
        <v>6</v>
      </c>
      <c r="O195" s="97">
        <f t="shared" si="1176"/>
        <v>6</v>
      </c>
      <c r="P195" s="97">
        <f t="shared" si="1176"/>
        <v>4</v>
      </c>
      <c r="Q195" s="97">
        <f t="shared" si="1176"/>
        <v>8</v>
      </c>
      <c r="R195" s="97">
        <f t="shared" si="1176"/>
        <v>7</v>
      </c>
      <c r="S195" s="97">
        <f t="shared" si="1176"/>
        <v>1</v>
      </c>
      <c r="T195" s="97">
        <f t="shared" si="1176"/>
        <v>5</v>
      </c>
      <c r="U195" s="103">
        <f t="shared" si="1158"/>
        <v>11</v>
      </c>
      <c r="V195" s="158">
        <f t="shared" si="1067"/>
        <v>2</v>
      </c>
      <c r="W195" s="97">
        <f t="shared" ref="W195:Y195" si="1177">RANDBETWEEN(0,2)</f>
        <v>0</v>
      </c>
      <c r="X195" s="97">
        <f t="shared" si="1177"/>
        <v>0</v>
      </c>
      <c r="Y195" s="97">
        <f t="shared" si="1177"/>
        <v>2</v>
      </c>
      <c r="Z195" s="105">
        <f t="shared" si="1076"/>
        <v>3</v>
      </c>
      <c r="AA195" s="143">
        <f t="shared" ref="AA195:AF195" si="1178">RANDBETWEEN(0,2)</f>
        <v>2</v>
      </c>
      <c r="AB195" s="143">
        <f t="shared" si="1178"/>
        <v>1</v>
      </c>
      <c r="AC195" s="144">
        <f t="shared" si="1178"/>
        <v>2</v>
      </c>
      <c r="AD195" s="145">
        <f t="shared" si="1178"/>
        <v>1</v>
      </c>
      <c r="AE195" s="145">
        <f t="shared" si="1178"/>
        <v>0</v>
      </c>
      <c r="AF195" s="145">
        <f t="shared" si="1178"/>
        <v>0</v>
      </c>
      <c r="AG195" s="86">
        <f t="shared" si="1037"/>
        <v>3</v>
      </c>
      <c r="AH195" s="144">
        <f t="shared" ref="AH195:AJ195" si="1179">RANDBETWEEN(1,10)</f>
        <v>9</v>
      </c>
      <c r="AI195" s="145">
        <f t="shared" si="1179"/>
        <v>10</v>
      </c>
      <c r="AJ195" s="145">
        <f t="shared" si="1179"/>
        <v>8</v>
      </c>
      <c r="AK195" s="192">
        <f t="shared" si="1039"/>
        <v>27</v>
      </c>
      <c r="AL195" s="144"/>
      <c r="AM195" s="145"/>
      <c r="AN195" s="145"/>
      <c r="AO195" s="145"/>
      <c r="AP195" s="89"/>
      <c r="AQ195" s="144"/>
      <c r="AR195" s="145"/>
      <c r="AS195" s="145"/>
      <c r="AT195" s="193"/>
      <c r="AU195" s="144"/>
      <c r="AV195" s="145"/>
      <c r="AW195" s="145"/>
      <c r="AX195" s="194"/>
      <c r="AY195" s="92">
        <f t="shared" ref="AY195:AZ195" si="1180">RANDBETWEEN(1,10)/10</f>
        <v>0.1</v>
      </c>
      <c r="AZ195" s="92">
        <f t="shared" si="1180"/>
        <v>0.4</v>
      </c>
      <c r="BA195" s="93">
        <v>0.0</v>
      </c>
      <c r="BB195" s="93">
        <v>0.0</v>
      </c>
      <c r="BC195" s="94">
        <f>SUM(BC167,'ГОЧ'!$AY195)</f>
        <v>1202.4</v>
      </c>
      <c r="BD195" s="94">
        <f>SUM(BD167,'ГОЧ'!$AZ195)</f>
        <v>1202.6</v>
      </c>
      <c r="BE195" s="108"/>
      <c r="BF195" s="108"/>
    </row>
    <row r="196" ht="15.75" customHeight="1">
      <c r="A196" s="67">
        <f t="shared" si="1027"/>
        <v>46260</v>
      </c>
      <c r="B196" s="201" t="s">
        <v>67</v>
      </c>
      <c r="C196" s="164">
        <f t="shared" si="1028"/>
        <v>8</v>
      </c>
      <c r="D196" s="164">
        <f t="shared" ref="D196:L196" si="1181">SUM(D191:D195)</f>
        <v>0</v>
      </c>
      <c r="E196" s="165">
        <f t="shared" si="1181"/>
        <v>4</v>
      </c>
      <c r="F196" s="165">
        <f t="shared" si="1181"/>
        <v>8</v>
      </c>
      <c r="G196" s="165">
        <f t="shared" si="1181"/>
        <v>4</v>
      </c>
      <c r="H196" s="165">
        <f t="shared" si="1181"/>
        <v>4</v>
      </c>
      <c r="I196" s="165">
        <f t="shared" si="1181"/>
        <v>4</v>
      </c>
      <c r="J196" s="165">
        <f t="shared" si="1181"/>
        <v>6</v>
      </c>
      <c r="K196" s="165">
        <f t="shared" si="1181"/>
        <v>5</v>
      </c>
      <c r="L196" s="165">
        <f t="shared" si="1181"/>
        <v>5</v>
      </c>
      <c r="M196" s="164">
        <f t="shared" si="1156"/>
        <v>179</v>
      </c>
      <c r="N196" s="164">
        <f t="shared" ref="N196:U196" si="1182">SUM(N191:N195)</f>
        <v>37</v>
      </c>
      <c r="O196" s="165">
        <f t="shared" si="1182"/>
        <v>30</v>
      </c>
      <c r="P196" s="165">
        <f t="shared" si="1182"/>
        <v>31</v>
      </c>
      <c r="Q196" s="165">
        <f t="shared" si="1182"/>
        <v>19</v>
      </c>
      <c r="R196" s="165">
        <f t="shared" si="1182"/>
        <v>18</v>
      </c>
      <c r="S196" s="165">
        <f t="shared" si="1182"/>
        <v>23</v>
      </c>
      <c r="T196" s="165">
        <f t="shared" si="1182"/>
        <v>21</v>
      </c>
      <c r="U196" s="164">
        <f t="shared" si="1182"/>
        <v>97</v>
      </c>
      <c r="V196" s="164">
        <f t="shared" si="1067"/>
        <v>14</v>
      </c>
      <c r="W196" s="165">
        <f t="shared" ref="W196:Y196" si="1183">SUM(W191:W195)</f>
        <v>6</v>
      </c>
      <c r="X196" s="165">
        <f t="shared" si="1183"/>
        <v>4</v>
      </c>
      <c r="Y196" s="165">
        <f t="shared" si="1183"/>
        <v>4</v>
      </c>
      <c r="Z196" s="164">
        <f>SUM(AA196:AB196)</f>
        <v>11</v>
      </c>
      <c r="AA196" s="164">
        <f t="shared" ref="AA196:AF196" si="1184">SUM(AA191:AA195)</f>
        <v>7</v>
      </c>
      <c r="AB196" s="165">
        <f t="shared" si="1184"/>
        <v>4</v>
      </c>
      <c r="AC196" s="166">
        <f t="shared" si="1184"/>
        <v>8</v>
      </c>
      <c r="AD196" s="166">
        <f t="shared" si="1184"/>
        <v>4</v>
      </c>
      <c r="AE196" s="166">
        <f t="shared" si="1184"/>
        <v>4</v>
      </c>
      <c r="AF196" s="166">
        <f t="shared" si="1184"/>
        <v>6</v>
      </c>
      <c r="AG196" s="168">
        <f t="shared" si="1037"/>
        <v>22</v>
      </c>
      <c r="AH196" s="166">
        <f t="shared" ref="AH196:AJ196" si="1185">SUM(AH191:AH195)</f>
        <v>25</v>
      </c>
      <c r="AI196" s="167">
        <f t="shared" si="1185"/>
        <v>18</v>
      </c>
      <c r="AJ196" s="167">
        <f t="shared" si="1185"/>
        <v>27</v>
      </c>
      <c r="AK196" s="168">
        <f t="shared" si="1039"/>
        <v>70</v>
      </c>
      <c r="AL196" s="166"/>
      <c r="AM196" s="166"/>
      <c r="AN196" s="166"/>
      <c r="AO196" s="166"/>
      <c r="AP196" s="169"/>
      <c r="AQ196" s="166"/>
      <c r="AR196" s="167"/>
      <c r="AS196" s="167"/>
      <c r="AT196" s="170"/>
      <c r="AU196" s="166"/>
      <c r="AV196" s="167"/>
      <c r="AW196" s="167"/>
      <c r="AX196" s="171"/>
      <c r="AY196" s="196">
        <f t="shared" ref="AY196:BD196" si="1186">SUM(AY191:AY195)</f>
        <v>2.5</v>
      </c>
      <c r="AZ196" s="196">
        <f t="shared" si="1186"/>
        <v>2.6</v>
      </c>
      <c r="BA196" s="167">
        <f t="shared" si="1186"/>
        <v>0</v>
      </c>
      <c r="BB196" s="167">
        <f t="shared" si="1186"/>
        <v>0</v>
      </c>
      <c r="BC196" s="197">
        <f t="shared" si="1186"/>
        <v>6014.5</v>
      </c>
      <c r="BD196" s="197">
        <f t="shared" si="1186"/>
        <v>6016</v>
      </c>
      <c r="BE196" s="154" t="str">
        <f t="shared" ref="BE196:BF196" si="1187">TEXTJOIN(", ",TRUE,BE191:BE195)</f>
        <v/>
      </c>
      <c r="BF196" s="154" t="str">
        <f t="shared" si="1187"/>
        <v/>
      </c>
    </row>
    <row r="197" ht="15.75" customHeight="1">
      <c r="A197" s="67">
        <f t="shared" si="1027"/>
        <v>46260</v>
      </c>
      <c r="B197" s="202" t="s">
        <v>72</v>
      </c>
      <c r="C197" s="203">
        <f t="shared" ref="C197:AK197" si="1188">SUM(C171+C172+C173+C177,C176,C183,C190,C196)</f>
        <v>41</v>
      </c>
      <c r="D197" s="203">
        <f t="shared" si="1188"/>
        <v>14</v>
      </c>
      <c r="E197" s="203">
        <f t="shared" si="1188"/>
        <v>21</v>
      </c>
      <c r="F197" s="203">
        <f t="shared" si="1188"/>
        <v>27</v>
      </c>
      <c r="G197" s="203">
        <f t="shared" si="1188"/>
        <v>19</v>
      </c>
      <c r="H197" s="203">
        <f t="shared" si="1188"/>
        <v>20</v>
      </c>
      <c r="I197" s="203">
        <f t="shared" si="1188"/>
        <v>20</v>
      </c>
      <c r="J197" s="203">
        <f t="shared" si="1188"/>
        <v>22</v>
      </c>
      <c r="K197" s="203">
        <f t="shared" si="1188"/>
        <v>16</v>
      </c>
      <c r="L197" s="203">
        <f t="shared" si="1188"/>
        <v>25</v>
      </c>
      <c r="M197" s="203">
        <f t="shared" si="1188"/>
        <v>735</v>
      </c>
      <c r="N197" s="203">
        <f t="shared" si="1188"/>
        <v>93</v>
      </c>
      <c r="O197" s="203">
        <f t="shared" si="1188"/>
        <v>112</v>
      </c>
      <c r="P197" s="203">
        <f t="shared" si="1188"/>
        <v>117</v>
      </c>
      <c r="Q197" s="203">
        <f t="shared" si="1188"/>
        <v>99</v>
      </c>
      <c r="R197" s="203">
        <f t="shared" si="1188"/>
        <v>73</v>
      </c>
      <c r="S197" s="203">
        <f t="shared" si="1188"/>
        <v>120</v>
      </c>
      <c r="T197" s="203">
        <f t="shared" si="1188"/>
        <v>121</v>
      </c>
      <c r="U197" s="203">
        <f t="shared" si="1188"/>
        <v>430</v>
      </c>
      <c r="V197" s="203">
        <f t="shared" si="1188"/>
        <v>65</v>
      </c>
      <c r="W197" s="203">
        <f t="shared" si="1188"/>
        <v>21</v>
      </c>
      <c r="X197" s="203">
        <f t="shared" si="1188"/>
        <v>21</v>
      </c>
      <c r="Y197" s="203">
        <f t="shared" si="1188"/>
        <v>23</v>
      </c>
      <c r="Z197" s="203">
        <f t="shared" si="1188"/>
        <v>48</v>
      </c>
      <c r="AA197" s="203">
        <f t="shared" si="1188"/>
        <v>25</v>
      </c>
      <c r="AB197" s="203">
        <f t="shared" si="1188"/>
        <v>23</v>
      </c>
      <c r="AC197" s="204">
        <f t="shared" si="1188"/>
        <v>23</v>
      </c>
      <c r="AD197" s="204">
        <f t="shared" si="1188"/>
        <v>23</v>
      </c>
      <c r="AE197" s="204">
        <f t="shared" si="1188"/>
        <v>21</v>
      </c>
      <c r="AF197" s="204">
        <f t="shared" si="1188"/>
        <v>20</v>
      </c>
      <c r="AG197" s="204">
        <f t="shared" si="1188"/>
        <v>87</v>
      </c>
      <c r="AH197" s="204">
        <f t="shared" si="1188"/>
        <v>123</v>
      </c>
      <c r="AI197" s="204">
        <f t="shared" si="1188"/>
        <v>108</v>
      </c>
      <c r="AJ197" s="204">
        <f t="shared" si="1188"/>
        <v>109</v>
      </c>
      <c r="AK197" s="204">
        <f t="shared" si="1188"/>
        <v>340</v>
      </c>
      <c r="AL197" s="204"/>
      <c r="AM197" s="204"/>
      <c r="AN197" s="204"/>
      <c r="AO197" s="204"/>
      <c r="AP197" s="151"/>
      <c r="AQ197" s="204"/>
      <c r="AR197" s="204"/>
      <c r="AS197" s="204"/>
      <c r="AT197" s="152"/>
      <c r="AU197" s="204"/>
      <c r="AV197" s="204"/>
      <c r="AW197" s="204"/>
      <c r="AX197" s="153"/>
      <c r="AY197" s="205">
        <f t="shared" ref="AY197:BD197" si="1189">SUM(AY171+AY172+AY173+AY177,AY176,AY183,AY190,AY196)</f>
        <v>18.2</v>
      </c>
      <c r="AZ197" s="205">
        <f t="shared" si="1189"/>
        <v>22.7</v>
      </c>
      <c r="BA197" s="206">
        <f t="shared" si="1189"/>
        <v>5</v>
      </c>
      <c r="BB197" s="206">
        <f t="shared" si="1189"/>
        <v>3</v>
      </c>
      <c r="BC197" s="207">
        <f t="shared" si="1189"/>
        <v>26474.3</v>
      </c>
      <c r="BD197" s="207">
        <f t="shared" si="1189"/>
        <v>26479.2</v>
      </c>
      <c r="BE197" s="154" t="str">
        <f t="shared" ref="BE197:BF197" si="1190">TEXTJOIN(", ",TRUE,BE196,BE190,BE183,BE177,BE176,BE173,BE172,BE171)</f>
        <v>Олександівка, Пантелеймонівка, Миколаївка, Курськ, Рильск</v>
      </c>
      <c r="BF197" s="154" t="str">
        <f t="shared" si="1190"/>
        <v>Загреблі, Верхні води, Ступочки</v>
      </c>
    </row>
    <row r="198" ht="15.75" customHeight="1">
      <c r="A198" s="55">
        <f>A197+1</f>
        <v>46261</v>
      </c>
      <c r="B198" s="56"/>
      <c r="C198" s="57"/>
      <c r="D198" s="58"/>
      <c r="E198" s="59"/>
      <c r="F198" s="58"/>
      <c r="G198" s="59"/>
      <c r="H198" s="57"/>
      <c r="I198" s="60"/>
      <c r="J198" s="57"/>
      <c r="K198" s="57"/>
      <c r="L198" s="57"/>
      <c r="M198" s="57"/>
      <c r="N198" s="60"/>
      <c r="O198" s="60"/>
      <c r="P198" s="60"/>
      <c r="Q198" s="60"/>
      <c r="R198" s="60"/>
      <c r="S198" s="60"/>
      <c r="T198" s="60"/>
      <c r="U198" s="57"/>
      <c r="V198" s="58"/>
      <c r="W198" s="61"/>
      <c r="X198" s="61"/>
      <c r="Y198" s="61"/>
      <c r="Z198" s="57"/>
      <c r="AA198" s="60"/>
      <c r="AB198" s="60"/>
      <c r="AC198" s="62"/>
      <c r="AD198" s="62"/>
      <c r="AE198" s="62"/>
      <c r="AF198" s="62"/>
      <c r="AG198" s="62"/>
      <c r="AH198" s="62"/>
      <c r="AI198" s="62"/>
      <c r="AJ198" s="62"/>
      <c r="AK198" s="62"/>
      <c r="AL198" s="62"/>
      <c r="AM198" s="62"/>
      <c r="AN198" s="62"/>
      <c r="AO198" s="62"/>
      <c r="AP198" s="64"/>
      <c r="AQ198" s="62"/>
      <c r="AR198" s="62"/>
      <c r="AS198" s="62"/>
      <c r="AT198" s="65"/>
      <c r="AU198" s="62"/>
      <c r="AV198" s="62"/>
      <c r="AW198" s="62"/>
      <c r="AX198" s="66"/>
      <c r="AY198" s="208"/>
      <c r="AZ198" s="208"/>
      <c r="BA198" s="62"/>
      <c r="BB198" s="62"/>
      <c r="BC198" s="209"/>
      <c r="BD198" s="209"/>
      <c r="BE198" s="62"/>
      <c r="BF198" s="62"/>
    </row>
    <row r="199" ht="15.75" customHeight="1">
      <c r="A199" s="67">
        <f t="shared" ref="A199:A225" si="1197">A198</f>
        <v>46261</v>
      </c>
      <c r="B199" s="70" t="s">
        <v>8</v>
      </c>
      <c r="C199" s="72">
        <f t="shared" ref="C199:C224" si="1198">SUM(D199,F199)</f>
        <v>2</v>
      </c>
      <c r="D199" s="74">
        <f t="shared" ref="D199:L199" si="1191">RANDBETWEEN(0,2)</f>
        <v>2</v>
      </c>
      <c r="E199" s="74">
        <f t="shared" si="1191"/>
        <v>2</v>
      </c>
      <c r="F199" s="74">
        <f t="shared" si="1191"/>
        <v>0</v>
      </c>
      <c r="G199" s="74">
        <f t="shared" si="1191"/>
        <v>1</v>
      </c>
      <c r="H199" s="75">
        <f t="shared" si="1191"/>
        <v>0</v>
      </c>
      <c r="I199" s="76">
        <f t="shared" si="1191"/>
        <v>0</v>
      </c>
      <c r="J199" s="77">
        <f t="shared" si="1191"/>
        <v>1</v>
      </c>
      <c r="K199" s="78">
        <f t="shared" si="1191"/>
        <v>2</v>
      </c>
      <c r="L199" s="78">
        <f t="shared" si="1191"/>
        <v>0</v>
      </c>
      <c r="M199" s="79">
        <f t="shared" ref="M199:M217" si="1200">SUM(N199:T199)</f>
        <v>29</v>
      </c>
      <c r="N199" s="74">
        <f t="shared" ref="N199:T199" si="1192">RANDBETWEEN(0,10)</f>
        <v>3</v>
      </c>
      <c r="O199" s="74">
        <f t="shared" si="1192"/>
        <v>6</v>
      </c>
      <c r="P199" s="74">
        <f t="shared" si="1192"/>
        <v>2</v>
      </c>
      <c r="Q199" s="74">
        <f t="shared" si="1192"/>
        <v>0</v>
      </c>
      <c r="R199" s="74">
        <f t="shared" si="1192"/>
        <v>8</v>
      </c>
      <c r="S199" s="74">
        <f t="shared" si="1192"/>
        <v>9</v>
      </c>
      <c r="T199" s="74">
        <f t="shared" si="1192"/>
        <v>1</v>
      </c>
      <c r="U199" s="81">
        <f t="shared" ref="U199:U200" si="1202">RANDBETWEEN(10,30)</f>
        <v>25</v>
      </c>
      <c r="V199" s="82">
        <f t="shared" ref="V199:V204" si="1203">SUM(W199:Y199)</f>
        <v>5</v>
      </c>
      <c r="W199" s="74">
        <f t="shared" ref="W199:Y199" si="1193">RANDBETWEEN(0,2)</f>
        <v>1</v>
      </c>
      <c r="X199" s="74">
        <f t="shared" si="1193"/>
        <v>2</v>
      </c>
      <c r="Y199" s="74">
        <f t="shared" si="1193"/>
        <v>2</v>
      </c>
      <c r="Z199" s="83">
        <f t="shared" ref="Z199:Z201" si="1205">AA199+AB199</f>
        <v>0</v>
      </c>
      <c r="AA199" s="84">
        <f t="shared" ref="AA199:AF199" si="1194">RANDBETWEEN(0,2)</f>
        <v>0</v>
      </c>
      <c r="AB199" s="84">
        <f t="shared" si="1194"/>
        <v>0</v>
      </c>
      <c r="AC199" s="85">
        <f t="shared" si="1194"/>
        <v>0</v>
      </c>
      <c r="AD199" s="85">
        <f t="shared" si="1194"/>
        <v>2</v>
      </c>
      <c r="AE199" s="85">
        <f t="shared" si="1194"/>
        <v>0</v>
      </c>
      <c r="AF199" s="85">
        <f t="shared" si="1194"/>
        <v>2</v>
      </c>
      <c r="AG199" s="86">
        <f t="shared" ref="AG199:AG224" si="1207">SUM(AC199:AF199)</f>
        <v>4</v>
      </c>
      <c r="AH199" s="87">
        <f t="shared" ref="AH199:AJ199" si="1195">RANDBETWEEN(1,10)</f>
        <v>4</v>
      </c>
      <c r="AI199" s="85">
        <f t="shared" si="1195"/>
        <v>1</v>
      </c>
      <c r="AJ199" s="85">
        <f t="shared" si="1195"/>
        <v>9</v>
      </c>
      <c r="AK199" s="88">
        <f t="shared" ref="AK199:AK224" si="1209">SUM(AH199:AJ199)</f>
        <v>14</v>
      </c>
      <c r="AL199" s="85"/>
      <c r="AM199" s="85"/>
      <c r="AN199" s="85"/>
      <c r="AO199" s="85"/>
      <c r="AP199" s="89"/>
      <c r="AQ199" s="87"/>
      <c r="AR199" s="85"/>
      <c r="AS199" s="85"/>
      <c r="AT199" s="90"/>
      <c r="AU199" s="87"/>
      <c r="AV199" s="85"/>
      <c r="AW199" s="85"/>
      <c r="AX199" s="91"/>
      <c r="AY199" s="92">
        <f t="shared" ref="AY199:AZ199" si="1196">RANDBETWEEN(1,10)/10</f>
        <v>0.8</v>
      </c>
      <c r="AZ199" s="92">
        <f t="shared" si="1196"/>
        <v>0.8</v>
      </c>
      <c r="BA199" s="93">
        <v>0.0</v>
      </c>
      <c r="BB199" s="93">
        <v>0.0</v>
      </c>
      <c r="BC199" s="94">
        <f>SUM(BC171,'ГОЧ'!$AY199)</f>
        <v>1205.3</v>
      </c>
      <c r="BD199" s="94">
        <f>SUM(BD171,'ГОЧ'!$AZ199)</f>
        <v>1206</v>
      </c>
      <c r="BE199" s="85"/>
      <c r="BF199" s="85"/>
    </row>
    <row r="200" ht="15.75" customHeight="1">
      <c r="A200" s="67">
        <f t="shared" si="1197"/>
        <v>46261</v>
      </c>
      <c r="B200" s="95" t="s">
        <v>10</v>
      </c>
      <c r="C200" s="96">
        <f t="shared" si="1198"/>
        <v>3</v>
      </c>
      <c r="D200" s="97">
        <f t="shared" ref="D200:L200" si="1199">RANDBETWEEN(0,2)</f>
        <v>1</v>
      </c>
      <c r="E200" s="97">
        <f t="shared" si="1199"/>
        <v>0</v>
      </c>
      <c r="F200" s="97">
        <f t="shared" si="1199"/>
        <v>2</v>
      </c>
      <c r="G200" s="97">
        <f t="shared" si="1199"/>
        <v>2</v>
      </c>
      <c r="H200" s="98">
        <f t="shared" si="1199"/>
        <v>1</v>
      </c>
      <c r="I200" s="99">
        <f t="shared" si="1199"/>
        <v>1</v>
      </c>
      <c r="J200" s="100">
        <f t="shared" si="1199"/>
        <v>2</v>
      </c>
      <c r="K200" s="101">
        <f t="shared" si="1199"/>
        <v>1</v>
      </c>
      <c r="L200" s="101">
        <f t="shared" si="1199"/>
        <v>0</v>
      </c>
      <c r="M200" s="102">
        <f t="shared" si="1200"/>
        <v>52</v>
      </c>
      <c r="N200" s="97">
        <f t="shared" ref="N200:T200" si="1201">RANDBETWEEN(0,10)</f>
        <v>9</v>
      </c>
      <c r="O200" s="97">
        <f t="shared" si="1201"/>
        <v>9</v>
      </c>
      <c r="P200" s="97">
        <f t="shared" si="1201"/>
        <v>10</v>
      </c>
      <c r="Q200" s="97">
        <f t="shared" si="1201"/>
        <v>9</v>
      </c>
      <c r="R200" s="97">
        <f t="shared" si="1201"/>
        <v>10</v>
      </c>
      <c r="S200" s="97">
        <f t="shared" si="1201"/>
        <v>3</v>
      </c>
      <c r="T200" s="97">
        <f t="shared" si="1201"/>
        <v>2</v>
      </c>
      <c r="U200" s="103">
        <f t="shared" si="1202"/>
        <v>17</v>
      </c>
      <c r="V200" s="104">
        <f t="shared" si="1203"/>
        <v>3</v>
      </c>
      <c r="W200" s="97">
        <f t="shared" ref="W200:Y200" si="1204">RANDBETWEEN(0,2)</f>
        <v>2</v>
      </c>
      <c r="X200" s="97">
        <f t="shared" si="1204"/>
        <v>1</v>
      </c>
      <c r="Y200" s="97">
        <f t="shared" si="1204"/>
        <v>0</v>
      </c>
      <c r="Z200" s="105">
        <f t="shared" si="1205"/>
        <v>1</v>
      </c>
      <c r="AA200" s="106">
        <f t="shared" ref="AA200:AF200" si="1206">RANDBETWEEN(0,2)</f>
        <v>1</v>
      </c>
      <c r="AB200" s="106">
        <f t="shared" si="1206"/>
        <v>0</v>
      </c>
      <c r="AC200" s="107">
        <f t="shared" si="1206"/>
        <v>0</v>
      </c>
      <c r="AD200" s="108">
        <f t="shared" si="1206"/>
        <v>1</v>
      </c>
      <c r="AE200" s="108">
        <f t="shared" si="1206"/>
        <v>2</v>
      </c>
      <c r="AF200" s="108">
        <f t="shared" si="1206"/>
        <v>0</v>
      </c>
      <c r="AG200" s="109">
        <f t="shared" si="1207"/>
        <v>3</v>
      </c>
      <c r="AH200" s="107">
        <f t="shared" ref="AH200:AJ200" si="1208">RANDBETWEEN(1,10)</f>
        <v>1</v>
      </c>
      <c r="AI200" s="108">
        <f t="shared" si="1208"/>
        <v>6</v>
      </c>
      <c r="AJ200" s="108">
        <f t="shared" si="1208"/>
        <v>7</v>
      </c>
      <c r="AK200" s="110">
        <f t="shared" si="1209"/>
        <v>14</v>
      </c>
      <c r="AL200" s="107"/>
      <c r="AM200" s="108"/>
      <c r="AN200" s="108"/>
      <c r="AO200" s="108"/>
      <c r="AP200" s="111"/>
      <c r="AQ200" s="107"/>
      <c r="AR200" s="108"/>
      <c r="AS200" s="108"/>
      <c r="AT200" s="112"/>
      <c r="AU200" s="107"/>
      <c r="AV200" s="108"/>
      <c r="AW200" s="108"/>
      <c r="AX200" s="113"/>
      <c r="AY200" s="92">
        <f t="shared" ref="AY200:AZ200" si="1210">RANDBETWEEN(1,10)/10</f>
        <v>0.7</v>
      </c>
      <c r="AZ200" s="92">
        <f t="shared" si="1210"/>
        <v>0.4</v>
      </c>
      <c r="BA200" s="93">
        <v>0.0</v>
      </c>
      <c r="BB200" s="93">
        <v>0.0</v>
      </c>
      <c r="BC200" s="94">
        <f>SUM(BC172,'ГОЧ'!$AY200)</f>
        <v>1203.6</v>
      </c>
      <c r="BD200" s="94">
        <f>SUM(BD172,'ГОЧ'!$AZ200)</f>
        <v>1203.8</v>
      </c>
      <c r="BE200" s="108"/>
      <c r="BF200" s="108"/>
    </row>
    <row r="201" ht="15.75" customHeight="1">
      <c r="A201" s="67">
        <f t="shared" si="1197"/>
        <v>46261</v>
      </c>
      <c r="B201" s="114" t="s">
        <v>12</v>
      </c>
      <c r="C201" s="115">
        <f t="shared" si="1198"/>
        <v>0</v>
      </c>
      <c r="D201" s="115">
        <v>0.0</v>
      </c>
      <c r="E201" s="116">
        <v>0.0</v>
      </c>
      <c r="F201" s="116">
        <v>0.0</v>
      </c>
      <c r="G201" s="116">
        <v>0.0</v>
      </c>
      <c r="H201" s="115">
        <v>0.0</v>
      </c>
      <c r="I201" s="116">
        <v>0.0</v>
      </c>
      <c r="J201" s="115">
        <v>0.0</v>
      </c>
      <c r="K201" s="116">
        <v>0.0</v>
      </c>
      <c r="L201" s="116">
        <v>0.0</v>
      </c>
      <c r="M201" s="115">
        <f t="shared" si="1200"/>
        <v>0</v>
      </c>
      <c r="N201" s="115">
        <v>0.0</v>
      </c>
      <c r="O201" s="116">
        <v>0.0</v>
      </c>
      <c r="P201" s="116">
        <v>0.0</v>
      </c>
      <c r="Q201" s="116">
        <v>0.0</v>
      </c>
      <c r="R201" s="116">
        <v>0.0</v>
      </c>
      <c r="S201" s="116">
        <v>0.0</v>
      </c>
      <c r="T201" s="116">
        <v>0.0</v>
      </c>
      <c r="U201" s="115">
        <v>0.0</v>
      </c>
      <c r="V201" s="115">
        <f t="shared" si="1203"/>
        <v>0</v>
      </c>
      <c r="W201" s="116">
        <v>0.0</v>
      </c>
      <c r="X201" s="116">
        <v>0.0</v>
      </c>
      <c r="Y201" s="116">
        <v>0.0</v>
      </c>
      <c r="Z201" s="116">
        <f t="shared" si="1205"/>
        <v>0</v>
      </c>
      <c r="AA201" s="116">
        <v>0.0</v>
      </c>
      <c r="AB201" s="116">
        <v>0.0</v>
      </c>
      <c r="AC201" s="117">
        <v>0.0</v>
      </c>
      <c r="AD201" s="118">
        <v>0.0</v>
      </c>
      <c r="AE201" s="118">
        <v>0.0</v>
      </c>
      <c r="AF201" s="118">
        <v>0.0</v>
      </c>
      <c r="AG201" s="119">
        <f t="shared" si="1207"/>
        <v>0</v>
      </c>
      <c r="AH201" s="117">
        <v>0.0</v>
      </c>
      <c r="AI201" s="118">
        <v>0.0</v>
      </c>
      <c r="AJ201" s="118">
        <v>0.0</v>
      </c>
      <c r="AK201" s="119">
        <f t="shared" si="1209"/>
        <v>0</v>
      </c>
      <c r="AL201" s="117"/>
      <c r="AM201" s="118"/>
      <c r="AN201" s="118"/>
      <c r="AO201" s="118"/>
      <c r="AP201" s="111"/>
      <c r="AQ201" s="117"/>
      <c r="AR201" s="118"/>
      <c r="AS201" s="118"/>
      <c r="AT201" s="120"/>
      <c r="AU201" s="117"/>
      <c r="AV201" s="118"/>
      <c r="AW201" s="118"/>
      <c r="AX201" s="121"/>
      <c r="AY201" s="122">
        <f t="shared" ref="AY201:BD201" si="1211">SUM(AY199:AY200)</f>
        <v>1.5</v>
      </c>
      <c r="AZ201" s="122">
        <f t="shared" si="1211"/>
        <v>1.2</v>
      </c>
      <c r="BA201" s="118">
        <f t="shared" si="1211"/>
        <v>0</v>
      </c>
      <c r="BB201" s="118">
        <f t="shared" si="1211"/>
        <v>0</v>
      </c>
      <c r="BC201" s="123">
        <f t="shared" si="1211"/>
        <v>2408.9</v>
      </c>
      <c r="BD201" s="123">
        <f t="shared" si="1211"/>
        <v>2409.8</v>
      </c>
      <c r="BE201" s="118"/>
      <c r="BF201" s="118"/>
    </row>
    <row r="202" ht="15.75" customHeight="1">
      <c r="A202" s="67">
        <f t="shared" si="1197"/>
        <v>46261</v>
      </c>
      <c r="B202" s="124" t="s">
        <v>14</v>
      </c>
      <c r="C202" s="96">
        <f t="shared" si="1198"/>
        <v>0</v>
      </c>
      <c r="D202" s="125">
        <f t="shared" ref="D202:L202" si="1212">RANDBETWEEN(0,2)</f>
        <v>0</v>
      </c>
      <c r="E202" s="125">
        <f t="shared" si="1212"/>
        <v>2</v>
      </c>
      <c r="F202" s="125">
        <f t="shared" si="1212"/>
        <v>0</v>
      </c>
      <c r="G202" s="125">
        <f t="shared" si="1212"/>
        <v>1</v>
      </c>
      <c r="H202" s="126">
        <f t="shared" si="1212"/>
        <v>0</v>
      </c>
      <c r="I202" s="127">
        <f t="shared" si="1212"/>
        <v>1</v>
      </c>
      <c r="J202" s="128">
        <f t="shared" si="1212"/>
        <v>2</v>
      </c>
      <c r="K202" s="130">
        <f t="shared" si="1212"/>
        <v>2</v>
      </c>
      <c r="L202" s="130">
        <f t="shared" si="1212"/>
        <v>1</v>
      </c>
      <c r="M202" s="102">
        <f t="shared" si="1200"/>
        <v>37</v>
      </c>
      <c r="N202" s="125">
        <f t="shared" ref="N202:T202" si="1213">RANDBETWEEN(0,10)</f>
        <v>8</v>
      </c>
      <c r="O202" s="125">
        <f t="shared" si="1213"/>
        <v>5</v>
      </c>
      <c r="P202" s="125">
        <f t="shared" si="1213"/>
        <v>1</v>
      </c>
      <c r="Q202" s="125">
        <f t="shared" si="1213"/>
        <v>3</v>
      </c>
      <c r="R202" s="125">
        <f t="shared" si="1213"/>
        <v>1</v>
      </c>
      <c r="S202" s="125">
        <f t="shared" si="1213"/>
        <v>9</v>
      </c>
      <c r="T202" s="125">
        <f t="shared" si="1213"/>
        <v>10</v>
      </c>
      <c r="U202" s="103">
        <f t="shared" ref="U202:U203" si="1220">RANDBETWEEN(10,30)</f>
        <v>17</v>
      </c>
      <c r="V202" s="131">
        <f t="shared" si="1203"/>
        <v>4</v>
      </c>
      <c r="W202" s="125">
        <f t="shared" ref="W202:Y202" si="1214">RANDBETWEEN(0,2)</f>
        <v>2</v>
      </c>
      <c r="X202" s="125">
        <f t="shared" si="1214"/>
        <v>0</v>
      </c>
      <c r="Y202" s="125">
        <f t="shared" si="1214"/>
        <v>2</v>
      </c>
      <c r="Z202" s="132">
        <f t="shared" ref="Z202:Z205" si="1222">SUM(AA202:AB202)</f>
        <v>0</v>
      </c>
      <c r="AA202" s="133">
        <f t="shared" ref="AA202:AF202" si="1215">RANDBETWEEN(0,2)</f>
        <v>0</v>
      </c>
      <c r="AB202" s="133">
        <f t="shared" si="1215"/>
        <v>0</v>
      </c>
      <c r="AC202" s="134">
        <f t="shared" si="1215"/>
        <v>2</v>
      </c>
      <c r="AD202" s="134">
        <f t="shared" si="1215"/>
        <v>1</v>
      </c>
      <c r="AE202" s="134">
        <f t="shared" si="1215"/>
        <v>0</v>
      </c>
      <c r="AF202" s="134">
        <f t="shared" si="1215"/>
        <v>2</v>
      </c>
      <c r="AG202" s="135">
        <f t="shared" si="1207"/>
        <v>5</v>
      </c>
      <c r="AH202" s="136">
        <f t="shared" ref="AH202:AJ202" si="1216">RANDBETWEEN(1,10)</f>
        <v>6</v>
      </c>
      <c r="AI202" s="134">
        <f t="shared" si="1216"/>
        <v>10</v>
      </c>
      <c r="AJ202" s="134">
        <f t="shared" si="1216"/>
        <v>10</v>
      </c>
      <c r="AK202" s="137">
        <f t="shared" si="1209"/>
        <v>26</v>
      </c>
      <c r="AL202" s="134"/>
      <c r="AM202" s="134"/>
      <c r="AN202" s="134"/>
      <c r="AO202" s="134"/>
      <c r="AP202" s="111"/>
      <c r="AQ202" s="136"/>
      <c r="AR202" s="134"/>
      <c r="AS202" s="134"/>
      <c r="AT202" s="120"/>
      <c r="AU202" s="136"/>
      <c r="AV202" s="134"/>
      <c r="AW202" s="134"/>
      <c r="AX202" s="121"/>
      <c r="AY202" s="92">
        <f t="shared" ref="AY202:AZ202" si="1217">RANDBETWEEN(1,10)/10</f>
        <v>0.2</v>
      </c>
      <c r="AZ202" s="92">
        <f t="shared" si="1217"/>
        <v>0.1</v>
      </c>
      <c r="BA202" s="93">
        <v>0.0</v>
      </c>
      <c r="BB202" s="93">
        <v>0.0</v>
      </c>
      <c r="BC202" s="94">
        <f>SUM(BC174,'ГОЧ'!$AY202)</f>
        <v>1203</v>
      </c>
      <c r="BD202" s="94">
        <f>SUM(BD174,'ГОЧ'!$AZ202)</f>
        <v>1203.5</v>
      </c>
      <c r="BE202" s="108"/>
      <c r="BF202" s="108"/>
    </row>
    <row r="203" ht="15.75" customHeight="1">
      <c r="A203" s="67">
        <f t="shared" si="1197"/>
        <v>46261</v>
      </c>
      <c r="B203" s="138" t="s">
        <v>16</v>
      </c>
      <c r="C203" s="139">
        <f t="shared" si="1198"/>
        <v>0</v>
      </c>
      <c r="D203" s="97">
        <f t="shared" ref="D203:L203" si="1218">RANDBETWEEN(0,2)</f>
        <v>0</v>
      </c>
      <c r="E203" s="97">
        <f t="shared" si="1218"/>
        <v>0</v>
      </c>
      <c r="F203" s="97">
        <f t="shared" si="1218"/>
        <v>0</v>
      </c>
      <c r="G203" s="97">
        <f t="shared" si="1218"/>
        <v>2</v>
      </c>
      <c r="H203" s="98">
        <f t="shared" si="1218"/>
        <v>0</v>
      </c>
      <c r="I203" s="99">
        <f t="shared" si="1218"/>
        <v>2</v>
      </c>
      <c r="J203" s="100">
        <f t="shared" si="1218"/>
        <v>1</v>
      </c>
      <c r="K203" s="101">
        <f t="shared" si="1218"/>
        <v>2</v>
      </c>
      <c r="L203" s="101">
        <f t="shared" si="1218"/>
        <v>1</v>
      </c>
      <c r="M203" s="140">
        <f t="shared" si="1200"/>
        <v>45</v>
      </c>
      <c r="N203" s="97">
        <f t="shared" ref="N203:T203" si="1219">RANDBETWEEN(0,10)</f>
        <v>4</v>
      </c>
      <c r="O203" s="97">
        <f t="shared" si="1219"/>
        <v>6</v>
      </c>
      <c r="P203" s="97">
        <f t="shared" si="1219"/>
        <v>9</v>
      </c>
      <c r="Q203" s="97">
        <f t="shared" si="1219"/>
        <v>8</v>
      </c>
      <c r="R203" s="97">
        <f t="shared" si="1219"/>
        <v>0</v>
      </c>
      <c r="S203" s="97">
        <f t="shared" si="1219"/>
        <v>9</v>
      </c>
      <c r="T203" s="97">
        <f t="shared" si="1219"/>
        <v>9</v>
      </c>
      <c r="U203" s="103">
        <f t="shared" si="1220"/>
        <v>27</v>
      </c>
      <c r="V203" s="141">
        <f t="shared" si="1203"/>
        <v>2</v>
      </c>
      <c r="W203" s="97">
        <f t="shared" ref="W203:Y203" si="1221">RANDBETWEEN(0,2)</f>
        <v>2</v>
      </c>
      <c r="X203" s="97">
        <f t="shared" si="1221"/>
        <v>0</v>
      </c>
      <c r="Y203" s="97">
        <f t="shared" si="1221"/>
        <v>0</v>
      </c>
      <c r="Z203" s="142">
        <f t="shared" si="1222"/>
        <v>2</v>
      </c>
      <c r="AA203" s="143">
        <f t="shared" ref="AA203:AF203" si="1223">RANDBETWEEN(0,2)</f>
        <v>0</v>
      </c>
      <c r="AB203" s="143">
        <f t="shared" si="1223"/>
        <v>2</v>
      </c>
      <c r="AC203" s="144">
        <f t="shared" si="1223"/>
        <v>2</v>
      </c>
      <c r="AD203" s="145">
        <f t="shared" si="1223"/>
        <v>2</v>
      </c>
      <c r="AE203" s="145">
        <f t="shared" si="1223"/>
        <v>2</v>
      </c>
      <c r="AF203" s="145">
        <f t="shared" si="1223"/>
        <v>1</v>
      </c>
      <c r="AG203" s="146">
        <f t="shared" si="1207"/>
        <v>7</v>
      </c>
      <c r="AH203" s="144">
        <f t="shared" ref="AH203:AJ203" si="1224">RANDBETWEEN(1,10)</f>
        <v>10</v>
      </c>
      <c r="AI203" s="145">
        <f t="shared" si="1224"/>
        <v>1</v>
      </c>
      <c r="AJ203" s="145">
        <f t="shared" si="1224"/>
        <v>8</v>
      </c>
      <c r="AK203" s="147">
        <f t="shared" si="1209"/>
        <v>19</v>
      </c>
      <c r="AL203" s="144"/>
      <c r="AM203" s="145"/>
      <c r="AN203" s="145"/>
      <c r="AO203" s="145"/>
      <c r="AP203" s="148"/>
      <c r="AQ203" s="144"/>
      <c r="AR203" s="145"/>
      <c r="AS203" s="145"/>
      <c r="AT203" s="149"/>
      <c r="AU203" s="144"/>
      <c r="AV203" s="145"/>
      <c r="AW203" s="145"/>
      <c r="AX203" s="150"/>
      <c r="AY203" s="92">
        <f t="shared" ref="AY203:AZ203" si="1225">RANDBETWEEN(1,10)/10</f>
        <v>0.4</v>
      </c>
      <c r="AZ203" s="92">
        <f t="shared" si="1225"/>
        <v>0.7</v>
      </c>
      <c r="BA203" s="93">
        <v>0.0</v>
      </c>
      <c r="BB203" s="93">
        <v>0.0</v>
      </c>
      <c r="BC203" s="94">
        <f>SUM(BC175,'ГОЧ'!$AY203)</f>
        <v>1203.3</v>
      </c>
      <c r="BD203" s="94">
        <f>SUM(BD175,'ГОЧ'!$AZ203)</f>
        <v>1204</v>
      </c>
      <c r="BE203" s="108"/>
      <c r="BF203" s="108"/>
    </row>
    <row r="204" ht="15.75" customHeight="1">
      <c r="A204" s="67">
        <f t="shared" si="1197"/>
        <v>46261</v>
      </c>
      <c r="B204" s="114" t="s">
        <v>18</v>
      </c>
      <c r="C204" s="115">
        <f t="shared" si="1198"/>
        <v>0</v>
      </c>
      <c r="D204" s="115">
        <f t="shared" ref="D204:L204" si="1226">SUM(D202:D203)</f>
        <v>0</v>
      </c>
      <c r="E204" s="116">
        <f t="shared" si="1226"/>
        <v>2</v>
      </c>
      <c r="F204" s="116">
        <f t="shared" si="1226"/>
        <v>0</v>
      </c>
      <c r="G204" s="116">
        <f t="shared" si="1226"/>
        <v>3</v>
      </c>
      <c r="H204" s="115">
        <f t="shared" si="1226"/>
        <v>0</v>
      </c>
      <c r="I204" s="116">
        <f t="shared" si="1226"/>
        <v>3</v>
      </c>
      <c r="J204" s="115">
        <f t="shared" si="1226"/>
        <v>3</v>
      </c>
      <c r="K204" s="116">
        <f t="shared" si="1226"/>
        <v>4</v>
      </c>
      <c r="L204" s="116">
        <f t="shared" si="1226"/>
        <v>2</v>
      </c>
      <c r="M204" s="115">
        <f t="shared" si="1200"/>
        <v>81</v>
      </c>
      <c r="N204" s="115">
        <f t="shared" ref="N204:Q204" si="1227">SUM(N202:N203)</f>
        <v>12</v>
      </c>
      <c r="O204" s="116">
        <f t="shared" si="1227"/>
        <v>11</v>
      </c>
      <c r="P204" s="116">
        <f t="shared" si="1227"/>
        <v>10</v>
      </c>
      <c r="Q204" s="116">
        <f t="shared" si="1227"/>
        <v>11</v>
      </c>
      <c r="R204" s="116">
        <v>0.0</v>
      </c>
      <c r="S204" s="116">
        <f t="shared" ref="S204:U204" si="1228">SUM(S202:S203)</f>
        <v>18</v>
      </c>
      <c r="T204" s="116">
        <f t="shared" si="1228"/>
        <v>19</v>
      </c>
      <c r="U204" s="115">
        <f t="shared" si="1228"/>
        <v>44</v>
      </c>
      <c r="V204" s="115">
        <f t="shared" si="1203"/>
        <v>6</v>
      </c>
      <c r="W204" s="116">
        <f t="shared" ref="W204:Y204" si="1229">SUM(W202:W203)</f>
        <v>4</v>
      </c>
      <c r="X204" s="116">
        <f t="shared" si="1229"/>
        <v>0</v>
      </c>
      <c r="Y204" s="116">
        <f t="shared" si="1229"/>
        <v>2</v>
      </c>
      <c r="Z204" s="116">
        <f t="shared" si="1222"/>
        <v>2</v>
      </c>
      <c r="AA204" s="116">
        <f t="shared" ref="AA204:AF204" si="1230">SUM(AA202:AA203)</f>
        <v>0</v>
      </c>
      <c r="AB204" s="116">
        <f t="shared" si="1230"/>
        <v>2</v>
      </c>
      <c r="AC204" s="118">
        <f t="shared" si="1230"/>
        <v>4</v>
      </c>
      <c r="AD204" s="118">
        <f t="shared" si="1230"/>
        <v>3</v>
      </c>
      <c r="AE204" s="118">
        <f t="shared" si="1230"/>
        <v>2</v>
      </c>
      <c r="AF204" s="118">
        <f t="shared" si="1230"/>
        <v>3</v>
      </c>
      <c r="AG204" s="117">
        <f t="shared" si="1207"/>
        <v>12</v>
      </c>
      <c r="AH204" s="117">
        <f t="shared" ref="AH204:AJ204" si="1231">SUM(AH202:AH203)</f>
        <v>16</v>
      </c>
      <c r="AI204" s="118">
        <f t="shared" si="1231"/>
        <v>11</v>
      </c>
      <c r="AJ204" s="118">
        <f t="shared" si="1231"/>
        <v>18</v>
      </c>
      <c r="AK204" s="117">
        <f t="shared" si="1209"/>
        <v>45</v>
      </c>
      <c r="AL204" s="118"/>
      <c r="AM204" s="118"/>
      <c r="AN204" s="118"/>
      <c r="AO204" s="118"/>
      <c r="AP204" s="151"/>
      <c r="AQ204" s="117"/>
      <c r="AR204" s="118"/>
      <c r="AS204" s="118"/>
      <c r="AT204" s="152"/>
      <c r="AU204" s="117"/>
      <c r="AV204" s="118"/>
      <c r="AW204" s="118"/>
      <c r="AX204" s="153"/>
      <c r="AY204" s="122">
        <f t="shared" ref="AY204:BD204" si="1232">SUM(AY202:AY203)</f>
        <v>0.6</v>
      </c>
      <c r="AZ204" s="122">
        <f t="shared" si="1232"/>
        <v>0.8</v>
      </c>
      <c r="BA204" s="118">
        <f t="shared" si="1232"/>
        <v>0</v>
      </c>
      <c r="BB204" s="118">
        <f t="shared" si="1232"/>
        <v>0</v>
      </c>
      <c r="BC204" s="123">
        <f t="shared" si="1232"/>
        <v>2406.3</v>
      </c>
      <c r="BD204" s="123">
        <f t="shared" si="1232"/>
        <v>2407.5</v>
      </c>
      <c r="BE204" s="154" t="str">
        <f t="shared" ref="BE204:BF204" si="1233">TEXTJOIN(", ",TRUE,BE202:BE203)</f>
        <v/>
      </c>
      <c r="BF204" s="154" t="str">
        <f t="shared" si="1233"/>
        <v/>
      </c>
    </row>
    <row r="205" ht="15.75" customHeight="1">
      <c r="A205" s="67">
        <f t="shared" si="1197"/>
        <v>46261</v>
      </c>
      <c r="B205" s="114" t="s">
        <v>20</v>
      </c>
      <c r="C205" s="115">
        <f t="shared" si="1198"/>
        <v>5</v>
      </c>
      <c r="D205" s="115">
        <v>3.0</v>
      </c>
      <c r="E205" s="116">
        <v>0.0</v>
      </c>
      <c r="F205" s="116">
        <v>2.0</v>
      </c>
      <c r="G205" s="116">
        <v>2.0</v>
      </c>
      <c r="H205" s="115">
        <v>0.0</v>
      </c>
      <c r="I205" s="116">
        <v>0.0</v>
      </c>
      <c r="J205" s="115">
        <v>1.0</v>
      </c>
      <c r="K205" s="116">
        <v>1.0</v>
      </c>
      <c r="L205" s="116">
        <v>0.0</v>
      </c>
      <c r="M205" s="115">
        <f t="shared" si="1200"/>
        <v>38</v>
      </c>
      <c r="N205" s="115">
        <v>0.0</v>
      </c>
      <c r="O205" s="116">
        <v>0.0</v>
      </c>
      <c r="P205" s="116">
        <v>0.0</v>
      </c>
      <c r="Q205" s="116">
        <v>9.0</v>
      </c>
      <c r="R205" s="116">
        <v>0.0</v>
      </c>
      <c r="S205" s="116">
        <v>0.0</v>
      </c>
      <c r="T205" s="116">
        <v>29.0</v>
      </c>
      <c r="U205" s="115">
        <v>7.0</v>
      </c>
      <c r="V205" s="115">
        <f t="shared" ref="V205:V224" si="1237">W205+X205+Y205</f>
        <v>0</v>
      </c>
      <c r="W205" s="116">
        <v>0.0</v>
      </c>
      <c r="X205" s="116">
        <v>0.0</v>
      </c>
      <c r="Y205" s="116">
        <v>0.0</v>
      </c>
      <c r="Z205" s="116">
        <f t="shared" si="1222"/>
        <v>0</v>
      </c>
      <c r="AA205" s="116">
        <v>0.0</v>
      </c>
      <c r="AB205" s="116">
        <v>0.0</v>
      </c>
      <c r="AC205" s="117">
        <v>0.0</v>
      </c>
      <c r="AD205" s="118">
        <v>1.0</v>
      </c>
      <c r="AE205" s="118">
        <v>0.0</v>
      </c>
      <c r="AF205" s="118">
        <v>0.0</v>
      </c>
      <c r="AG205" s="119">
        <f t="shared" si="1207"/>
        <v>1</v>
      </c>
      <c r="AH205" s="117">
        <v>6.0</v>
      </c>
      <c r="AI205" s="118">
        <v>5.0</v>
      </c>
      <c r="AJ205" s="118">
        <v>0.0</v>
      </c>
      <c r="AK205" s="119">
        <f t="shared" si="1209"/>
        <v>11</v>
      </c>
      <c r="AL205" s="117"/>
      <c r="AM205" s="118"/>
      <c r="AN205" s="118"/>
      <c r="AO205" s="118"/>
      <c r="AP205" s="111"/>
      <c r="AQ205" s="117"/>
      <c r="AR205" s="118"/>
      <c r="AS205" s="118"/>
      <c r="AT205" s="120"/>
      <c r="AU205" s="117"/>
      <c r="AV205" s="118"/>
      <c r="AW205" s="118"/>
      <c r="AX205" s="121"/>
      <c r="AY205" s="122">
        <f t="shared" ref="AY205:AZ205" si="1234">RANDBETWEEN(1,10)</f>
        <v>10</v>
      </c>
      <c r="AZ205" s="122">
        <f t="shared" si="1234"/>
        <v>5</v>
      </c>
      <c r="BA205" s="118">
        <v>2.0</v>
      </c>
      <c r="BB205" s="118">
        <v>0.0</v>
      </c>
      <c r="BC205" s="123">
        <v>1.0</v>
      </c>
      <c r="BD205" s="123">
        <v>2.0</v>
      </c>
      <c r="BE205" s="118" t="s">
        <v>157</v>
      </c>
      <c r="BF205" s="118"/>
    </row>
    <row r="206" ht="15.75" customHeight="1">
      <c r="A206" s="67">
        <f t="shared" si="1197"/>
        <v>46261</v>
      </c>
      <c r="B206" s="124" t="s">
        <v>21</v>
      </c>
      <c r="C206" s="155">
        <f t="shared" si="1198"/>
        <v>3</v>
      </c>
      <c r="D206" s="125">
        <f t="shared" ref="D206:L206" si="1235">RANDBETWEEN(0,2)</f>
        <v>1</v>
      </c>
      <c r="E206" s="125">
        <f t="shared" si="1235"/>
        <v>2</v>
      </c>
      <c r="F206" s="125">
        <f t="shared" si="1235"/>
        <v>2</v>
      </c>
      <c r="G206" s="125">
        <f t="shared" si="1235"/>
        <v>1</v>
      </c>
      <c r="H206" s="126">
        <f t="shared" si="1235"/>
        <v>2</v>
      </c>
      <c r="I206" s="127">
        <f t="shared" si="1235"/>
        <v>0</v>
      </c>
      <c r="J206" s="128">
        <f t="shared" si="1235"/>
        <v>1</v>
      </c>
      <c r="K206" s="130">
        <f t="shared" si="1235"/>
        <v>0</v>
      </c>
      <c r="L206" s="130">
        <f t="shared" si="1235"/>
        <v>2</v>
      </c>
      <c r="M206" s="102">
        <f t="shared" si="1200"/>
        <v>42</v>
      </c>
      <c r="N206" s="125">
        <f t="shared" ref="N206:T206" si="1236">RANDBETWEEN(0,10)</f>
        <v>7</v>
      </c>
      <c r="O206" s="125">
        <f t="shared" si="1236"/>
        <v>0</v>
      </c>
      <c r="P206" s="125">
        <f t="shared" si="1236"/>
        <v>7</v>
      </c>
      <c r="Q206" s="125">
        <f t="shared" si="1236"/>
        <v>10</v>
      </c>
      <c r="R206" s="125">
        <f t="shared" si="1236"/>
        <v>4</v>
      </c>
      <c r="S206" s="125">
        <f t="shared" si="1236"/>
        <v>9</v>
      </c>
      <c r="T206" s="125">
        <f t="shared" si="1236"/>
        <v>5</v>
      </c>
      <c r="U206" s="103">
        <f t="shared" ref="U206:U210" si="1244">RANDBETWEEN(10,30)</f>
        <v>23</v>
      </c>
      <c r="V206" s="104">
        <f t="shared" si="1237"/>
        <v>2</v>
      </c>
      <c r="W206" s="125">
        <f t="shared" ref="W206:Y206" si="1238">RANDBETWEEN(0,2)</f>
        <v>0</v>
      </c>
      <c r="X206" s="125">
        <f t="shared" si="1238"/>
        <v>1</v>
      </c>
      <c r="Y206" s="125">
        <f t="shared" si="1238"/>
        <v>1</v>
      </c>
      <c r="Z206" s="105">
        <f t="shared" ref="Z206:Z223" si="1246">AA206+AB206</f>
        <v>4</v>
      </c>
      <c r="AA206" s="133">
        <f t="shared" ref="AA206:AF206" si="1239">RANDBETWEEN(0,2)</f>
        <v>2</v>
      </c>
      <c r="AB206" s="133">
        <f t="shared" si="1239"/>
        <v>2</v>
      </c>
      <c r="AC206" s="136">
        <f t="shared" si="1239"/>
        <v>1</v>
      </c>
      <c r="AD206" s="134">
        <f t="shared" si="1239"/>
        <v>1</v>
      </c>
      <c r="AE206" s="134">
        <f t="shared" si="1239"/>
        <v>2</v>
      </c>
      <c r="AF206" s="134">
        <f t="shared" si="1239"/>
        <v>0</v>
      </c>
      <c r="AG206" s="156">
        <f t="shared" si="1207"/>
        <v>4</v>
      </c>
      <c r="AH206" s="136">
        <f t="shared" ref="AH206:AJ206" si="1240">RANDBETWEEN(1,10)</f>
        <v>5</v>
      </c>
      <c r="AI206" s="134">
        <f t="shared" si="1240"/>
        <v>1</v>
      </c>
      <c r="AJ206" s="134">
        <f t="shared" si="1240"/>
        <v>2</v>
      </c>
      <c r="AK206" s="137">
        <f t="shared" si="1209"/>
        <v>8</v>
      </c>
      <c r="AL206" s="136"/>
      <c r="AM206" s="134"/>
      <c r="AN206" s="134"/>
      <c r="AO206" s="134"/>
      <c r="AP206" s="111"/>
      <c r="AQ206" s="136"/>
      <c r="AR206" s="134"/>
      <c r="AS206" s="134"/>
      <c r="AT206" s="120"/>
      <c r="AU206" s="136"/>
      <c r="AV206" s="134"/>
      <c r="AW206" s="134"/>
      <c r="AX206" s="121"/>
      <c r="AY206" s="92">
        <f t="shared" ref="AY206:AZ206" si="1241">RANDBETWEEN(1,10)/10</f>
        <v>0.9</v>
      </c>
      <c r="AZ206" s="92">
        <f t="shared" si="1241"/>
        <v>0.4</v>
      </c>
      <c r="BA206" s="93">
        <v>1.0</v>
      </c>
      <c r="BB206" s="93">
        <v>0.0</v>
      </c>
      <c r="BC206" s="94">
        <f>SUM(BC178,'ГОЧ'!$AY206)</f>
        <v>1204.8</v>
      </c>
      <c r="BD206" s="94">
        <f>SUM(BD178,'ГОЧ'!$AZ206)</f>
        <v>1203.2</v>
      </c>
      <c r="BE206" s="108" t="s">
        <v>162</v>
      </c>
      <c r="BF206" s="108"/>
    </row>
    <row r="207" ht="15.75" customHeight="1">
      <c r="A207" s="67">
        <f t="shared" si="1197"/>
        <v>46261</v>
      </c>
      <c r="B207" s="138" t="s">
        <v>23</v>
      </c>
      <c r="C207" s="157">
        <f t="shared" si="1198"/>
        <v>3</v>
      </c>
      <c r="D207" s="97">
        <f t="shared" ref="D207:L207" si="1242">RANDBETWEEN(0,2)</f>
        <v>2</v>
      </c>
      <c r="E207" s="97">
        <f t="shared" si="1242"/>
        <v>2</v>
      </c>
      <c r="F207" s="97">
        <f t="shared" si="1242"/>
        <v>1</v>
      </c>
      <c r="G207" s="97">
        <f t="shared" si="1242"/>
        <v>0</v>
      </c>
      <c r="H207" s="98">
        <f t="shared" si="1242"/>
        <v>1</v>
      </c>
      <c r="I207" s="99">
        <f t="shared" si="1242"/>
        <v>1</v>
      </c>
      <c r="J207" s="100">
        <f t="shared" si="1242"/>
        <v>0</v>
      </c>
      <c r="K207" s="101">
        <f t="shared" si="1242"/>
        <v>1</v>
      </c>
      <c r="L207" s="101">
        <f t="shared" si="1242"/>
        <v>1</v>
      </c>
      <c r="M207" s="140">
        <f t="shared" si="1200"/>
        <v>36</v>
      </c>
      <c r="N207" s="97">
        <f t="shared" ref="N207:T207" si="1243">RANDBETWEEN(0,10)</f>
        <v>8</v>
      </c>
      <c r="O207" s="97">
        <f t="shared" si="1243"/>
        <v>8</v>
      </c>
      <c r="P207" s="97">
        <f t="shared" si="1243"/>
        <v>1</v>
      </c>
      <c r="Q207" s="97">
        <f t="shared" si="1243"/>
        <v>9</v>
      </c>
      <c r="R207" s="97">
        <f t="shared" si="1243"/>
        <v>2</v>
      </c>
      <c r="S207" s="97">
        <f t="shared" si="1243"/>
        <v>7</v>
      </c>
      <c r="T207" s="97">
        <f t="shared" si="1243"/>
        <v>1</v>
      </c>
      <c r="U207" s="103">
        <f t="shared" si="1244"/>
        <v>22</v>
      </c>
      <c r="V207" s="158">
        <f t="shared" si="1237"/>
        <v>4</v>
      </c>
      <c r="W207" s="97">
        <f t="shared" ref="W207:Y207" si="1245">RANDBETWEEN(0,2)</f>
        <v>2</v>
      </c>
      <c r="X207" s="97">
        <f t="shared" si="1245"/>
        <v>1</v>
      </c>
      <c r="Y207" s="97">
        <f t="shared" si="1245"/>
        <v>1</v>
      </c>
      <c r="Z207" s="159">
        <f t="shared" si="1246"/>
        <v>0</v>
      </c>
      <c r="AA207" s="143">
        <f t="shared" ref="AA207:AF207" si="1247">RANDBETWEEN(0,2)</f>
        <v>0</v>
      </c>
      <c r="AB207" s="143">
        <f t="shared" si="1247"/>
        <v>0</v>
      </c>
      <c r="AC207" s="144">
        <f t="shared" si="1247"/>
        <v>1</v>
      </c>
      <c r="AD207" s="145">
        <f t="shared" si="1247"/>
        <v>1</v>
      </c>
      <c r="AE207" s="145">
        <f t="shared" si="1247"/>
        <v>0</v>
      </c>
      <c r="AF207" s="145">
        <f t="shared" si="1247"/>
        <v>1</v>
      </c>
      <c r="AG207" s="160">
        <f t="shared" si="1207"/>
        <v>3</v>
      </c>
      <c r="AH207" s="144">
        <f t="shared" ref="AH207:AJ207" si="1248">RANDBETWEEN(1,10)</f>
        <v>1</v>
      </c>
      <c r="AI207" s="145">
        <f t="shared" si="1248"/>
        <v>2</v>
      </c>
      <c r="AJ207" s="145">
        <f t="shared" si="1248"/>
        <v>1</v>
      </c>
      <c r="AK207" s="147">
        <f t="shared" si="1209"/>
        <v>4</v>
      </c>
      <c r="AL207" s="144"/>
      <c r="AM207" s="145"/>
      <c r="AN207" s="145"/>
      <c r="AO207" s="145"/>
      <c r="AP207" s="148"/>
      <c r="AQ207" s="144"/>
      <c r="AR207" s="145"/>
      <c r="AS207" s="145"/>
      <c r="AT207" s="149"/>
      <c r="AU207" s="144"/>
      <c r="AV207" s="145"/>
      <c r="AW207" s="145"/>
      <c r="AX207" s="150"/>
      <c r="AY207" s="92">
        <f t="shared" ref="AY207:AZ207" si="1249">RANDBETWEEN(1,10)/10</f>
        <v>0.9</v>
      </c>
      <c r="AZ207" s="92">
        <f t="shared" si="1249"/>
        <v>0.3</v>
      </c>
      <c r="BA207" s="93">
        <v>1.0</v>
      </c>
      <c r="BB207" s="93">
        <v>2.0</v>
      </c>
      <c r="BC207" s="94">
        <f>SUM(BC179,'ГОЧ'!$AY207)</f>
        <v>1205.3</v>
      </c>
      <c r="BD207" s="94">
        <f>SUM(BD179,'ГОЧ'!$AZ207)</f>
        <v>1203.9</v>
      </c>
      <c r="BE207" s="108" t="s">
        <v>165</v>
      </c>
      <c r="BF207" s="108" t="s">
        <v>166</v>
      </c>
    </row>
    <row r="208" ht="15.75" customHeight="1">
      <c r="A208" s="67">
        <f t="shared" si="1197"/>
        <v>46261</v>
      </c>
      <c r="B208" s="138" t="s">
        <v>25</v>
      </c>
      <c r="C208" s="157">
        <f t="shared" si="1198"/>
        <v>2</v>
      </c>
      <c r="D208" s="97">
        <f t="shared" ref="D208:L208" si="1250">RANDBETWEEN(0,2)</f>
        <v>0</v>
      </c>
      <c r="E208" s="97">
        <f t="shared" si="1250"/>
        <v>2</v>
      </c>
      <c r="F208" s="97">
        <f t="shared" si="1250"/>
        <v>2</v>
      </c>
      <c r="G208" s="97">
        <f t="shared" si="1250"/>
        <v>0</v>
      </c>
      <c r="H208" s="98">
        <f t="shared" si="1250"/>
        <v>1</v>
      </c>
      <c r="I208" s="99">
        <f t="shared" si="1250"/>
        <v>2</v>
      </c>
      <c r="J208" s="100">
        <f t="shared" si="1250"/>
        <v>1</v>
      </c>
      <c r="K208" s="101">
        <f t="shared" si="1250"/>
        <v>0</v>
      </c>
      <c r="L208" s="101">
        <f t="shared" si="1250"/>
        <v>2</v>
      </c>
      <c r="M208" s="140">
        <f t="shared" si="1200"/>
        <v>49</v>
      </c>
      <c r="N208" s="97">
        <f t="shared" ref="N208:T208" si="1251">RANDBETWEEN(0,10)</f>
        <v>10</v>
      </c>
      <c r="O208" s="97">
        <f t="shared" si="1251"/>
        <v>8</v>
      </c>
      <c r="P208" s="97">
        <f t="shared" si="1251"/>
        <v>8</v>
      </c>
      <c r="Q208" s="97">
        <f t="shared" si="1251"/>
        <v>7</v>
      </c>
      <c r="R208" s="97">
        <f t="shared" si="1251"/>
        <v>4</v>
      </c>
      <c r="S208" s="97">
        <f t="shared" si="1251"/>
        <v>3</v>
      </c>
      <c r="T208" s="97">
        <f t="shared" si="1251"/>
        <v>9</v>
      </c>
      <c r="U208" s="103">
        <f t="shared" si="1244"/>
        <v>19</v>
      </c>
      <c r="V208" s="158">
        <f t="shared" si="1237"/>
        <v>3</v>
      </c>
      <c r="W208" s="97">
        <f t="shared" ref="W208:Y208" si="1252">RANDBETWEEN(0,2)</f>
        <v>2</v>
      </c>
      <c r="X208" s="97">
        <f t="shared" si="1252"/>
        <v>0</v>
      </c>
      <c r="Y208" s="97">
        <f t="shared" si="1252"/>
        <v>1</v>
      </c>
      <c r="Z208" s="159">
        <f t="shared" si="1246"/>
        <v>1</v>
      </c>
      <c r="AA208" s="106">
        <f t="shared" ref="AA208:AF208" si="1253">RANDBETWEEN(0,2)</f>
        <v>1</v>
      </c>
      <c r="AB208" s="106">
        <f t="shared" si="1253"/>
        <v>0</v>
      </c>
      <c r="AC208" s="107">
        <f t="shared" si="1253"/>
        <v>0</v>
      </c>
      <c r="AD208" s="108">
        <f t="shared" si="1253"/>
        <v>1</v>
      </c>
      <c r="AE208" s="108">
        <f t="shared" si="1253"/>
        <v>2</v>
      </c>
      <c r="AF208" s="108">
        <f t="shared" si="1253"/>
        <v>0</v>
      </c>
      <c r="AG208" s="160">
        <f t="shared" si="1207"/>
        <v>3</v>
      </c>
      <c r="AH208" s="107">
        <f t="shared" ref="AH208:AJ208" si="1254">RANDBETWEEN(1,10)</f>
        <v>10</v>
      </c>
      <c r="AI208" s="108">
        <f t="shared" si="1254"/>
        <v>3</v>
      </c>
      <c r="AJ208" s="108">
        <f t="shared" si="1254"/>
        <v>10</v>
      </c>
      <c r="AK208" s="147">
        <f t="shared" si="1209"/>
        <v>23</v>
      </c>
      <c r="AL208" s="107"/>
      <c r="AM208" s="108"/>
      <c r="AN208" s="108"/>
      <c r="AO208" s="108"/>
      <c r="AP208" s="148"/>
      <c r="AQ208" s="107"/>
      <c r="AR208" s="108"/>
      <c r="AS208" s="108"/>
      <c r="AT208" s="149"/>
      <c r="AU208" s="107"/>
      <c r="AV208" s="108"/>
      <c r="AW208" s="108"/>
      <c r="AX208" s="150"/>
      <c r="AY208" s="92">
        <f t="shared" ref="AY208:AZ208" si="1255">RANDBETWEEN(1,10)/10</f>
        <v>0.4</v>
      </c>
      <c r="AZ208" s="92">
        <f t="shared" si="1255"/>
        <v>1</v>
      </c>
      <c r="BA208" s="93">
        <v>0.0</v>
      </c>
      <c r="BB208" s="93">
        <v>0.0</v>
      </c>
      <c r="BC208" s="94">
        <f>SUM(BC180,'ГОЧ'!$AY208)</f>
        <v>1203.8</v>
      </c>
      <c r="BD208" s="94">
        <f>SUM(BD180,'ГОЧ'!$AZ208)</f>
        <v>1203.4</v>
      </c>
      <c r="BE208" s="108"/>
      <c r="BF208" s="108"/>
    </row>
    <row r="209" ht="15.75" customHeight="1">
      <c r="A209" s="67">
        <f t="shared" si="1197"/>
        <v>46261</v>
      </c>
      <c r="B209" s="138" t="s">
        <v>26</v>
      </c>
      <c r="C209" s="157">
        <f t="shared" si="1198"/>
        <v>3</v>
      </c>
      <c r="D209" s="97">
        <f t="shared" ref="D209:L209" si="1256">RANDBETWEEN(0,2)</f>
        <v>1</v>
      </c>
      <c r="E209" s="97">
        <f t="shared" si="1256"/>
        <v>2</v>
      </c>
      <c r="F209" s="97">
        <f t="shared" si="1256"/>
        <v>2</v>
      </c>
      <c r="G209" s="97">
        <f t="shared" si="1256"/>
        <v>1</v>
      </c>
      <c r="H209" s="98">
        <f t="shared" si="1256"/>
        <v>2</v>
      </c>
      <c r="I209" s="99">
        <f t="shared" si="1256"/>
        <v>2</v>
      </c>
      <c r="J209" s="100">
        <f t="shared" si="1256"/>
        <v>0</v>
      </c>
      <c r="K209" s="101">
        <f t="shared" si="1256"/>
        <v>1</v>
      </c>
      <c r="L209" s="101">
        <f t="shared" si="1256"/>
        <v>2</v>
      </c>
      <c r="M209" s="140">
        <f t="shared" si="1200"/>
        <v>40</v>
      </c>
      <c r="N209" s="97">
        <f t="shared" ref="N209:T209" si="1257">RANDBETWEEN(0,10)</f>
        <v>3</v>
      </c>
      <c r="O209" s="97">
        <f t="shared" si="1257"/>
        <v>3</v>
      </c>
      <c r="P209" s="97">
        <f t="shared" si="1257"/>
        <v>4</v>
      </c>
      <c r="Q209" s="97">
        <f t="shared" si="1257"/>
        <v>9</v>
      </c>
      <c r="R209" s="97">
        <f t="shared" si="1257"/>
        <v>7</v>
      </c>
      <c r="S209" s="97">
        <f t="shared" si="1257"/>
        <v>9</v>
      </c>
      <c r="T209" s="97">
        <f t="shared" si="1257"/>
        <v>5</v>
      </c>
      <c r="U209" s="103">
        <f t="shared" si="1244"/>
        <v>18</v>
      </c>
      <c r="V209" s="158">
        <f t="shared" si="1237"/>
        <v>4</v>
      </c>
      <c r="W209" s="97">
        <f t="shared" ref="W209:Y209" si="1258">RANDBETWEEN(0,2)</f>
        <v>2</v>
      </c>
      <c r="X209" s="97">
        <f t="shared" si="1258"/>
        <v>2</v>
      </c>
      <c r="Y209" s="97">
        <f t="shared" si="1258"/>
        <v>0</v>
      </c>
      <c r="Z209" s="159">
        <f t="shared" si="1246"/>
        <v>1</v>
      </c>
      <c r="AA209" s="143">
        <f t="shared" ref="AA209:AF209" si="1259">RANDBETWEEN(0,2)</f>
        <v>1</v>
      </c>
      <c r="AB209" s="143">
        <f t="shared" si="1259"/>
        <v>0</v>
      </c>
      <c r="AC209" s="144">
        <f t="shared" si="1259"/>
        <v>0</v>
      </c>
      <c r="AD209" s="145">
        <f t="shared" si="1259"/>
        <v>1</v>
      </c>
      <c r="AE209" s="145">
        <f t="shared" si="1259"/>
        <v>1</v>
      </c>
      <c r="AF209" s="145">
        <f t="shared" si="1259"/>
        <v>0</v>
      </c>
      <c r="AG209" s="160">
        <f t="shared" si="1207"/>
        <v>2</v>
      </c>
      <c r="AH209" s="144">
        <f t="shared" ref="AH209:AJ209" si="1260">RANDBETWEEN(1,10)</f>
        <v>7</v>
      </c>
      <c r="AI209" s="145">
        <f t="shared" si="1260"/>
        <v>3</v>
      </c>
      <c r="AJ209" s="145">
        <f t="shared" si="1260"/>
        <v>5</v>
      </c>
      <c r="AK209" s="147">
        <f t="shared" si="1209"/>
        <v>15</v>
      </c>
      <c r="AL209" s="144"/>
      <c r="AM209" s="145"/>
      <c r="AN209" s="145"/>
      <c r="AO209" s="145"/>
      <c r="AP209" s="148"/>
      <c r="AQ209" s="144"/>
      <c r="AR209" s="145"/>
      <c r="AS209" s="145"/>
      <c r="AT209" s="149"/>
      <c r="AU209" s="144"/>
      <c r="AV209" s="145"/>
      <c r="AW209" s="145"/>
      <c r="AX209" s="150"/>
      <c r="AY209" s="92">
        <f t="shared" ref="AY209:AZ209" si="1261">RANDBETWEEN(1,10)/10</f>
        <v>0.2</v>
      </c>
      <c r="AZ209" s="92">
        <f t="shared" si="1261"/>
        <v>0.2</v>
      </c>
      <c r="BA209" s="93">
        <v>1.0</v>
      </c>
      <c r="BB209" s="93">
        <v>0.0</v>
      </c>
      <c r="BC209" s="94">
        <f>SUM(BC181,'ГОЧ'!$AY209)</f>
        <v>1203.6</v>
      </c>
      <c r="BD209" s="94">
        <f>SUM(BD181,'ГОЧ'!$AZ209)</f>
        <v>1204.2</v>
      </c>
      <c r="BE209" s="108" t="s">
        <v>167</v>
      </c>
      <c r="BF209" s="108"/>
    </row>
    <row r="210" ht="15.75" customHeight="1">
      <c r="A210" s="67">
        <f t="shared" si="1197"/>
        <v>46261</v>
      </c>
      <c r="B210" s="138" t="s">
        <v>28</v>
      </c>
      <c r="C210" s="157">
        <f t="shared" si="1198"/>
        <v>4</v>
      </c>
      <c r="D210" s="97">
        <f t="shared" ref="D210:L210" si="1262">RANDBETWEEN(0,2)</f>
        <v>2</v>
      </c>
      <c r="E210" s="97">
        <f t="shared" si="1262"/>
        <v>0</v>
      </c>
      <c r="F210" s="97">
        <f t="shared" si="1262"/>
        <v>2</v>
      </c>
      <c r="G210" s="97">
        <f t="shared" si="1262"/>
        <v>0</v>
      </c>
      <c r="H210" s="98">
        <f t="shared" si="1262"/>
        <v>2</v>
      </c>
      <c r="I210" s="99">
        <f t="shared" si="1262"/>
        <v>2</v>
      </c>
      <c r="J210" s="100">
        <f t="shared" si="1262"/>
        <v>2</v>
      </c>
      <c r="K210" s="101">
        <f t="shared" si="1262"/>
        <v>1</v>
      </c>
      <c r="L210" s="101">
        <f t="shared" si="1262"/>
        <v>0</v>
      </c>
      <c r="M210" s="140">
        <f t="shared" si="1200"/>
        <v>20</v>
      </c>
      <c r="N210" s="97">
        <f t="shared" ref="N210:T210" si="1263">RANDBETWEEN(0,10)</f>
        <v>8</v>
      </c>
      <c r="O210" s="97">
        <f t="shared" si="1263"/>
        <v>0</v>
      </c>
      <c r="P210" s="97">
        <f t="shared" si="1263"/>
        <v>1</v>
      </c>
      <c r="Q210" s="97">
        <f t="shared" si="1263"/>
        <v>2</v>
      </c>
      <c r="R210" s="97">
        <f t="shared" si="1263"/>
        <v>9</v>
      </c>
      <c r="S210" s="97">
        <f t="shared" si="1263"/>
        <v>0</v>
      </c>
      <c r="T210" s="97">
        <f t="shared" si="1263"/>
        <v>0</v>
      </c>
      <c r="U210" s="103">
        <f t="shared" si="1244"/>
        <v>27</v>
      </c>
      <c r="V210" s="158">
        <f t="shared" si="1237"/>
        <v>4</v>
      </c>
      <c r="W210" s="97">
        <f t="shared" ref="W210:Y210" si="1264">RANDBETWEEN(0,2)</f>
        <v>0</v>
      </c>
      <c r="X210" s="97">
        <f t="shared" si="1264"/>
        <v>2</v>
      </c>
      <c r="Y210" s="97">
        <f t="shared" si="1264"/>
        <v>2</v>
      </c>
      <c r="Z210" s="159">
        <f t="shared" si="1246"/>
        <v>2</v>
      </c>
      <c r="AA210" s="106">
        <f t="shared" ref="AA210:AF210" si="1265">RANDBETWEEN(0,2)</f>
        <v>2</v>
      </c>
      <c r="AB210" s="106">
        <f t="shared" si="1265"/>
        <v>0</v>
      </c>
      <c r="AC210" s="107">
        <f t="shared" si="1265"/>
        <v>0</v>
      </c>
      <c r="AD210" s="108">
        <f t="shared" si="1265"/>
        <v>0</v>
      </c>
      <c r="AE210" s="108">
        <f t="shared" si="1265"/>
        <v>0</v>
      </c>
      <c r="AF210" s="108">
        <f t="shared" si="1265"/>
        <v>2</v>
      </c>
      <c r="AG210" s="160">
        <f t="shared" si="1207"/>
        <v>2</v>
      </c>
      <c r="AH210" s="107">
        <f t="shared" ref="AH210:AJ210" si="1266">RANDBETWEEN(1,10)</f>
        <v>6</v>
      </c>
      <c r="AI210" s="108">
        <f t="shared" si="1266"/>
        <v>1</v>
      </c>
      <c r="AJ210" s="108">
        <f t="shared" si="1266"/>
        <v>6</v>
      </c>
      <c r="AK210" s="147">
        <f t="shared" si="1209"/>
        <v>13</v>
      </c>
      <c r="AL210" s="107"/>
      <c r="AM210" s="108"/>
      <c r="AN210" s="108"/>
      <c r="AO210" s="108"/>
      <c r="AP210" s="148"/>
      <c r="AQ210" s="107"/>
      <c r="AR210" s="108"/>
      <c r="AS210" s="108"/>
      <c r="AT210" s="149"/>
      <c r="AU210" s="107"/>
      <c r="AV210" s="108"/>
      <c r="AW210" s="108"/>
      <c r="AX210" s="150"/>
      <c r="AY210" s="92">
        <f t="shared" ref="AY210:AZ210" si="1267">RANDBETWEEN(1,10)/10</f>
        <v>0.9</v>
      </c>
      <c r="AZ210" s="92">
        <f t="shared" si="1267"/>
        <v>0.9</v>
      </c>
      <c r="BA210" s="93">
        <v>0.0</v>
      </c>
      <c r="BB210" s="93">
        <v>1.0</v>
      </c>
      <c r="BC210" s="94">
        <f>SUM(BC182,'ГОЧ'!$AY210)</f>
        <v>1204.2</v>
      </c>
      <c r="BD210" s="94">
        <f>SUM(BD182,'ГОЧ'!$AZ210)</f>
        <v>1204.2</v>
      </c>
      <c r="BE210" s="108"/>
      <c r="BF210" s="108" t="s">
        <v>168</v>
      </c>
    </row>
    <row r="211" ht="15.75" customHeight="1">
      <c r="A211" s="67">
        <f t="shared" si="1197"/>
        <v>46261</v>
      </c>
      <c r="B211" s="114" t="s">
        <v>29</v>
      </c>
      <c r="C211" s="164">
        <f t="shared" si="1198"/>
        <v>15</v>
      </c>
      <c r="D211" s="165">
        <f t="shared" ref="D211:L211" si="1268">D206+D207+D208+D209+D210</f>
        <v>6</v>
      </c>
      <c r="E211" s="165">
        <f t="shared" si="1268"/>
        <v>8</v>
      </c>
      <c r="F211" s="165">
        <f t="shared" si="1268"/>
        <v>9</v>
      </c>
      <c r="G211" s="165">
        <f t="shared" si="1268"/>
        <v>2</v>
      </c>
      <c r="H211" s="164">
        <f t="shared" si="1268"/>
        <v>8</v>
      </c>
      <c r="I211" s="165">
        <f t="shared" si="1268"/>
        <v>7</v>
      </c>
      <c r="J211" s="164">
        <f t="shared" si="1268"/>
        <v>4</v>
      </c>
      <c r="K211" s="165">
        <f t="shared" si="1268"/>
        <v>3</v>
      </c>
      <c r="L211" s="165">
        <f t="shared" si="1268"/>
        <v>7</v>
      </c>
      <c r="M211" s="164">
        <f t="shared" si="1200"/>
        <v>187</v>
      </c>
      <c r="N211" s="164">
        <f t="shared" ref="N211:U211" si="1269">N206+N207+N208+N209+N210</f>
        <v>36</v>
      </c>
      <c r="O211" s="165">
        <f t="shared" si="1269"/>
        <v>19</v>
      </c>
      <c r="P211" s="165">
        <f t="shared" si="1269"/>
        <v>21</v>
      </c>
      <c r="Q211" s="165">
        <f t="shared" si="1269"/>
        <v>37</v>
      </c>
      <c r="R211" s="165">
        <f t="shared" si="1269"/>
        <v>26</v>
      </c>
      <c r="S211" s="165">
        <f t="shared" si="1269"/>
        <v>28</v>
      </c>
      <c r="T211" s="165">
        <f t="shared" si="1269"/>
        <v>20</v>
      </c>
      <c r="U211" s="164">
        <f t="shared" si="1269"/>
        <v>109</v>
      </c>
      <c r="V211" s="164">
        <f t="shared" si="1237"/>
        <v>17</v>
      </c>
      <c r="W211" s="165">
        <f t="shared" ref="W211:Y211" si="1270">W206+W207+W208+W209+W210</f>
        <v>6</v>
      </c>
      <c r="X211" s="165">
        <f t="shared" si="1270"/>
        <v>6</v>
      </c>
      <c r="Y211" s="165">
        <f t="shared" si="1270"/>
        <v>5</v>
      </c>
      <c r="Z211" s="165">
        <f t="shared" si="1246"/>
        <v>8</v>
      </c>
      <c r="AA211" s="165">
        <f t="shared" ref="AA211:AC211" si="1271">AA206+AA207+AA208+AA209+AA210</f>
        <v>6</v>
      </c>
      <c r="AB211" s="165">
        <f t="shared" si="1271"/>
        <v>2</v>
      </c>
      <c r="AC211" s="166">
        <f t="shared" si="1271"/>
        <v>2</v>
      </c>
      <c r="AD211" s="167">
        <f>AE206+AD207+AD208+AD209+AD210</f>
        <v>5</v>
      </c>
      <c r="AE211" s="167">
        <f t="shared" ref="AE211:AF211" si="1272">AE206+AE207+AE208+AE209+AE210</f>
        <v>5</v>
      </c>
      <c r="AF211" s="167">
        <f t="shared" si="1272"/>
        <v>3</v>
      </c>
      <c r="AG211" s="168">
        <f t="shared" si="1207"/>
        <v>15</v>
      </c>
      <c r="AH211" s="166">
        <f t="shared" ref="AH211:AJ211" si="1273">AH206+AH207+AH208+AH209+AH210</f>
        <v>29</v>
      </c>
      <c r="AI211" s="166">
        <f t="shared" si="1273"/>
        <v>10</v>
      </c>
      <c r="AJ211" s="166">
        <f t="shared" si="1273"/>
        <v>24</v>
      </c>
      <c r="AK211" s="168">
        <f t="shared" si="1209"/>
        <v>63</v>
      </c>
      <c r="AL211" s="166"/>
      <c r="AM211" s="167"/>
      <c r="AN211" s="167"/>
      <c r="AO211" s="167"/>
      <c r="AP211" s="169"/>
      <c r="AQ211" s="166"/>
      <c r="AR211" s="166"/>
      <c r="AS211" s="166"/>
      <c r="AT211" s="170"/>
      <c r="AU211" s="166"/>
      <c r="AV211" s="166"/>
      <c r="AW211" s="166"/>
      <c r="AX211" s="171"/>
      <c r="AY211" s="172">
        <f t="shared" ref="AY211:BD211" si="1274">AY206+AY207+AY208+AY209+AY210</f>
        <v>3.3</v>
      </c>
      <c r="AZ211" s="172">
        <f t="shared" si="1274"/>
        <v>2.8</v>
      </c>
      <c r="BA211" s="166">
        <f t="shared" si="1274"/>
        <v>3</v>
      </c>
      <c r="BB211" s="166">
        <f t="shared" si="1274"/>
        <v>3</v>
      </c>
      <c r="BC211" s="173">
        <f t="shared" si="1274"/>
        <v>6021.7</v>
      </c>
      <c r="BD211" s="173">
        <f t="shared" si="1274"/>
        <v>6018.9</v>
      </c>
      <c r="BE211" s="154" t="str">
        <f t="shared" ref="BE211:BF211" si="1275">TEXTJOIN(", ",TRUE,BE206:BE210)</f>
        <v>Олександівка, Пантелеймонівка, Миколаївка</v>
      </c>
      <c r="BF211" s="154" t="str">
        <f t="shared" si="1275"/>
        <v>Загреблі, Верхні води, Ступочки</v>
      </c>
    </row>
    <row r="212" ht="15.75" customHeight="1">
      <c r="A212" s="67">
        <f t="shared" si="1197"/>
        <v>46261</v>
      </c>
      <c r="B212" s="124" t="s">
        <v>31</v>
      </c>
      <c r="C212" s="174">
        <f t="shared" si="1198"/>
        <v>2</v>
      </c>
      <c r="D212" s="175">
        <f t="shared" ref="D212:L212" si="1276">RANDBETWEEN(0,2)</f>
        <v>0</v>
      </c>
      <c r="E212" s="175">
        <f t="shared" si="1276"/>
        <v>1</v>
      </c>
      <c r="F212" s="175">
        <f t="shared" si="1276"/>
        <v>2</v>
      </c>
      <c r="G212" s="175">
        <f t="shared" si="1276"/>
        <v>0</v>
      </c>
      <c r="H212" s="176">
        <f t="shared" si="1276"/>
        <v>0</v>
      </c>
      <c r="I212" s="177">
        <f t="shared" si="1276"/>
        <v>1</v>
      </c>
      <c r="J212" s="178">
        <f t="shared" si="1276"/>
        <v>1</v>
      </c>
      <c r="K212" s="179">
        <f t="shared" si="1276"/>
        <v>2</v>
      </c>
      <c r="L212" s="179">
        <f t="shared" si="1276"/>
        <v>1</v>
      </c>
      <c r="M212" s="180">
        <f t="shared" si="1200"/>
        <v>29</v>
      </c>
      <c r="N212" s="175">
        <f t="shared" ref="N212:T212" si="1277">RANDBETWEEN(0,10)</f>
        <v>2</v>
      </c>
      <c r="O212" s="175">
        <f t="shared" si="1277"/>
        <v>3</v>
      </c>
      <c r="P212" s="175">
        <f t="shared" si="1277"/>
        <v>2</v>
      </c>
      <c r="Q212" s="175">
        <f t="shared" si="1277"/>
        <v>10</v>
      </c>
      <c r="R212" s="175">
        <f t="shared" si="1277"/>
        <v>6</v>
      </c>
      <c r="S212" s="175">
        <f t="shared" si="1277"/>
        <v>3</v>
      </c>
      <c r="T212" s="175">
        <f t="shared" si="1277"/>
        <v>3</v>
      </c>
      <c r="U212" s="181">
        <f t="shared" ref="U212:U217" si="1284">RANDBETWEEN(10,30)</f>
        <v>17</v>
      </c>
      <c r="V212" s="182">
        <f t="shared" si="1237"/>
        <v>2</v>
      </c>
      <c r="W212" s="175">
        <f t="shared" ref="W212:Y212" si="1278">RANDBETWEEN(0,2)</f>
        <v>0</v>
      </c>
      <c r="X212" s="175">
        <f t="shared" si="1278"/>
        <v>0</v>
      </c>
      <c r="Y212" s="175">
        <f t="shared" si="1278"/>
        <v>2</v>
      </c>
      <c r="Z212" s="183">
        <f t="shared" si="1246"/>
        <v>3</v>
      </c>
      <c r="AA212" s="184">
        <f t="shared" ref="AA212:AF212" si="1279">RANDBETWEEN(0,2)</f>
        <v>1</v>
      </c>
      <c r="AB212" s="184">
        <f t="shared" si="1279"/>
        <v>2</v>
      </c>
      <c r="AC212" s="185">
        <f t="shared" si="1279"/>
        <v>0</v>
      </c>
      <c r="AD212" s="186">
        <f t="shared" si="1279"/>
        <v>0</v>
      </c>
      <c r="AE212" s="186">
        <f t="shared" si="1279"/>
        <v>2</v>
      </c>
      <c r="AF212" s="186">
        <f t="shared" si="1279"/>
        <v>2</v>
      </c>
      <c r="AG212" s="187">
        <f t="shared" si="1207"/>
        <v>4</v>
      </c>
      <c r="AH212" s="185">
        <f t="shared" ref="AH212:AJ212" si="1280">RANDBETWEEN(1,10)</f>
        <v>1</v>
      </c>
      <c r="AI212" s="186">
        <f t="shared" si="1280"/>
        <v>6</v>
      </c>
      <c r="AJ212" s="186">
        <f t="shared" si="1280"/>
        <v>8</v>
      </c>
      <c r="AK212" s="188">
        <f t="shared" si="1209"/>
        <v>15</v>
      </c>
      <c r="AL212" s="185"/>
      <c r="AM212" s="186"/>
      <c r="AN212" s="186"/>
      <c r="AO212" s="186"/>
      <c r="AP212" s="189"/>
      <c r="AQ212" s="185"/>
      <c r="AR212" s="186"/>
      <c r="AS212" s="186"/>
      <c r="AT212" s="190"/>
      <c r="AU212" s="185"/>
      <c r="AV212" s="186"/>
      <c r="AW212" s="186"/>
      <c r="AX212" s="191"/>
      <c r="AY212" s="92">
        <f t="shared" ref="AY212:AZ212" si="1281">RANDBETWEEN(1,10)/10</f>
        <v>0.5</v>
      </c>
      <c r="AZ212" s="92">
        <f t="shared" si="1281"/>
        <v>0.8</v>
      </c>
      <c r="BA212" s="93">
        <v>0.0</v>
      </c>
      <c r="BB212" s="93">
        <v>0.0</v>
      </c>
      <c r="BC212" s="94">
        <f>SUM(BC184,'ГОЧ'!$AY212)</f>
        <v>1203.6</v>
      </c>
      <c r="BD212" s="94">
        <f>SUM(BD184,'ГОЧ'!$AZ212)</f>
        <v>1205.1</v>
      </c>
      <c r="BE212" s="186"/>
      <c r="BF212" s="186"/>
    </row>
    <row r="213" ht="15.75" customHeight="1">
      <c r="A213" s="67">
        <f t="shared" si="1197"/>
        <v>46261</v>
      </c>
      <c r="B213" s="138" t="s">
        <v>33</v>
      </c>
      <c r="C213" s="157">
        <f t="shared" si="1198"/>
        <v>4</v>
      </c>
      <c r="D213" s="97">
        <f t="shared" ref="D213:L213" si="1282">RANDBETWEEN(0,2)</f>
        <v>2</v>
      </c>
      <c r="E213" s="97">
        <f t="shared" si="1282"/>
        <v>0</v>
      </c>
      <c r="F213" s="97">
        <f t="shared" si="1282"/>
        <v>2</v>
      </c>
      <c r="G213" s="97">
        <f t="shared" si="1282"/>
        <v>1</v>
      </c>
      <c r="H213" s="98">
        <f t="shared" si="1282"/>
        <v>2</v>
      </c>
      <c r="I213" s="99">
        <f t="shared" si="1282"/>
        <v>1</v>
      </c>
      <c r="J213" s="100">
        <f t="shared" si="1282"/>
        <v>2</v>
      </c>
      <c r="K213" s="101">
        <f t="shared" si="1282"/>
        <v>2</v>
      </c>
      <c r="L213" s="101">
        <f t="shared" si="1282"/>
        <v>1</v>
      </c>
      <c r="M213" s="140">
        <f t="shared" si="1200"/>
        <v>34</v>
      </c>
      <c r="N213" s="97">
        <f t="shared" ref="N213:T213" si="1283">RANDBETWEEN(0,10)</f>
        <v>3</v>
      </c>
      <c r="O213" s="97">
        <f t="shared" si="1283"/>
        <v>8</v>
      </c>
      <c r="P213" s="97">
        <f t="shared" si="1283"/>
        <v>3</v>
      </c>
      <c r="Q213" s="97">
        <f t="shared" si="1283"/>
        <v>4</v>
      </c>
      <c r="R213" s="97">
        <f t="shared" si="1283"/>
        <v>6</v>
      </c>
      <c r="S213" s="97">
        <f t="shared" si="1283"/>
        <v>9</v>
      </c>
      <c r="T213" s="97">
        <f t="shared" si="1283"/>
        <v>1</v>
      </c>
      <c r="U213" s="103">
        <f t="shared" si="1284"/>
        <v>19</v>
      </c>
      <c r="V213" s="158">
        <f t="shared" si="1237"/>
        <v>2</v>
      </c>
      <c r="W213" s="97">
        <f t="shared" ref="W213:Y213" si="1285">RANDBETWEEN(0,2)</f>
        <v>0</v>
      </c>
      <c r="X213" s="97">
        <f t="shared" si="1285"/>
        <v>2</v>
      </c>
      <c r="Y213" s="97">
        <f t="shared" si="1285"/>
        <v>0</v>
      </c>
      <c r="Z213" s="105">
        <f t="shared" si="1246"/>
        <v>2</v>
      </c>
      <c r="AA213" s="143">
        <f t="shared" ref="AA213:AF213" si="1286">RANDBETWEEN(0,2)</f>
        <v>1</v>
      </c>
      <c r="AB213" s="143">
        <f t="shared" si="1286"/>
        <v>1</v>
      </c>
      <c r="AC213" s="144">
        <f t="shared" si="1286"/>
        <v>2</v>
      </c>
      <c r="AD213" s="145">
        <f t="shared" si="1286"/>
        <v>2</v>
      </c>
      <c r="AE213" s="145">
        <f t="shared" si="1286"/>
        <v>2</v>
      </c>
      <c r="AF213" s="145">
        <f t="shared" si="1286"/>
        <v>0</v>
      </c>
      <c r="AG213" s="86">
        <f t="shared" si="1207"/>
        <v>6</v>
      </c>
      <c r="AH213" s="144">
        <f t="shared" ref="AH213:AJ213" si="1287">RANDBETWEEN(1,10)</f>
        <v>9</v>
      </c>
      <c r="AI213" s="145">
        <f t="shared" si="1287"/>
        <v>6</v>
      </c>
      <c r="AJ213" s="145">
        <f t="shared" si="1287"/>
        <v>9</v>
      </c>
      <c r="AK213" s="192">
        <f t="shared" si="1209"/>
        <v>24</v>
      </c>
      <c r="AL213" s="144"/>
      <c r="AM213" s="145"/>
      <c r="AN213" s="145"/>
      <c r="AO213" s="145"/>
      <c r="AP213" s="89"/>
      <c r="AQ213" s="144"/>
      <c r="AR213" s="145"/>
      <c r="AS213" s="145"/>
      <c r="AT213" s="193"/>
      <c r="AU213" s="144"/>
      <c r="AV213" s="145"/>
      <c r="AW213" s="145"/>
      <c r="AX213" s="194"/>
      <c r="AY213" s="92">
        <f t="shared" ref="AY213:AZ213" si="1288">RANDBETWEEN(1,10)/10</f>
        <v>0.9</v>
      </c>
      <c r="AZ213" s="92">
        <f t="shared" si="1288"/>
        <v>0.1</v>
      </c>
      <c r="BA213" s="93">
        <v>0.0</v>
      </c>
      <c r="BB213" s="93">
        <v>0.0</v>
      </c>
      <c r="BC213" s="94">
        <f>SUM(BC185,'ГОЧ'!$AY213)</f>
        <v>1204.9</v>
      </c>
      <c r="BD213" s="94">
        <f>SUM(BD185,'ГОЧ'!$AZ213)</f>
        <v>1203.4</v>
      </c>
      <c r="BE213" s="108"/>
      <c r="BF213" s="108"/>
    </row>
    <row r="214" ht="15.75" customHeight="1">
      <c r="A214" s="67">
        <f t="shared" si="1197"/>
        <v>46261</v>
      </c>
      <c r="B214" s="138" t="s">
        <v>35</v>
      </c>
      <c r="C214" s="157">
        <f t="shared" si="1198"/>
        <v>3</v>
      </c>
      <c r="D214" s="97">
        <f t="shared" ref="D214:L214" si="1289">RANDBETWEEN(0,2)</f>
        <v>2</v>
      </c>
      <c r="E214" s="97">
        <f t="shared" si="1289"/>
        <v>2</v>
      </c>
      <c r="F214" s="97">
        <f t="shared" si="1289"/>
        <v>1</v>
      </c>
      <c r="G214" s="97">
        <f t="shared" si="1289"/>
        <v>1</v>
      </c>
      <c r="H214" s="98">
        <f t="shared" si="1289"/>
        <v>1</v>
      </c>
      <c r="I214" s="99">
        <f t="shared" si="1289"/>
        <v>1</v>
      </c>
      <c r="J214" s="100">
        <f t="shared" si="1289"/>
        <v>2</v>
      </c>
      <c r="K214" s="101">
        <f t="shared" si="1289"/>
        <v>2</v>
      </c>
      <c r="L214" s="101">
        <f t="shared" si="1289"/>
        <v>0</v>
      </c>
      <c r="M214" s="140">
        <f t="shared" si="1200"/>
        <v>31</v>
      </c>
      <c r="N214" s="97">
        <f t="shared" ref="N214:T214" si="1290">RANDBETWEEN(0,10)</f>
        <v>1</v>
      </c>
      <c r="O214" s="97">
        <f t="shared" si="1290"/>
        <v>6</v>
      </c>
      <c r="P214" s="97">
        <f t="shared" si="1290"/>
        <v>7</v>
      </c>
      <c r="Q214" s="97">
        <f t="shared" si="1290"/>
        <v>3</v>
      </c>
      <c r="R214" s="97">
        <f t="shared" si="1290"/>
        <v>4</v>
      </c>
      <c r="S214" s="97">
        <f t="shared" si="1290"/>
        <v>4</v>
      </c>
      <c r="T214" s="97">
        <f t="shared" si="1290"/>
        <v>6</v>
      </c>
      <c r="U214" s="103">
        <f t="shared" si="1284"/>
        <v>12</v>
      </c>
      <c r="V214" s="158">
        <f t="shared" si="1237"/>
        <v>0</v>
      </c>
      <c r="W214" s="97">
        <f t="shared" ref="W214:Y214" si="1291">RANDBETWEEN(0,2)</f>
        <v>0</v>
      </c>
      <c r="X214" s="97">
        <f t="shared" si="1291"/>
        <v>0</v>
      </c>
      <c r="Y214" s="97">
        <f t="shared" si="1291"/>
        <v>0</v>
      </c>
      <c r="Z214" s="105">
        <f t="shared" si="1246"/>
        <v>1</v>
      </c>
      <c r="AA214" s="106">
        <f t="shared" ref="AA214:AF214" si="1292">RANDBETWEEN(0,2)</f>
        <v>1</v>
      </c>
      <c r="AB214" s="106">
        <f t="shared" si="1292"/>
        <v>0</v>
      </c>
      <c r="AC214" s="107">
        <f t="shared" si="1292"/>
        <v>0</v>
      </c>
      <c r="AD214" s="108">
        <f t="shared" si="1292"/>
        <v>0</v>
      </c>
      <c r="AE214" s="108">
        <f t="shared" si="1292"/>
        <v>2</v>
      </c>
      <c r="AF214" s="108">
        <f t="shared" si="1292"/>
        <v>2</v>
      </c>
      <c r="AG214" s="86">
        <f t="shared" si="1207"/>
        <v>4</v>
      </c>
      <c r="AH214" s="107">
        <f t="shared" ref="AH214:AJ214" si="1293">RANDBETWEEN(1,10)</f>
        <v>1</v>
      </c>
      <c r="AI214" s="108">
        <f t="shared" si="1293"/>
        <v>2</v>
      </c>
      <c r="AJ214" s="108">
        <f t="shared" si="1293"/>
        <v>1</v>
      </c>
      <c r="AK214" s="192">
        <f t="shared" si="1209"/>
        <v>4</v>
      </c>
      <c r="AL214" s="107"/>
      <c r="AM214" s="108"/>
      <c r="AN214" s="108"/>
      <c r="AO214" s="108"/>
      <c r="AP214" s="89"/>
      <c r="AQ214" s="107"/>
      <c r="AR214" s="108"/>
      <c r="AS214" s="108"/>
      <c r="AT214" s="193"/>
      <c r="AU214" s="107"/>
      <c r="AV214" s="108"/>
      <c r="AW214" s="108"/>
      <c r="AX214" s="194"/>
      <c r="AY214" s="92">
        <f t="shared" ref="AY214:AZ214" si="1294">RANDBETWEEN(1,10)/10</f>
        <v>0.1</v>
      </c>
      <c r="AZ214" s="92">
        <f t="shared" si="1294"/>
        <v>0.8</v>
      </c>
      <c r="BA214" s="93">
        <v>0.0</v>
      </c>
      <c r="BB214" s="93">
        <v>0.0</v>
      </c>
      <c r="BC214" s="94">
        <f>SUM(BC186,'ГОЧ'!$AY214)</f>
        <v>1203.7</v>
      </c>
      <c r="BD214" s="94">
        <f>SUM(BD186,'ГОЧ'!$AZ214)</f>
        <v>1204.3</v>
      </c>
      <c r="BE214" s="108"/>
      <c r="BF214" s="108"/>
    </row>
    <row r="215" ht="15.75" customHeight="1">
      <c r="A215" s="67">
        <f t="shared" si="1197"/>
        <v>46261</v>
      </c>
      <c r="B215" s="138" t="s">
        <v>36</v>
      </c>
      <c r="C215" s="157">
        <f t="shared" si="1198"/>
        <v>2</v>
      </c>
      <c r="D215" s="97">
        <f t="shared" ref="D215:L215" si="1295">RANDBETWEEN(0,2)</f>
        <v>0</v>
      </c>
      <c r="E215" s="97">
        <f t="shared" si="1295"/>
        <v>0</v>
      </c>
      <c r="F215" s="97">
        <f t="shared" si="1295"/>
        <v>2</v>
      </c>
      <c r="G215" s="97">
        <f t="shared" si="1295"/>
        <v>1</v>
      </c>
      <c r="H215" s="98">
        <f t="shared" si="1295"/>
        <v>2</v>
      </c>
      <c r="I215" s="99">
        <f t="shared" si="1295"/>
        <v>0</v>
      </c>
      <c r="J215" s="100">
        <f t="shared" si="1295"/>
        <v>1</v>
      </c>
      <c r="K215" s="101">
        <f t="shared" si="1295"/>
        <v>0</v>
      </c>
      <c r="L215" s="101">
        <f t="shared" si="1295"/>
        <v>0</v>
      </c>
      <c r="M215" s="140">
        <f t="shared" si="1200"/>
        <v>26</v>
      </c>
      <c r="N215" s="97">
        <f t="shared" ref="N215:T215" si="1296">RANDBETWEEN(0,10)</f>
        <v>7</v>
      </c>
      <c r="O215" s="97">
        <f t="shared" si="1296"/>
        <v>5</v>
      </c>
      <c r="P215" s="97">
        <f t="shared" si="1296"/>
        <v>10</v>
      </c>
      <c r="Q215" s="97">
        <f t="shared" si="1296"/>
        <v>2</v>
      </c>
      <c r="R215" s="97">
        <f t="shared" si="1296"/>
        <v>1</v>
      </c>
      <c r="S215" s="97">
        <f t="shared" si="1296"/>
        <v>0</v>
      </c>
      <c r="T215" s="97">
        <f t="shared" si="1296"/>
        <v>1</v>
      </c>
      <c r="U215" s="103">
        <f t="shared" si="1284"/>
        <v>13</v>
      </c>
      <c r="V215" s="158">
        <f t="shared" si="1237"/>
        <v>0</v>
      </c>
      <c r="W215" s="97">
        <f t="shared" ref="W215:Y215" si="1297">RANDBETWEEN(0,2)</f>
        <v>0</v>
      </c>
      <c r="X215" s="97">
        <f t="shared" si="1297"/>
        <v>0</v>
      </c>
      <c r="Y215" s="97">
        <f t="shared" si="1297"/>
        <v>0</v>
      </c>
      <c r="Z215" s="105">
        <f t="shared" si="1246"/>
        <v>1</v>
      </c>
      <c r="AA215" s="143">
        <f t="shared" ref="AA215:AF215" si="1298">RANDBETWEEN(0,2)</f>
        <v>1</v>
      </c>
      <c r="AB215" s="143">
        <f t="shared" si="1298"/>
        <v>0</v>
      </c>
      <c r="AC215" s="144">
        <f t="shared" si="1298"/>
        <v>2</v>
      </c>
      <c r="AD215" s="145">
        <f t="shared" si="1298"/>
        <v>2</v>
      </c>
      <c r="AE215" s="145">
        <f t="shared" si="1298"/>
        <v>1</v>
      </c>
      <c r="AF215" s="145">
        <f t="shared" si="1298"/>
        <v>2</v>
      </c>
      <c r="AG215" s="86">
        <f t="shared" si="1207"/>
        <v>7</v>
      </c>
      <c r="AH215" s="144">
        <f t="shared" ref="AH215:AJ215" si="1299">RANDBETWEEN(1,10)</f>
        <v>5</v>
      </c>
      <c r="AI215" s="145">
        <f t="shared" si="1299"/>
        <v>10</v>
      </c>
      <c r="AJ215" s="145">
        <f t="shared" si="1299"/>
        <v>5</v>
      </c>
      <c r="AK215" s="192">
        <f t="shared" si="1209"/>
        <v>20</v>
      </c>
      <c r="AL215" s="144"/>
      <c r="AM215" s="145"/>
      <c r="AN215" s="145"/>
      <c r="AO215" s="145"/>
      <c r="AP215" s="89"/>
      <c r="AQ215" s="144"/>
      <c r="AR215" s="145"/>
      <c r="AS215" s="145"/>
      <c r="AT215" s="193"/>
      <c r="AU215" s="144"/>
      <c r="AV215" s="145"/>
      <c r="AW215" s="145"/>
      <c r="AX215" s="194"/>
      <c r="AY215" s="92">
        <f t="shared" ref="AY215:AZ215" si="1300">RANDBETWEEN(1,10)/10</f>
        <v>0.9</v>
      </c>
      <c r="AZ215" s="92">
        <f t="shared" si="1300"/>
        <v>1</v>
      </c>
      <c r="BA215" s="93">
        <v>0.0</v>
      </c>
      <c r="BB215" s="93">
        <v>0.0</v>
      </c>
      <c r="BC215" s="94">
        <f>SUM(BC187,'ГОЧ'!$AY215)</f>
        <v>1204.6</v>
      </c>
      <c r="BD215" s="94">
        <f>SUM(BD187,'ГОЧ'!$AZ215)</f>
        <v>1204.6</v>
      </c>
      <c r="BE215" s="108"/>
      <c r="BF215" s="108"/>
    </row>
    <row r="216" ht="15.75" customHeight="1">
      <c r="A216" s="67">
        <f t="shared" si="1197"/>
        <v>46261</v>
      </c>
      <c r="B216" s="195" t="s">
        <v>38</v>
      </c>
      <c r="C216" s="157">
        <f t="shared" si="1198"/>
        <v>4</v>
      </c>
      <c r="D216" s="97">
        <f t="shared" ref="D216:L216" si="1301">RANDBETWEEN(0,2)</f>
        <v>2</v>
      </c>
      <c r="E216" s="97">
        <f t="shared" si="1301"/>
        <v>1</v>
      </c>
      <c r="F216" s="97">
        <f t="shared" si="1301"/>
        <v>2</v>
      </c>
      <c r="G216" s="97">
        <f t="shared" si="1301"/>
        <v>0</v>
      </c>
      <c r="H216" s="98">
        <f t="shared" si="1301"/>
        <v>1</v>
      </c>
      <c r="I216" s="99">
        <f t="shared" si="1301"/>
        <v>2</v>
      </c>
      <c r="J216" s="100">
        <f t="shared" si="1301"/>
        <v>2</v>
      </c>
      <c r="K216" s="101">
        <f t="shared" si="1301"/>
        <v>0</v>
      </c>
      <c r="L216" s="101">
        <f t="shared" si="1301"/>
        <v>2</v>
      </c>
      <c r="M216" s="140">
        <f t="shared" si="1200"/>
        <v>51</v>
      </c>
      <c r="N216" s="97">
        <f t="shared" ref="N216:T216" si="1302">RANDBETWEEN(0,10)</f>
        <v>9</v>
      </c>
      <c r="O216" s="97">
        <f t="shared" si="1302"/>
        <v>6</v>
      </c>
      <c r="P216" s="97">
        <f t="shared" si="1302"/>
        <v>6</v>
      </c>
      <c r="Q216" s="97">
        <f t="shared" si="1302"/>
        <v>6</v>
      </c>
      <c r="R216" s="97">
        <f t="shared" si="1302"/>
        <v>7</v>
      </c>
      <c r="S216" s="97">
        <f t="shared" si="1302"/>
        <v>8</v>
      </c>
      <c r="T216" s="97">
        <f t="shared" si="1302"/>
        <v>9</v>
      </c>
      <c r="U216" s="103">
        <f t="shared" si="1284"/>
        <v>16</v>
      </c>
      <c r="V216" s="158">
        <f t="shared" si="1237"/>
        <v>6</v>
      </c>
      <c r="W216" s="97">
        <f t="shared" ref="W216:Y216" si="1303">RANDBETWEEN(0,2)</f>
        <v>2</v>
      </c>
      <c r="X216" s="97">
        <f t="shared" si="1303"/>
        <v>2</v>
      </c>
      <c r="Y216" s="97">
        <f t="shared" si="1303"/>
        <v>2</v>
      </c>
      <c r="Z216" s="105">
        <f t="shared" si="1246"/>
        <v>2</v>
      </c>
      <c r="AA216" s="106">
        <f t="shared" ref="AA216:AF216" si="1304">RANDBETWEEN(0,2)</f>
        <v>2</v>
      </c>
      <c r="AB216" s="106">
        <f t="shared" si="1304"/>
        <v>0</v>
      </c>
      <c r="AC216" s="107">
        <f t="shared" si="1304"/>
        <v>2</v>
      </c>
      <c r="AD216" s="108">
        <f t="shared" si="1304"/>
        <v>1</v>
      </c>
      <c r="AE216" s="108">
        <f t="shared" si="1304"/>
        <v>1</v>
      </c>
      <c r="AF216" s="108">
        <f t="shared" si="1304"/>
        <v>0</v>
      </c>
      <c r="AG216" s="86">
        <f t="shared" si="1207"/>
        <v>4</v>
      </c>
      <c r="AH216" s="107">
        <f t="shared" ref="AH216:AJ216" si="1305">RANDBETWEEN(1,10)</f>
        <v>10</v>
      </c>
      <c r="AI216" s="108">
        <f t="shared" si="1305"/>
        <v>9</v>
      </c>
      <c r="AJ216" s="108">
        <f t="shared" si="1305"/>
        <v>1</v>
      </c>
      <c r="AK216" s="192">
        <f t="shared" si="1209"/>
        <v>20</v>
      </c>
      <c r="AL216" s="107"/>
      <c r="AM216" s="108"/>
      <c r="AN216" s="108"/>
      <c r="AO216" s="108"/>
      <c r="AP216" s="89"/>
      <c r="AQ216" s="107"/>
      <c r="AR216" s="108"/>
      <c r="AS216" s="108"/>
      <c r="AT216" s="193"/>
      <c r="AU216" s="107"/>
      <c r="AV216" s="108"/>
      <c r="AW216" s="108"/>
      <c r="AX216" s="194"/>
      <c r="AY216" s="92">
        <f t="shared" ref="AY216:AZ216" si="1306">RANDBETWEEN(1,10)/10</f>
        <v>0.1</v>
      </c>
      <c r="AZ216" s="92">
        <f t="shared" si="1306"/>
        <v>0.9</v>
      </c>
      <c r="BA216" s="93">
        <v>0.0</v>
      </c>
      <c r="BB216" s="93">
        <v>0.0</v>
      </c>
      <c r="BC216" s="94">
        <f>SUM(BC188,'ГОЧ'!$AY216)</f>
        <v>1202.6</v>
      </c>
      <c r="BD216" s="94">
        <f>SUM(BD188,'ГОЧ'!$AZ216)</f>
        <v>1203.4</v>
      </c>
      <c r="BE216" s="108"/>
      <c r="BF216" s="108"/>
    </row>
    <row r="217" ht="15.75" customHeight="1">
      <c r="A217" s="67">
        <f t="shared" si="1197"/>
        <v>46261</v>
      </c>
      <c r="B217" s="138" t="s">
        <v>41</v>
      </c>
      <c r="C217" s="157">
        <f t="shared" si="1198"/>
        <v>1</v>
      </c>
      <c r="D217" s="97">
        <f t="shared" ref="D217:L217" si="1307">RANDBETWEEN(0,2)</f>
        <v>1</v>
      </c>
      <c r="E217" s="97">
        <f t="shared" si="1307"/>
        <v>2</v>
      </c>
      <c r="F217" s="97">
        <f t="shared" si="1307"/>
        <v>0</v>
      </c>
      <c r="G217" s="97">
        <f t="shared" si="1307"/>
        <v>1</v>
      </c>
      <c r="H217" s="98">
        <f t="shared" si="1307"/>
        <v>2</v>
      </c>
      <c r="I217" s="99">
        <f t="shared" si="1307"/>
        <v>2</v>
      </c>
      <c r="J217" s="100">
        <f t="shared" si="1307"/>
        <v>1</v>
      </c>
      <c r="K217" s="101">
        <f t="shared" si="1307"/>
        <v>0</v>
      </c>
      <c r="L217" s="101">
        <f t="shared" si="1307"/>
        <v>1</v>
      </c>
      <c r="M217" s="140">
        <f t="shared" si="1200"/>
        <v>42</v>
      </c>
      <c r="N217" s="97">
        <f t="shared" ref="N217:T217" si="1308">RANDBETWEEN(0,10)</f>
        <v>3</v>
      </c>
      <c r="O217" s="97">
        <f t="shared" si="1308"/>
        <v>6</v>
      </c>
      <c r="P217" s="97">
        <f t="shared" si="1308"/>
        <v>8</v>
      </c>
      <c r="Q217" s="97">
        <f t="shared" si="1308"/>
        <v>3</v>
      </c>
      <c r="R217" s="97">
        <f t="shared" si="1308"/>
        <v>10</v>
      </c>
      <c r="S217" s="97">
        <f t="shared" si="1308"/>
        <v>8</v>
      </c>
      <c r="T217" s="97">
        <f t="shared" si="1308"/>
        <v>4</v>
      </c>
      <c r="U217" s="103">
        <f t="shared" si="1284"/>
        <v>14</v>
      </c>
      <c r="V217" s="158">
        <f t="shared" si="1237"/>
        <v>4</v>
      </c>
      <c r="W217" s="97">
        <f t="shared" ref="W217:Y217" si="1309">RANDBETWEEN(0,2)</f>
        <v>2</v>
      </c>
      <c r="X217" s="97">
        <f t="shared" si="1309"/>
        <v>2</v>
      </c>
      <c r="Y217" s="97">
        <f t="shared" si="1309"/>
        <v>0</v>
      </c>
      <c r="Z217" s="105">
        <f t="shared" si="1246"/>
        <v>2</v>
      </c>
      <c r="AA217" s="143">
        <f t="shared" ref="AA217:AF217" si="1310">RANDBETWEEN(0,2)</f>
        <v>1</v>
      </c>
      <c r="AB217" s="143">
        <f t="shared" si="1310"/>
        <v>1</v>
      </c>
      <c r="AC217" s="144">
        <f t="shared" si="1310"/>
        <v>1</v>
      </c>
      <c r="AD217" s="145">
        <f t="shared" si="1310"/>
        <v>1</v>
      </c>
      <c r="AE217" s="145">
        <f t="shared" si="1310"/>
        <v>2</v>
      </c>
      <c r="AF217" s="145">
        <f t="shared" si="1310"/>
        <v>0</v>
      </c>
      <c r="AG217" s="86">
        <f t="shared" si="1207"/>
        <v>4</v>
      </c>
      <c r="AH217" s="144">
        <f t="shared" ref="AH217:AJ217" si="1311">RANDBETWEEN(1,10)</f>
        <v>10</v>
      </c>
      <c r="AI217" s="145">
        <f t="shared" si="1311"/>
        <v>9</v>
      </c>
      <c r="AJ217" s="145">
        <f t="shared" si="1311"/>
        <v>5</v>
      </c>
      <c r="AK217" s="192">
        <f t="shared" si="1209"/>
        <v>24</v>
      </c>
      <c r="AL217" s="144"/>
      <c r="AM217" s="145"/>
      <c r="AN217" s="145"/>
      <c r="AO217" s="145"/>
      <c r="AP217" s="89"/>
      <c r="AQ217" s="144"/>
      <c r="AR217" s="145"/>
      <c r="AS217" s="145"/>
      <c r="AT217" s="193"/>
      <c r="AU217" s="144"/>
      <c r="AV217" s="145"/>
      <c r="AW217" s="145"/>
      <c r="AX217" s="194"/>
      <c r="AY217" s="92">
        <f t="shared" ref="AY217:AZ217" si="1312">RANDBETWEEN(1,10)/10</f>
        <v>1</v>
      </c>
      <c r="AZ217" s="92">
        <f t="shared" si="1312"/>
        <v>0.8</v>
      </c>
      <c r="BA217" s="93">
        <v>0.0</v>
      </c>
      <c r="BB217" s="93">
        <v>0.0</v>
      </c>
      <c r="BC217" s="94">
        <f>SUM(BC189,'ГОЧ'!$AY217)</f>
        <v>1204</v>
      </c>
      <c r="BD217" s="94">
        <f>SUM(BD189,'ГОЧ'!$AZ217)</f>
        <v>1204.8</v>
      </c>
      <c r="BE217" s="108"/>
      <c r="BF217" s="108"/>
    </row>
    <row r="218" ht="15.75" customHeight="1">
      <c r="A218" s="67">
        <f t="shared" si="1197"/>
        <v>46261</v>
      </c>
      <c r="B218" s="114" t="s">
        <v>45</v>
      </c>
      <c r="C218" s="164">
        <f t="shared" si="1198"/>
        <v>16</v>
      </c>
      <c r="D218" s="164">
        <f t="shared" ref="D218:U218" si="1313">SUM(D212:D217)</f>
        <v>7</v>
      </c>
      <c r="E218" s="165">
        <f t="shared" si="1313"/>
        <v>6</v>
      </c>
      <c r="F218" s="165">
        <f t="shared" si="1313"/>
        <v>9</v>
      </c>
      <c r="G218" s="165">
        <f t="shared" si="1313"/>
        <v>4</v>
      </c>
      <c r="H218" s="165">
        <f t="shared" si="1313"/>
        <v>8</v>
      </c>
      <c r="I218" s="165">
        <f t="shared" si="1313"/>
        <v>7</v>
      </c>
      <c r="J218" s="165">
        <f t="shared" si="1313"/>
        <v>9</v>
      </c>
      <c r="K218" s="165">
        <f t="shared" si="1313"/>
        <v>6</v>
      </c>
      <c r="L218" s="165">
        <f t="shared" si="1313"/>
        <v>5</v>
      </c>
      <c r="M218" s="164">
        <f t="shared" si="1313"/>
        <v>213</v>
      </c>
      <c r="N218" s="164">
        <f t="shared" si="1313"/>
        <v>25</v>
      </c>
      <c r="O218" s="165">
        <f t="shared" si="1313"/>
        <v>34</v>
      </c>
      <c r="P218" s="165">
        <f t="shared" si="1313"/>
        <v>36</v>
      </c>
      <c r="Q218" s="165">
        <f t="shared" si="1313"/>
        <v>28</v>
      </c>
      <c r="R218" s="165">
        <f t="shared" si="1313"/>
        <v>34</v>
      </c>
      <c r="S218" s="165">
        <f t="shared" si="1313"/>
        <v>32</v>
      </c>
      <c r="T218" s="165">
        <f t="shared" si="1313"/>
        <v>24</v>
      </c>
      <c r="U218" s="164">
        <f t="shared" si="1313"/>
        <v>91</v>
      </c>
      <c r="V218" s="164">
        <f t="shared" si="1237"/>
        <v>14</v>
      </c>
      <c r="W218" s="165">
        <f t="shared" ref="W218:Y218" si="1314">SUM(W212:W217)</f>
        <v>4</v>
      </c>
      <c r="X218" s="165">
        <f t="shared" si="1314"/>
        <v>6</v>
      </c>
      <c r="Y218" s="165">
        <f t="shared" si="1314"/>
        <v>4</v>
      </c>
      <c r="Z218" s="165">
        <f t="shared" si="1246"/>
        <v>11</v>
      </c>
      <c r="AA218" s="165">
        <f t="shared" ref="AA218:AF218" si="1315">SUM(AA212:AA217)</f>
        <v>7</v>
      </c>
      <c r="AB218" s="165">
        <f t="shared" si="1315"/>
        <v>4</v>
      </c>
      <c r="AC218" s="166">
        <f t="shared" si="1315"/>
        <v>7</v>
      </c>
      <c r="AD218" s="166">
        <f t="shared" si="1315"/>
        <v>6</v>
      </c>
      <c r="AE218" s="166">
        <f t="shared" si="1315"/>
        <v>10</v>
      </c>
      <c r="AF218" s="166">
        <f t="shared" si="1315"/>
        <v>6</v>
      </c>
      <c r="AG218" s="168">
        <f t="shared" si="1207"/>
        <v>29</v>
      </c>
      <c r="AH218" s="166">
        <f t="shared" ref="AH218:AJ218" si="1316">SUM(AH212:AH217)</f>
        <v>36</v>
      </c>
      <c r="AI218" s="167">
        <f t="shared" si="1316"/>
        <v>42</v>
      </c>
      <c r="AJ218" s="167">
        <f t="shared" si="1316"/>
        <v>29</v>
      </c>
      <c r="AK218" s="168">
        <f t="shared" si="1209"/>
        <v>107</v>
      </c>
      <c r="AL218" s="166"/>
      <c r="AM218" s="166"/>
      <c r="AN218" s="166"/>
      <c r="AO218" s="166"/>
      <c r="AP218" s="169"/>
      <c r="AQ218" s="166"/>
      <c r="AR218" s="167"/>
      <c r="AS218" s="167"/>
      <c r="AT218" s="170"/>
      <c r="AU218" s="166"/>
      <c r="AV218" s="167"/>
      <c r="AW218" s="167"/>
      <c r="AX218" s="171"/>
      <c r="AY218" s="196">
        <f t="shared" ref="AY218:BD218" si="1317">SUM(AY212:AY217)</f>
        <v>3.5</v>
      </c>
      <c r="AZ218" s="196">
        <f t="shared" si="1317"/>
        <v>4.4</v>
      </c>
      <c r="BA218" s="167">
        <f t="shared" si="1317"/>
        <v>0</v>
      </c>
      <c r="BB218" s="167">
        <f t="shared" si="1317"/>
        <v>0</v>
      </c>
      <c r="BC218" s="197">
        <f t="shared" si="1317"/>
        <v>7223.4</v>
      </c>
      <c r="BD218" s="197">
        <f t="shared" si="1317"/>
        <v>7225.6</v>
      </c>
      <c r="BE218" s="154" t="str">
        <f t="shared" ref="BE218:BF218" si="1318">TEXTJOIN(", ",TRUE,BE212:BE217)</f>
        <v/>
      </c>
      <c r="BF218" s="154" t="str">
        <f t="shared" si="1318"/>
        <v/>
      </c>
    </row>
    <row r="219" ht="15.75" customHeight="1">
      <c r="A219" s="67">
        <f t="shared" si="1197"/>
        <v>46261</v>
      </c>
      <c r="B219" s="124" t="s">
        <v>49</v>
      </c>
      <c r="C219" s="174">
        <f t="shared" si="1198"/>
        <v>2</v>
      </c>
      <c r="D219" s="175">
        <f t="shared" ref="D219:L219" si="1319">RANDBETWEEN(0,2)</f>
        <v>2</v>
      </c>
      <c r="E219" s="175">
        <f t="shared" si="1319"/>
        <v>0</v>
      </c>
      <c r="F219" s="175">
        <f t="shared" si="1319"/>
        <v>0</v>
      </c>
      <c r="G219" s="175">
        <f t="shared" si="1319"/>
        <v>1</v>
      </c>
      <c r="H219" s="176">
        <f t="shared" si="1319"/>
        <v>0</v>
      </c>
      <c r="I219" s="177">
        <f t="shared" si="1319"/>
        <v>0</v>
      </c>
      <c r="J219" s="178">
        <f t="shared" si="1319"/>
        <v>0</v>
      </c>
      <c r="K219" s="179">
        <f t="shared" si="1319"/>
        <v>2</v>
      </c>
      <c r="L219" s="179">
        <f t="shared" si="1319"/>
        <v>2</v>
      </c>
      <c r="M219" s="180">
        <f t="shared" ref="M219:M224" si="1326">SUM(N219:T219)</f>
        <v>33</v>
      </c>
      <c r="N219" s="175">
        <f t="shared" ref="N219:T219" si="1320">RANDBETWEEN(0,10)</f>
        <v>9</v>
      </c>
      <c r="O219" s="175">
        <f t="shared" si="1320"/>
        <v>3</v>
      </c>
      <c r="P219" s="175">
        <f t="shared" si="1320"/>
        <v>6</v>
      </c>
      <c r="Q219" s="175">
        <f t="shared" si="1320"/>
        <v>8</v>
      </c>
      <c r="R219" s="175">
        <f t="shared" si="1320"/>
        <v>4</v>
      </c>
      <c r="S219" s="175">
        <f t="shared" si="1320"/>
        <v>1</v>
      </c>
      <c r="T219" s="175">
        <f t="shared" si="1320"/>
        <v>2</v>
      </c>
      <c r="U219" s="181">
        <f t="shared" ref="U219:U223" si="1328">RANDBETWEEN(10,30)</f>
        <v>14</v>
      </c>
      <c r="V219" s="182">
        <f t="shared" si="1237"/>
        <v>6</v>
      </c>
      <c r="W219" s="175">
        <f t="shared" ref="W219:Y219" si="1321">RANDBETWEEN(0,2)</f>
        <v>2</v>
      </c>
      <c r="X219" s="175">
        <f t="shared" si="1321"/>
        <v>2</v>
      </c>
      <c r="Y219" s="175">
        <f t="shared" si="1321"/>
        <v>2</v>
      </c>
      <c r="Z219" s="183">
        <f t="shared" si="1246"/>
        <v>2</v>
      </c>
      <c r="AA219" s="198">
        <f t="shared" ref="AA219:AF219" si="1322">RANDBETWEEN(0,2)</f>
        <v>1</v>
      </c>
      <c r="AB219" s="198">
        <f t="shared" si="1322"/>
        <v>1</v>
      </c>
      <c r="AC219" s="199">
        <f t="shared" si="1322"/>
        <v>2</v>
      </c>
      <c r="AD219" s="200">
        <f t="shared" si="1322"/>
        <v>0</v>
      </c>
      <c r="AE219" s="200">
        <f t="shared" si="1322"/>
        <v>1</v>
      </c>
      <c r="AF219" s="200">
        <f t="shared" si="1322"/>
        <v>1</v>
      </c>
      <c r="AG219" s="187">
        <f t="shared" si="1207"/>
        <v>4</v>
      </c>
      <c r="AH219" s="199">
        <f t="shared" ref="AH219:AJ219" si="1323">RANDBETWEEN(1,10)</f>
        <v>8</v>
      </c>
      <c r="AI219" s="200">
        <f t="shared" si="1323"/>
        <v>2</v>
      </c>
      <c r="AJ219" s="200">
        <f t="shared" si="1323"/>
        <v>10</v>
      </c>
      <c r="AK219" s="188">
        <f t="shared" si="1209"/>
        <v>20</v>
      </c>
      <c r="AL219" s="199"/>
      <c r="AM219" s="200"/>
      <c r="AN219" s="200"/>
      <c r="AO219" s="200"/>
      <c r="AP219" s="189"/>
      <c r="AQ219" s="199"/>
      <c r="AR219" s="200"/>
      <c r="AS219" s="200"/>
      <c r="AT219" s="190"/>
      <c r="AU219" s="199"/>
      <c r="AV219" s="200"/>
      <c r="AW219" s="200"/>
      <c r="AX219" s="191"/>
      <c r="AY219" s="92">
        <f t="shared" ref="AY219:AZ219" si="1324">RANDBETWEEN(1,10)/10</f>
        <v>0.9</v>
      </c>
      <c r="AZ219" s="92">
        <f t="shared" si="1324"/>
        <v>0.1</v>
      </c>
      <c r="BA219" s="93">
        <v>0.0</v>
      </c>
      <c r="BB219" s="93">
        <v>0.0</v>
      </c>
      <c r="BC219" s="94">
        <f>SUM(BC191,'ГОЧ'!$AY219)</f>
        <v>1203.6</v>
      </c>
      <c r="BD219" s="94">
        <f>SUM(BD191,'ГОЧ'!$AZ219)</f>
        <v>1203.1</v>
      </c>
      <c r="BE219" s="186"/>
      <c r="BF219" s="186"/>
    </row>
    <row r="220" ht="15.75" customHeight="1">
      <c r="A220" s="67">
        <f t="shared" si="1197"/>
        <v>46261</v>
      </c>
      <c r="B220" s="195" t="s">
        <v>53</v>
      </c>
      <c r="C220" s="157">
        <f t="shared" si="1198"/>
        <v>2</v>
      </c>
      <c r="D220" s="97">
        <f t="shared" ref="D220:L220" si="1325">RANDBETWEEN(0,2)</f>
        <v>1</v>
      </c>
      <c r="E220" s="97">
        <f t="shared" si="1325"/>
        <v>2</v>
      </c>
      <c r="F220" s="97">
        <f t="shared" si="1325"/>
        <v>1</v>
      </c>
      <c r="G220" s="97">
        <f t="shared" si="1325"/>
        <v>2</v>
      </c>
      <c r="H220" s="98">
        <f t="shared" si="1325"/>
        <v>0</v>
      </c>
      <c r="I220" s="99">
        <f t="shared" si="1325"/>
        <v>0</v>
      </c>
      <c r="J220" s="100">
        <f t="shared" si="1325"/>
        <v>2</v>
      </c>
      <c r="K220" s="101">
        <f t="shared" si="1325"/>
        <v>0</v>
      </c>
      <c r="L220" s="101">
        <f t="shared" si="1325"/>
        <v>1</v>
      </c>
      <c r="M220" s="140">
        <f t="shared" si="1326"/>
        <v>36</v>
      </c>
      <c r="N220" s="97">
        <f t="shared" ref="N220:T220" si="1327">RANDBETWEEN(0,10)</f>
        <v>9</v>
      </c>
      <c r="O220" s="97">
        <f t="shared" si="1327"/>
        <v>7</v>
      </c>
      <c r="P220" s="97">
        <f t="shared" si="1327"/>
        <v>1</v>
      </c>
      <c r="Q220" s="97">
        <f t="shared" si="1327"/>
        <v>10</v>
      </c>
      <c r="R220" s="97">
        <f t="shared" si="1327"/>
        <v>6</v>
      </c>
      <c r="S220" s="97">
        <f t="shared" si="1327"/>
        <v>3</v>
      </c>
      <c r="T220" s="97">
        <f t="shared" si="1327"/>
        <v>0</v>
      </c>
      <c r="U220" s="103">
        <f t="shared" si="1328"/>
        <v>27</v>
      </c>
      <c r="V220" s="158">
        <f t="shared" si="1237"/>
        <v>3</v>
      </c>
      <c r="W220" s="97">
        <f t="shared" ref="W220:Y220" si="1329">RANDBETWEEN(0,2)</f>
        <v>1</v>
      </c>
      <c r="X220" s="97">
        <f t="shared" si="1329"/>
        <v>1</v>
      </c>
      <c r="Y220" s="97">
        <f t="shared" si="1329"/>
        <v>1</v>
      </c>
      <c r="Z220" s="105">
        <f t="shared" si="1246"/>
        <v>3</v>
      </c>
      <c r="AA220" s="106">
        <f t="shared" ref="AA220:AF220" si="1330">RANDBETWEEN(0,2)</f>
        <v>1</v>
      </c>
      <c r="AB220" s="106">
        <f t="shared" si="1330"/>
        <v>2</v>
      </c>
      <c r="AC220" s="107">
        <f t="shared" si="1330"/>
        <v>0</v>
      </c>
      <c r="AD220" s="108">
        <f t="shared" si="1330"/>
        <v>2</v>
      </c>
      <c r="AE220" s="108">
        <f t="shared" si="1330"/>
        <v>2</v>
      </c>
      <c r="AF220" s="108">
        <f t="shared" si="1330"/>
        <v>0</v>
      </c>
      <c r="AG220" s="86">
        <f t="shared" si="1207"/>
        <v>4</v>
      </c>
      <c r="AH220" s="107">
        <f t="shared" ref="AH220:AJ220" si="1331">RANDBETWEEN(1,10)</f>
        <v>7</v>
      </c>
      <c r="AI220" s="108">
        <f t="shared" si="1331"/>
        <v>8</v>
      </c>
      <c r="AJ220" s="108">
        <f t="shared" si="1331"/>
        <v>7</v>
      </c>
      <c r="AK220" s="192">
        <f t="shared" si="1209"/>
        <v>22</v>
      </c>
      <c r="AL220" s="107"/>
      <c r="AM220" s="108"/>
      <c r="AN220" s="108"/>
      <c r="AO220" s="108"/>
      <c r="AP220" s="89"/>
      <c r="AQ220" s="107"/>
      <c r="AR220" s="108"/>
      <c r="AS220" s="108"/>
      <c r="AT220" s="193"/>
      <c r="AU220" s="107"/>
      <c r="AV220" s="108"/>
      <c r="AW220" s="108"/>
      <c r="AX220" s="194"/>
      <c r="AY220" s="92">
        <f t="shared" ref="AY220:AZ220" si="1332">RANDBETWEEN(1,10)/10</f>
        <v>0.2</v>
      </c>
      <c r="AZ220" s="92">
        <f t="shared" si="1332"/>
        <v>0.2</v>
      </c>
      <c r="BA220" s="93">
        <v>0.0</v>
      </c>
      <c r="BB220" s="93">
        <v>0.0</v>
      </c>
      <c r="BC220" s="94">
        <f>SUM(BC192,'ГОЧ'!$AY220)</f>
        <v>1203.5</v>
      </c>
      <c r="BD220" s="94">
        <f>SUM(BD192,'ГОЧ'!$AZ220)</f>
        <v>1203.3</v>
      </c>
      <c r="BE220" s="108"/>
      <c r="BF220" s="108"/>
    </row>
    <row r="221" ht="15.75" customHeight="1">
      <c r="A221" s="67">
        <f t="shared" si="1197"/>
        <v>46261</v>
      </c>
      <c r="B221" s="138" t="s">
        <v>57</v>
      </c>
      <c r="C221" s="157">
        <f t="shared" si="1198"/>
        <v>2</v>
      </c>
      <c r="D221" s="97">
        <f t="shared" ref="D221:L221" si="1333">RANDBETWEEN(0,2)</f>
        <v>0</v>
      </c>
      <c r="E221" s="97">
        <f t="shared" si="1333"/>
        <v>2</v>
      </c>
      <c r="F221" s="97">
        <f t="shared" si="1333"/>
        <v>2</v>
      </c>
      <c r="G221" s="97">
        <f t="shared" si="1333"/>
        <v>1</v>
      </c>
      <c r="H221" s="98">
        <f t="shared" si="1333"/>
        <v>0</v>
      </c>
      <c r="I221" s="99">
        <f t="shared" si="1333"/>
        <v>2</v>
      </c>
      <c r="J221" s="100">
        <f t="shared" si="1333"/>
        <v>2</v>
      </c>
      <c r="K221" s="101">
        <f t="shared" si="1333"/>
        <v>2</v>
      </c>
      <c r="L221" s="101">
        <f t="shared" si="1333"/>
        <v>1</v>
      </c>
      <c r="M221" s="140">
        <f t="shared" si="1326"/>
        <v>42</v>
      </c>
      <c r="N221" s="97">
        <f t="shared" ref="N221:T221" si="1334">RANDBETWEEN(0,10)</f>
        <v>8</v>
      </c>
      <c r="O221" s="97">
        <f t="shared" si="1334"/>
        <v>10</v>
      </c>
      <c r="P221" s="97">
        <f t="shared" si="1334"/>
        <v>3</v>
      </c>
      <c r="Q221" s="97">
        <f t="shared" si="1334"/>
        <v>5</v>
      </c>
      <c r="R221" s="97">
        <f t="shared" si="1334"/>
        <v>10</v>
      </c>
      <c r="S221" s="97">
        <f t="shared" si="1334"/>
        <v>4</v>
      </c>
      <c r="T221" s="97">
        <f t="shared" si="1334"/>
        <v>2</v>
      </c>
      <c r="U221" s="103">
        <f t="shared" si="1328"/>
        <v>27</v>
      </c>
      <c r="V221" s="158">
        <f t="shared" si="1237"/>
        <v>2</v>
      </c>
      <c r="W221" s="97">
        <f t="shared" ref="W221:Y221" si="1335">RANDBETWEEN(0,2)</f>
        <v>0</v>
      </c>
      <c r="X221" s="97">
        <f t="shared" si="1335"/>
        <v>2</v>
      </c>
      <c r="Y221" s="97">
        <f t="shared" si="1335"/>
        <v>0</v>
      </c>
      <c r="Z221" s="105">
        <f t="shared" si="1246"/>
        <v>2</v>
      </c>
      <c r="AA221" s="143">
        <f t="shared" ref="AA221:AF221" si="1336">RANDBETWEEN(0,2)</f>
        <v>0</v>
      </c>
      <c r="AB221" s="143">
        <f t="shared" si="1336"/>
        <v>2</v>
      </c>
      <c r="AC221" s="144">
        <f t="shared" si="1336"/>
        <v>0</v>
      </c>
      <c r="AD221" s="145">
        <f t="shared" si="1336"/>
        <v>0</v>
      </c>
      <c r="AE221" s="145">
        <f t="shared" si="1336"/>
        <v>0</v>
      </c>
      <c r="AF221" s="145">
        <f t="shared" si="1336"/>
        <v>2</v>
      </c>
      <c r="AG221" s="86">
        <f t="shared" si="1207"/>
        <v>2</v>
      </c>
      <c r="AH221" s="144">
        <f t="shared" ref="AH221:AJ221" si="1337">RANDBETWEEN(1,10)</f>
        <v>9</v>
      </c>
      <c r="AI221" s="145">
        <f t="shared" si="1337"/>
        <v>2</v>
      </c>
      <c r="AJ221" s="145">
        <f t="shared" si="1337"/>
        <v>3</v>
      </c>
      <c r="AK221" s="192">
        <f t="shared" si="1209"/>
        <v>14</v>
      </c>
      <c r="AL221" s="144"/>
      <c r="AM221" s="145"/>
      <c r="AN221" s="145"/>
      <c r="AO221" s="145"/>
      <c r="AP221" s="89"/>
      <c r="AQ221" s="144"/>
      <c r="AR221" s="145"/>
      <c r="AS221" s="145"/>
      <c r="AT221" s="193"/>
      <c r="AU221" s="144"/>
      <c r="AV221" s="145"/>
      <c r="AW221" s="145"/>
      <c r="AX221" s="194"/>
      <c r="AY221" s="92">
        <f t="shared" ref="AY221:AZ221" si="1338">RANDBETWEEN(1,10)/10</f>
        <v>0.3</v>
      </c>
      <c r="AZ221" s="92">
        <f t="shared" si="1338"/>
        <v>0.5</v>
      </c>
      <c r="BA221" s="93">
        <v>0.0</v>
      </c>
      <c r="BB221" s="93">
        <v>0.0</v>
      </c>
      <c r="BC221" s="94">
        <f>SUM(BC193,'ГОЧ'!$AY221)</f>
        <v>1203.9</v>
      </c>
      <c r="BD221" s="94">
        <f>SUM(BD193,'ГОЧ'!$AZ221)</f>
        <v>1204.7</v>
      </c>
      <c r="BE221" s="108"/>
      <c r="BF221" s="108"/>
    </row>
    <row r="222" ht="15.75" customHeight="1">
      <c r="A222" s="67">
        <f t="shared" si="1197"/>
        <v>46261</v>
      </c>
      <c r="B222" s="138" t="s">
        <v>60</v>
      </c>
      <c r="C222" s="157">
        <f t="shared" si="1198"/>
        <v>2</v>
      </c>
      <c r="D222" s="97">
        <f t="shared" ref="D222:L222" si="1339">RANDBETWEEN(0,2)</f>
        <v>1</v>
      </c>
      <c r="E222" s="97">
        <f t="shared" si="1339"/>
        <v>0</v>
      </c>
      <c r="F222" s="97">
        <f t="shared" si="1339"/>
        <v>1</v>
      </c>
      <c r="G222" s="97">
        <f t="shared" si="1339"/>
        <v>2</v>
      </c>
      <c r="H222" s="98">
        <f t="shared" si="1339"/>
        <v>1</v>
      </c>
      <c r="I222" s="99">
        <f t="shared" si="1339"/>
        <v>2</v>
      </c>
      <c r="J222" s="100">
        <f t="shared" si="1339"/>
        <v>0</v>
      </c>
      <c r="K222" s="101">
        <f t="shared" si="1339"/>
        <v>2</v>
      </c>
      <c r="L222" s="101">
        <f t="shared" si="1339"/>
        <v>1</v>
      </c>
      <c r="M222" s="140">
        <f t="shared" si="1326"/>
        <v>36</v>
      </c>
      <c r="N222" s="97">
        <f t="shared" ref="N222:T222" si="1340">RANDBETWEEN(0,10)</f>
        <v>10</v>
      </c>
      <c r="O222" s="97">
        <f t="shared" si="1340"/>
        <v>4</v>
      </c>
      <c r="P222" s="97">
        <f t="shared" si="1340"/>
        <v>9</v>
      </c>
      <c r="Q222" s="97">
        <f t="shared" si="1340"/>
        <v>6</v>
      </c>
      <c r="R222" s="97">
        <f t="shared" si="1340"/>
        <v>2</v>
      </c>
      <c r="S222" s="97">
        <f t="shared" si="1340"/>
        <v>1</v>
      </c>
      <c r="T222" s="97">
        <f t="shared" si="1340"/>
        <v>4</v>
      </c>
      <c r="U222" s="103">
        <f t="shared" si="1328"/>
        <v>14</v>
      </c>
      <c r="V222" s="158">
        <f t="shared" si="1237"/>
        <v>6</v>
      </c>
      <c r="W222" s="97">
        <f t="shared" ref="W222:Y222" si="1341">RANDBETWEEN(0,2)</f>
        <v>2</v>
      </c>
      <c r="X222" s="97">
        <f t="shared" si="1341"/>
        <v>2</v>
      </c>
      <c r="Y222" s="97">
        <f t="shared" si="1341"/>
        <v>2</v>
      </c>
      <c r="Z222" s="105">
        <f t="shared" si="1246"/>
        <v>3</v>
      </c>
      <c r="AA222" s="106">
        <f t="shared" ref="AA222:AF222" si="1342">RANDBETWEEN(0,2)</f>
        <v>1</v>
      </c>
      <c r="AB222" s="106">
        <f t="shared" si="1342"/>
        <v>2</v>
      </c>
      <c r="AC222" s="107">
        <f t="shared" si="1342"/>
        <v>2</v>
      </c>
      <c r="AD222" s="108">
        <f t="shared" si="1342"/>
        <v>2</v>
      </c>
      <c r="AE222" s="108">
        <f t="shared" si="1342"/>
        <v>1</v>
      </c>
      <c r="AF222" s="108">
        <f t="shared" si="1342"/>
        <v>1</v>
      </c>
      <c r="AG222" s="86">
        <f t="shared" si="1207"/>
        <v>6</v>
      </c>
      <c r="AH222" s="107">
        <f t="shared" ref="AH222:AJ222" si="1343">RANDBETWEEN(1,10)</f>
        <v>5</v>
      </c>
      <c r="AI222" s="108">
        <f t="shared" si="1343"/>
        <v>9</v>
      </c>
      <c r="AJ222" s="108">
        <f t="shared" si="1343"/>
        <v>3</v>
      </c>
      <c r="AK222" s="192">
        <f t="shared" si="1209"/>
        <v>17</v>
      </c>
      <c r="AL222" s="107"/>
      <c r="AM222" s="108"/>
      <c r="AN222" s="108"/>
      <c r="AO222" s="108"/>
      <c r="AP222" s="89"/>
      <c r="AQ222" s="107"/>
      <c r="AR222" s="108"/>
      <c r="AS222" s="108"/>
      <c r="AT222" s="193"/>
      <c r="AU222" s="107"/>
      <c r="AV222" s="108"/>
      <c r="AW222" s="108"/>
      <c r="AX222" s="194"/>
      <c r="AY222" s="92">
        <f t="shared" ref="AY222:AZ222" si="1344">RANDBETWEEN(1,10)/10</f>
        <v>0.7</v>
      </c>
      <c r="AZ222" s="92">
        <f t="shared" si="1344"/>
        <v>0.6</v>
      </c>
      <c r="BA222" s="93">
        <v>0.0</v>
      </c>
      <c r="BB222" s="93">
        <v>0.0</v>
      </c>
      <c r="BC222" s="94">
        <f>SUM(BC194,'ГОЧ'!$AY222)</f>
        <v>1203.2</v>
      </c>
      <c r="BD222" s="94">
        <f>SUM(BD194,'ГОЧ'!$AZ222)</f>
        <v>1203.7</v>
      </c>
      <c r="BE222" s="108"/>
      <c r="BF222" s="108"/>
    </row>
    <row r="223" ht="15.75" customHeight="1">
      <c r="A223" s="67">
        <f t="shared" si="1197"/>
        <v>46261</v>
      </c>
      <c r="B223" s="195" t="s">
        <v>64</v>
      </c>
      <c r="C223" s="157">
        <f t="shared" si="1198"/>
        <v>1</v>
      </c>
      <c r="D223" s="97">
        <f t="shared" ref="D223:L223" si="1345">RANDBETWEEN(0,2)</f>
        <v>1</v>
      </c>
      <c r="E223" s="97">
        <f t="shared" si="1345"/>
        <v>0</v>
      </c>
      <c r="F223" s="97">
        <f t="shared" si="1345"/>
        <v>0</v>
      </c>
      <c r="G223" s="97">
        <f t="shared" si="1345"/>
        <v>0</v>
      </c>
      <c r="H223" s="98">
        <f t="shared" si="1345"/>
        <v>1</v>
      </c>
      <c r="I223" s="99">
        <f t="shared" si="1345"/>
        <v>2</v>
      </c>
      <c r="J223" s="100">
        <f t="shared" si="1345"/>
        <v>1</v>
      </c>
      <c r="K223" s="101">
        <f t="shared" si="1345"/>
        <v>2</v>
      </c>
      <c r="L223" s="101">
        <f t="shared" si="1345"/>
        <v>1</v>
      </c>
      <c r="M223" s="140">
        <f t="shared" si="1326"/>
        <v>39</v>
      </c>
      <c r="N223" s="97">
        <f t="shared" ref="N223:T223" si="1346">RANDBETWEEN(0,10)</f>
        <v>8</v>
      </c>
      <c r="O223" s="97">
        <f t="shared" si="1346"/>
        <v>2</v>
      </c>
      <c r="P223" s="97">
        <f t="shared" si="1346"/>
        <v>9</v>
      </c>
      <c r="Q223" s="97">
        <f t="shared" si="1346"/>
        <v>4</v>
      </c>
      <c r="R223" s="97">
        <f t="shared" si="1346"/>
        <v>1</v>
      </c>
      <c r="S223" s="97">
        <f t="shared" si="1346"/>
        <v>8</v>
      </c>
      <c r="T223" s="97">
        <f t="shared" si="1346"/>
        <v>7</v>
      </c>
      <c r="U223" s="103">
        <f t="shared" si="1328"/>
        <v>29</v>
      </c>
      <c r="V223" s="158">
        <f t="shared" si="1237"/>
        <v>4</v>
      </c>
      <c r="W223" s="97">
        <f t="shared" ref="W223:Y223" si="1347">RANDBETWEEN(0,2)</f>
        <v>2</v>
      </c>
      <c r="X223" s="97">
        <f t="shared" si="1347"/>
        <v>2</v>
      </c>
      <c r="Y223" s="97">
        <f t="shared" si="1347"/>
        <v>0</v>
      </c>
      <c r="Z223" s="105">
        <f t="shared" si="1246"/>
        <v>4</v>
      </c>
      <c r="AA223" s="143">
        <f t="shared" ref="AA223:AF223" si="1348">RANDBETWEEN(0,2)</f>
        <v>2</v>
      </c>
      <c r="AB223" s="143">
        <f t="shared" si="1348"/>
        <v>2</v>
      </c>
      <c r="AC223" s="144">
        <f t="shared" si="1348"/>
        <v>2</v>
      </c>
      <c r="AD223" s="145">
        <f t="shared" si="1348"/>
        <v>2</v>
      </c>
      <c r="AE223" s="145">
        <f t="shared" si="1348"/>
        <v>0</v>
      </c>
      <c r="AF223" s="145">
        <f t="shared" si="1348"/>
        <v>2</v>
      </c>
      <c r="AG223" s="86">
        <f t="shared" si="1207"/>
        <v>6</v>
      </c>
      <c r="AH223" s="144">
        <f t="shared" ref="AH223:AJ223" si="1349">RANDBETWEEN(1,10)</f>
        <v>4</v>
      </c>
      <c r="AI223" s="145">
        <f t="shared" si="1349"/>
        <v>7</v>
      </c>
      <c r="AJ223" s="145">
        <f t="shared" si="1349"/>
        <v>6</v>
      </c>
      <c r="AK223" s="192">
        <f t="shared" si="1209"/>
        <v>17</v>
      </c>
      <c r="AL223" s="144"/>
      <c r="AM223" s="145"/>
      <c r="AN223" s="145"/>
      <c r="AO223" s="145"/>
      <c r="AP223" s="89"/>
      <c r="AQ223" s="144"/>
      <c r="AR223" s="145"/>
      <c r="AS223" s="145"/>
      <c r="AT223" s="193"/>
      <c r="AU223" s="144"/>
      <c r="AV223" s="145"/>
      <c r="AW223" s="145"/>
      <c r="AX223" s="194"/>
      <c r="AY223" s="92">
        <f t="shared" ref="AY223:AZ223" si="1350">RANDBETWEEN(1,10)/10</f>
        <v>0.2</v>
      </c>
      <c r="AZ223" s="92">
        <f t="shared" si="1350"/>
        <v>0.7</v>
      </c>
      <c r="BA223" s="93">
        <v>0.0</v>
      </c>
      <c r="BB223" s="93">
        <v>0.0</v>
      </c>
      <c r="BC223" s="94">
        <f>SUM(BC195,'ГОЧ'!$AY223)</f>
        <v>1202.6</v>
      </c>
      <c r="BD223" s="94">
        <f>SUM(BD195,'ГОЧ'!$AZ223)</f>
        <v>1203.3</v>
      </c>
      <c r="BE223" s="108"/>
      <c r="BF223" s="108"/>
    </row>
    <row r="224" ht="15.75" customHeight="1">
      <c r="A224" s="67">
        <f t="shared" si="1197"/>
        <v>46261</v>
      </c>
      <c r="B224" s="201" t="s">
        <v>67</v>
      </c>
      <c r="C224" s="164">
        <f t="shared" si="1198"/>
        <v>9</v>
      </c>
      <c r="D224" s="164">
        <f t="shared" ref="D224:L224" si="1351">SUM(D219:D223)</f>
        <v>5</v>
      </c>
      <c r="E224" s="165">
        <f t="shared" si="1351"/>
        <v>4</v>
      </c>
      <c r="F224" s="165">
        <f t="shared" si="1351"/>
        <v>4</v>
      </c>
      <c r="G224" s="165">
        <f t="shared" si="1351"/>
        <v>6</v>
      </c>
      <c r="H224" s="165">
        <f t="shared" si="1351"/>
        <v>2</v>
      </c>
      <c r="I224" s="165">
        <f t="shared" si="1351"/>
        <v>6</v>
      </c>
      <c r="J224" s="165">
        <f t="shared" si="1351"/>
        <v>5</v>
      </c>
      <c r="K224" s="165">
        <f t="shared" si="1351"/>
        <v>8</v>
      </c>
      <c r="L224" s="165">
        <f t="shared" si="1351"/>
        <v>6</v>
      </c>
      <c r="M224" s="164">
        <f t="shared" si="1326"/>
        <v>186</v>
      </c>
      <c r="N224" s="164">
        <f t="shared" ref="N224:U224" si="1352">SUM(N219:N223)</f>
        <v>44</v>
      </c>
      <c r="O224" s="165">
        <f t="shared" si="1352"/>
        <v>26</v>
      </c>
      <c r="P224" s="165">
        <f t="shared" si="1352"/>
        <v>28</v>
      </c>
      <c r="Q224" s="165">
        <f t="shared" si="1352"/>
        <v>33</v>
      </c>
      <c r="R224" s="165">
        <f t="shared" si="1352"/>
        <v>23</v>
      </c>
      <c r="S224" s="165">
        <f t="shared" si="1352"/>
        <v>17</v>
      </c>
      <c r="T224" s="165">
        <f t="shared" si="1352"/>
        <v>15</v>
      </c>
      <c r="U224" s="164">
        <f t="shared" si="1352"/>
        <v>111</v>
      </c>
      <c r="V224" s="164">
        <f t="shared" si="1237"/>
        <v>21</v>
      </c>
      <c r="W224" s="165">
        <f t="shared" ref="W224:Y224" si="1353">SUM(W219:W223)</f>
        <v>7</v>
      </c>
      <c r="X224" s="165">
        <f t="shared" si="1353"/>
        <v>9</v>
      </c>
      <c r="Y224" s="165">
        <f t="shared" si="1353"/>
        <v>5</v>
      </c>
      <c r="Z224" s="164">
        <f>SUM(AA224:AB224)</f>
        <v>14</v>
      </c>
      <c r="AA224" s="164">
        <f t="shared" ref="AA224:AF224" si="1354">SUM(AA219:AA223)</f>
        <v>5</v>
      </c>
      <c r="AB224" s="165">
        <f t="shared" si="1354"/>
        <v>9</v>
      </c>
      <c r="AC224" s="166">
        <f t="shared" si="1354"/>
        <v>6</v>
      </c>
      <c r="AD224" s="166">
        <f t="shared" si="1354"/>
        <v>6</v>
      </c>
      <c r="AE224" s="166">
        <f t="shared" si="1354"/>
        <v>4</v>
      </c>
      <c r="AF224" s="166">
        <f t="shared" si="1354"/>
        <v>6</v>
      </c>
      <c r="AG224" s="168">
        <f t="shared" si="1207"/>
        <v>22</v>
      </c>
      <c r="AH224" s="166">
        <f t="shared" ref="AH224:AJ224" si="1355">SUM(AH219:AH223)</f>
        <v>33</v>
      </c>
      <c r="AI224" s="167">
        <f t="shared" si="1355"/>
        <v>28</v>
      </c>
      <c r="AJ224" s="167">
        <f t="shared" si="1355"/>
        <v>29</v>
      </c>
      <c r="AK224" s="168">
        <f t="shared" si="1209"/>
        <v>90</v>
      </c>
      <c r="AL224" s="166"/>
      <c r="AM224" s="166"/>
      <c r="AN224" s="166"/>
      <c r="AO224" s="166"/>
      <c r="AP224" s="169"/>
      <c r="AQ224" s="166"/>
      <c r="AR224" s="167"/>
      <c r="AS224" s="167"/>
      <c r="AT224" s="170"/>
      <c r="AU224" s="166"/>
      <c r="AV224" s="167"/>
      <c r="AW224" s="167"/>
      <c r="AX224" s="171"/>
      <c r="AY224" s="196">
        <f t="shared" ref="AY224:BD224" si="1356">SUM(AY219:AY223)</f>
        <v>2.3</v>
      </c>
      <c r="AZ224" s="196">
        <f t="shared" si="1356"/>
        <v>2.1</v>
      </c>
      <c r="BA224" s="167">
        <f t="shared" si="1356"/>
        <v>0</v>
      </c>
      <c r="BB224" s="167">
        <f t="shared" si="1356"/>
        <v>0</v>
      </c>
      <c r="BC224" s="197">
        <f t="shared" si="1356"/>
        <v>6016.8</v>
      </c>
      <c r="BD224" s="197">
        <f t="shared" si="1356"/>
        <v>6018.1</v>
      </c>
      <c r="BE224" s="154" t="str">
        <f t="shared" ref="BE224:BF224" si="1357">TEXTJOIN(", ",TRUE,BE219:BE223)</f>
        <v/>
      </c>
      <c r="BF224" s="154" t="str">
        <f t="shared" si="1357"/>
        <v/>
      </c>
    </row>
    <row r="225" ht="15.75" customHeight="1">
      <c r="A225" s="67">
        <f t="shared" si="1197"/>
        <v>46261</v>
      </c>
      <c r="B225" s="202" t="s">
        <v>72</v>
      </c>
      <c r="C225" s="203">
        <f t="shared" ref="C225:AK225" si="1358">SUM(C199+C200+C201+C205,C204,C211,C218,C224)</f>
        <v>50</v>
      </c>
      <c r="D225" s="203">
        <f t="shared" si="1358"/>
        <v>24</v>
      </c>
      <c r="E225" s="203">
        <f t="shared" si="1358"/>
        <v>22</v>
      </c>
      <c r="F225" s="203">
        <f t="shared" si="1358"/>
        <v>26</v>
      </c>
      <c r="G225" s="203">
        <f t="shared" si="1358"/>
        <v>20</v>
      </c>
      <c r="H225" s="203">
        <f t="shared" si="1358"/>
        <v>19</v>
      </c>
      <c r="I225" s="203">
        <f t="shared" si="1358"/>
        <v>24</v>
      </c>
      <c r="J225" s="203">
        <f t="shared" si="1358"/>
        <v>25</v>
      </c>
      <c r="K225" s="203">
        <f t="shared" si="1358"/>
        <v>25</v>
      </c>
      <c r="L225" s="203">
        <f t="shared" si="1358"/>
        <v>20</v>
      </c>
      <c r="M225" s="203">
        <f t="shared" si="1358"/>
        <v>786</v>
      </c>
      <c r="N225" s="203">
        <f t="shared" si="1358"/>
        <v>129</v>
      </c>
      <c r="O225" s="203">
        <f t="shared" si="1358"/>
        <v>105</v>
      </c>
      <c r="P225" s="203">
        <f t="shared" si="1358"/>
        <v>107</v>
      </c>
      <c r="Q225" s="203">
        <f t="shared" si="1358"/>
        <v>127</v>
      </c>
      <c r="R225" s="203">
        <f t="shared" si="1358"/>
        <v>101</v>
      </c>
      <c r="S225" s="203">
        <f t="shared" si="1358"/>
        <v>107</v>
      </c>
      <c r="T225" s="203">
        <f t="shared" si="1358"/>
        <v>110</v>
      </c>
      <c r="U225" s="203">
        <f t="shared" si="1358"/>
        <v>404</v>
      </c>
      <c r="V225" s="203">
        <f t="shared" si="1358"/>
        <v>66</v>
      </c>
      <c r="W225" s="203">
        <f t="shared" si="1358"/>
        <v>24</v>
      </c>
      <c r="X225" s="203">
        <f t="shared" si="1358"/>
        <v>24</v>
      </c>
      <c r="Y225" s="203">
        <f t="shared" si="1358"/>
        <v>18</v>
      </c>
      <c r="Z225" s="203">
        <f t="shared" si="1358"/>
        <v>36</v>
      </c>
      <c r="AA225" s="203">
        <f t="shared" si="1358"/>
        <v>19</v>
      </c>
      <c r="AB225" s="203">
        <f t="shared" si="1358"/>
        <v>17</v>
      </c>
      <c r="AC225" s="204">
        <f t="shared" si="1358"/>
        <v>19</v>
      </c>
      <c r="AD225" s="204">
        <f t="shared" si="1358"/>
        <v>24</v>
      </c>
      <c r="AE225" s="204">
        <f t="shared" si="1358"/>
        <v>23</v>
      </c>
      <c r="AF225" s="204">
        <f t="shared" si="1358"/>
        <v>20</v>
      </c>
      <c r="AG225" s="204">
        <f t="shared" si="1358"/>
        <v>86</v>
      </c>
      <c r="AH225" s="204">
        <f t="shared" si="1358"/>
        <v>125</v>
      </c>
      <c r="AI225" s="204">
        <f t="shared" si="1358"/>
        <v>103</v>
      </c>
      <c r="AJ225" s="204">
        <f t="shared" si="1358"/>
        <v>116</v>
      </c>
      <c r="AK225" s="204">
        <f t="shared" si="1358"/>
        <v>344</v>
      </c>
      <c r="AL225" s="204"/>
      <c r="AM225" s="204"/>
      <c r="AN225" s="204"/>
      <c r="AO225" s="204"/>
      <c r="AP225" s="151"/>
      <c r="AQ225" s="204"/>
      <c r="AR225" s="204"/>
      <c r="AS225" s="204"/>
      <c r="AT225" s="152"/>
      <c r="AU225" s="204"/>
      <c r="AV225" s="204"/>
      <c r="AW225" s="204"/>
      <c r="AX225" s="153"/>
      <c r="AY225" s="205">
        <f t="shared" ref="AY225:BD225" si="1359">SUM(AY199+AY200+AY201+AY205,AY204,AY211,AY218,AY224)</f>
        <v>22.7</v>
      </c>
      <c r="AZ225" s="205">
        <f t="shared" si="1359"/>
        <v>17.5</v>
      </c>
      <c r="BA225" s="206">
        <f t="shared" si="1359"/>
        <v>5</v>
      </c>
      <c r="BB225" s="206">
        <f t="shared" si="1359"/>
        <v>3</v>
      </c>
      <c r="BC225" s="207">
        <f t="shared" si="1359"/>
        <v>26487</v>
      </c>
      <c r="BD225" s="207">
        <f t="shared" si="1359"/>
        <v>26491.7</v>
      </c>
      <c r="BE225" s="154" t="str">
        <f t="shared" ref="BE225:BF225" si="1360">TEXTJOIN(", ",TRUE,BE224,BE218,BE211,BE205,BE204,BE201,BE200,BE199)</f>
        <v>Олександівка, Пантелеймонівка, Миколаївка, Курськ, Рильск</v>
      </c>
      <c r="BF225" s="154" t="str">
        <f t="shared" si="1360"/>
        <v>Загреблі, Верхні води, Ступочки</v>
      </c>
    </row>
    <row r="226" ht="15.75" customHeight="1">
      <c r="A226" s="55">
        <f>A225+1</f>
        <v>46262</v>
      </c>
      <c r="B226" s="56"/>
      <c r="C226" s="57"/>
      <c r="D226" s="58"/>
      <c r="E226" s="59"/>
      <c r="F226" s="58"/>
      <c r="G226" s="59"/>
      <c r="H226" s="57"/>
      <c r="I226" s="60"/>
      <c r="J226" s="57"/>
      <c r="K226" s="57"/>
      <c r="L226" s="57"/>
      <c r="M226" s="57"/>
      <c r="N226" s="60"/>
      <c r="O226" s="60"/>
      <c r="P226" s="60"/>
      <c r="Q226" s="60"/>
      <c r="R226" s="60"/>
      <c r="S226" s="60"/>
      <c r="T226" s="60"/>
      <c r="U226" s="57"/>
      <c r="V226" s="58"/>
      <c r="W226" s="61"/>
      <c r="X226" s="61"/>
      <c r="Y226" s="61"/>
      <c r="Z226" s="57"/>
      <c r="AA226" s="60"/>
      <c r="AB226" s="60"/>
      <c r="AC226" s="62"/>
      <c r="AD226" s="62"/>
      <c r="AE226" s="62"/>
      <c r="AF226" s="62"/>
      <c r="AG226" s="62"/>
      <c r="AH226" s="62"/>
      <c r="AI226" s="62"/>
      <c r="AJ226" s="62"/>
      <c r="AK226" s="62"/>
      <c r="AL226" s="62"/>
      <c r="AM226" s="62"/>
      <c r="AN226" s="62"/>
      <c r="AO226" s="62"/>
      <c r="AP226" s="64"/>
      <c r="AQ226" s="62"/>
      <c r="AR226" s="62"/>
      <c r="AS226" s="62"/>
      <c r="AT226" s="65"/>
      <c r="AU226" s="62"/>
      <c r="AV226" s="62"/>
      <c r="AW226" s="62"/>
      <c r="AX226" s="66"/>
      <c r="AY226" s="208"/>
      <c r="AZ226" s="208"/>
      <c r="BA226" s="62"/>
      <c r="BB226" s="62"/>
      <c r="BC226" s="209"/>
      <c r="BD226" s="209"/>
      <c r="BE226" s="62"/>
      <c r="BF226" s="62"/>
    </row>
    <row r="227" ht="15.75" customHeight="1">
      <c r="A227" s="67">
        <f t="shared" ref="A227:A253" si="1367">A226</f>
        <v>46262</v>
      </c>
      <c r="B227" s="70" t="s">
        <v>8</v>
      </c>
      <c r="C227" s="72">
        <f t="shared" ref="C227:C252" si="1368">SUM(D227,F227)</f>
        <v>2</v>
      </c>
      <c r="D227" s="74">
        <f t="shared" ref="D227:L227" si="1361">RANDBETWEEN(0,2)</f>
        <v>2</v>
      </c>
      <c r="E227" s="74">
        <f t="shared" si="1361"/>
        <v>1</v>
      </c>
      <c r="F227" s="74">
        <f t="shared" si="1361"/>
        <v>0</v>
      </c>
      <c r="G227" s="74">
        <f t="shared" si="1361"/>
        <v>0</v>
      </c>
      <c r="H227" s="75">
        <f t="shared" si="1361"/>
        <v>2</v>
      </c>
      <c r="I227" s="76">
        <f t="shared" si="1361"/>
        <v>2</v>
      </c>
      <c r="J227" s="77">
        <f t="shared" si="1361"/>
        <v>1</v>
      </c>
      <c r="K227" s="78">
        <f t="shared" si="1361"/>
        <v>1</v>
      </c>
      <c r="L227" s="78">
        <f t="shared" si="1361"/>
        <v>1</v>
      </c>
      <c r="M227" s="79">
        <f t="shared" ref="M227:M245" si="1370">SUM(N227:T227)</f>
        <v>30</v>
      </c>
      <c r="N227" s="74">
        <f t="shared" ref="N227:T227" si="1362">RANDBETWEEN(0,10)</f>
        <v>1</v>
      </c>
      <c r="O227" s="74">
        <f t="shared" si="1362"/>
        <v>1</v>
      </c>
      <c r="P227" s="74">
        <f t="shared" si="1362"/>
        <v>2</v>
      </c>
      <c r="Q227" s="74">
        <f t="shared" si="1362"/>
        <v>8</v>
      </c>
      <c r="R227" s="74">
        <f t="shared" si="1362"/>
        <v>8</v>
      </c>
      <c r="S227" s="74">
        <f t="shared" si="1362"/>
        <v>5</v>
      </c>
      <c r="T227" s="74">
        <f t="shared" si="1362"/>
        <v>5</v>
      </c>
      <c r="U227" s="81">
        <f t="shared" ref="U227:U228" si="1372">RANDBETWEEN(10,30)</f>
        <v>12</v>
      </c>
      <c r="V227" s="82">
        <f t="shared" ref="V227:V232" si="1373">SUM(W227:Y227)</f>
        <v>3</v>
      </c>
      <c r="W227" s="74">
        <f t="shared" ref="W227:Y227" si="1363">RANDBETWEEN(0,2)</f>
        <v>1</v>
      </c>
      <c r="X227" s="74">
        <f t="shared" si="1363"/>
        <v>0</v>
      </c>
      <c r="Y227" s="74">
        <f t="shared" si="1363"/>
        <v>2</v>
      </c>
      <c r="Z227" s="83">
        <f t="shared" ref="Z227:Z229" si="1375">AA227+AB227</f>
        <v>1</v>
      </c>
      <c r="AA227" s="84">
        <f t="shared" ref="AA227:AF227" si="1364">RANDBETWEEN(0,2)</f>
        <v>1</v>
      </c>
      <c r="AB227" s="84">
        <f t="shared" si="1364"/>
        <v>0</v>
      </c>
      <c r="AC227" s="85">
        <f t="shared" si="1364"/>
        <v>1</v>
      </c>
      <c r="AD227" s="85">
        <f t="shared" si="1364"/>
        <v>2</v>
      </c>
      <c r="AE227" s="85">
        <f t="shared" si="1364"/>
        <v>0</v>
      </c>
      <c r="AF227" s="85">
        <f t="shared" si="1364"/>
        <v>2</v>
      </c>
      <c r="AG227" s="86">
        <f t="shared" ref="AG227:AG252" si="1377">SUM(AC227:AF227)</f>
        <v>5</v>
      </c>
      <c r="AH227" s="87">
        <f t="shared" ref="AH227:AJ227" si="1365">RANDBETWEEN(1,10)</f>
        <v>3</v>
      </c>
      <c r="AI227" s="85">
        <f t="shared" si="1365"/>
        <v>9</v>
      </c>
      <c r="AJ227" s="85">
        <f t="shared" si="1365"/>
        <v>3</v>
      </c>
      <c r="AK227" s="88">
        <f t="shared" ref="AK227:AK252" si="1379">SUM(AH227:AJ227)</f>
        <v>15</v>
      </c>
      <c r="AL227" s="85"/>
      <c r="AM227" s="85"/>
      <c r="AN227" s="85"/>
      <c r="AO227" s="85"/>
      <c r="AP227" s="89"/>
      <c r="AQ227" s="87"/>
      <c r="AR227" s="85"/>
      <c r="AS227" s="85"/>
      <c r="AT227" s="90"/>
      <c r="AU227" s="87"/>
      <c r="AV227" s="85"/>
      <c r="AW227" s="85"/>
      <c r="AX227" s="91"/>
      <c r="AY227" s="92">
        <f t="shared" ref="AY227:AZ227" si="1366">RANDBETWEEN(1,10)/10</f>
        <v>0.3</v>
      </c>
      <c r="AZ227" s="92">
        <f t="shared" si="1366"/>
        <v>0.4</v>
      </c>
      <c r="BA227" s="93">
        <v>0.0</v>
      </c>
      <c r="BB227" s="93">
        <v>0.0</v>
      </c>
      <c r="BC227" s="94">
        <f>SUM(BC199,'ГОЧ'!$AY227)</f>
        <v>1205.6</v>
      </c>
      <c r="BD227" s="94">
        <f>SUM(BD199,'ГОЧ'!$AZ227)</f>
        <v>1206.4</v>
      </c>
      <c r="BE227" s="85"/>
      <c r="BF227" s="85"/>
    </row>
    <row r="228" ht="15.75" customHeight="1">
      <c r="A228" s="67">
        <f t="shared" si="1367"/>
        <v>46262</v>
      </c>
      <c r="B228" s="95" t="s">
        <v>10</v>
      </c>
      <c r="C228" s="96">
        <f t="shared" si="1368"/>
        <v>2</v>
      </c>
      <c r="D228" s="97">
        <f t="shared" ref="D228:L228" si="1369">RANDBETWEEN(0,2)</f>
        <v>1</v>
      </c>
      <c r="E228" s="97">
        <f t="shared" si="1369"/>
        <v>0</v>
      </c>
      <c r="F228" s="97">
        <f t="shared" si="1369"/>
        <v>1</v>
      </c>
      <c r="G228" s="97">
        <f t="shared" si="1369"/>
        <v>0</v>
      </c>
      <c r="H228" s="98">
        <f t="shared" si="1369"/>
        <v>1</v>
      </c>
      <c r="I228" s="99">
        <f t="shared" si="1369"/>
        <v>2</v>
      </c>
      <c r="J228" s="100">
        <f t="shared" si="1369"/>
        <v>0</v>
      </c>
      <c r="K228" s="101">
        <f t="shared" si="1369"/>
        <v>0</v>
      </c>
      <c r="L228" s="101">
        <f t="shared" si="1369"/>
        <v>2</v>
      </c>
      <c r="M228" s="102">
        <f t="shared" si="1370"/>
        <v>27</v>
      </c>
      <c r="N228" s="97">
        <f t="shared" ref="N228:T228" si="1371">RANDBETWEEN(0,10)</f>
        <v>3</v>
      </c>
      <c r="O228" s="97">
        <f t="shared" si="1371"/>
        <v>0</v>
      </c>
      <c r="P228" s="97">
        <f t="shared" si="1371"/>
        <v>4</v>
      </c>
      <c r="Q228" s="97">
        <f t="shared" si="1371"/>
        <v>4</v>
      </c>
      <c r="R228" s="97">
        <f t="shared" si="1371"/>
        <v>4</v>
      </c>
      <c r="S228" s="97">
        <f t="shared" si="1371"/>
        <v>7</v>
      </c>
      <c r="T228" s="97">
        <f t="shared" si="1371"/>
        <v>5</v>
      </c>
      <c r="U228" s="103">
        <f t="shared" si="1372"/>
        <v>12</v>
      </c>
      <c r="V228" s="104">
        <f t="shared" si="1373"/>
        <v>3</v>
      </c>
      <c r="W228" s="97">
        <f t="shared" ref="W228:Y228" si="1374">RANDBETWEEN(0,2)</f>
        <v>2</v>
      </c>
      <c r="X228" s="97">
        <f t="shared" si="1374"/>
        <v>0</v>
      </c>
      <c r="Y228" s="97">
        <f t="shared" si="1374"/>
        <v>1</v>
      </c>
      <c r="Z228" s="105">
        <f t="shared" si="1375"/>
        <v>1</v>
      </c>
      <c r="AA228" s="106">
        <f t="shared" ref="AA228:AF228" si="1376">RANDBETWEEN(0,2)</f>
        <v>0</v>
      </c>
      <c r="AB228" s="106">
        <f t="shared" si="1376"/>
        <v>1</v>
      </c>
      <c r="AC228" s="107">
        <f t="shared" si="1376"/>
        <v>1</v>
      </c>
      <c r="AD228" s="108">
        <f t="shared" si="1376"/>
        <v>2</v>
      </c>
      <c r="AE228" s="108">
        <f t="shared" si="1376"/>
        <v>1</v>
      </c>
      <c r="AF228" s="108">
        <f t="shared" si="1376"/>
        <v>1</v>
      </c>
      <c r="AG228" s="109">
        <f t="shared" si="1377"/>
        <v>5</v>
      </c>
      <c r="AH228" s="107">
        <f t="shared" ref="AH228:AJ228" si="1378">RANDBETWEEN(1,10)</f>
        <v>6</v>
      </c>
      <c r="AI228" s="108">
        <f t="shared" si="1378"/>
        <v>1</v>
      </c>
      <c r="AJ228" s="108">
        <f t="shared" si="1378"/>
        <v>7</v>
      </c>
      <c r="AK228" s="110">
        <f t="shared" si="1379"/>
        <v>14</v>
      </c>
      <c r="AL228" s="107"/>
      <c r="AM228" s="108"/>
      <c r="AN228" s="108"/>
      <c r="AO228" s="108"/>
      <c r="AP228" s="111"/>
      <c r="AQ228" s="107"/>
      <c r="AR228" s="108"/>
      <c r="AS228" s="108"/>
      <c r="AT228" s="112"/>
      <c r="AU228" s="107"/>
      <c r="AV228" s="108"/>
      <c r="AW228" s="108"/>
      <c r="AX228" s="113"/>
      <c r="AY228" s="92">
        <f t="shared" ref="AY228:AZ228" si="1380">RANDBETWEEN(1,10)/10</f>
        <v>0.4</v>
      </c>
      <c r="AZ228" s="92">
        <f t="shared" si="1380"/>
        <v>1</v>
      </c>
      <c r="BA228" s="93">
        <v>0.0</v>
      </c>
      <c r="BB228" s="93">
        <v>0.0</v>
      </c>
      <c r="BC228" s="94">
        <f>SUM(BC200,'ГОЧ'!$AY228)</f>
        <v>1204</v>
      </c>
      <c r="BD228" s="94">
        <f>SUM(BD200,'ГОЧ'!$AZ228)</f>
        <v>1204.8</v>
      </c>
      <c r="BE228" s="108"/>
      <c r="BF228" s="108"/>
    </row>
    <row r="229" ht="15.75" customHeight="1">
      <c r="A229" s="67">
        <f t="shared" si="1367"/>
        <v>46262</v>
      </c>
      <c r="B229" s="114" t="s">
        <v>12</v>
      </c>
      <c r="C229" s="115">
        <f t="shared" si="1368"/>
        <v>0</v>
      </c>
      <c r="D229" s="115">
        <v>0.0</v>
      </c>
      <c r="E229" s="116">
        <v>0.0</v>
      </c>
      <c r="F229" s="116">
        <v>0.0</v>
      </c>
      <c r="G229" s="116">
        <v>0.0</v>
      </c>
      <c r="H229" s="115">
        <v>0.0</v>
      </c>
      <c r="I229" s="116">
        <v>0.0</v>
      </c>
      <c r="J229" s="115">
        <v>0.0</v>
      </c>
      <c r="K229" s="116">
        <v>0.0</v>
      </c>
      <c r="L229" s="116">
        <v>0.0</v>
      </c>
      <c r="M229" s="115">
        <f t="shared" si="1370"/>
        <v>0</v>
      </c>
      <c r="N229" s="115">
        <v>0.0</v>
      </c>
      <c r="O229" s="116">
        <v>0.0</v>
      </c>
      <c r="P229" s="116">
        <v>0.0</v>
      </c>
      <c r="Q229" s="116">
        <v>0.0</v>
      </c>
      <c r="R229" s="116">
        <v>0.0</v>
      </c>
      <c r="S229" s="116">
        <v>0.0</v>
      </c>
      <c r="T229" s="116">
        <v>0.0</v>
      </c>
      <c r="U229" s="115">
        <v>0.0</v>
      </c>
      <c r="V229" s="115">
        <f t="shared" si="1373"/>
        <v>0</v>
      </c>
      <c r="W229" s="116">
        <v>0.0</v>
      </c>
      <c r="X229" s="116">
        <v>0.0</v>
      </c>
      <c r="Y229" s="116">
        <v>0.0</v>
      </c>
      <c r="Z229" s="116">
        <f t="shared" si="1375"/>
        <v>0</v>
      </c>
      <c r="AA229" s="116">
        <v>0.0</v>
      </c>
      <c r="AB229" s="116">
        <v>0.0</v>
      </c>
      <c r="AC229" s="117">
        <v>0.0</v>
      </c>
      <c r="AD229" s="118">
        <v>0.0</v>
      </c>
      <c r="AE229" s="118">
        <v>0.0</v>
      </c>
      <c r="AF229" s="118">
        <v>0.0</v>
      </c>
      <c r="AG229" s="119">
        <f t="shared" si="1377"/>
        <v>0</v>
      </c>
      <c r="AH229" s="117">
        <v>0.0</v>
      </c>
      <c r="AI229" s="118">
        <v>0.0</v>
      </c>
      <c r="AJ229" s="118">
        <v>0.0</v>
      </c>
      <c r="AK229" s="119">
        <f t="shared" si="1379"/>
        <v>0</v>
      </c>
      <c r="AL229" s="117"/>
      <c r="AM229" s="118"/>
      <c r="AN229" s="118"/>
      <c r="AO229" s="118"/>
      <c r="AP229" s="111"/>
      <c r="AQ229" s="117"/>
      <c r="AR229" s="118"/>
      <c r="AS229" s="118"/>
      <c r="AT229" s="120"/>
      <c r="AU229" s="117"/>
      <c r="AV229" s="118"/>
      <c r="AW229" s="118"/>
      <c r="AX229" s="121"/>
      <c r="AY229" s="122">
        <f t="shared" ref="AY229:BD229" si="1381">SUM(AY227:AY228)</f>
        <v>0.7</v>
      </c>
      <c r="AZ229" s="122">
        <f t="shared" si="1381"/>
        <v>1.4</v>
      </c>
      <c r="BA229" s="118">
        <f t="shared" si="1381"/>
        <v>0</v>
      </c>
      <c r="BB229" s="118">
        <f t="shared" si="1381"/>
        <v>0</v>
      </c>
      <c r="BC229" s="123">
        <f t="shared" si="1381"/>
        <v>2409.6</v>
      </c>
      <c r="BD229" s="123">
        <f t="shared" si="1381"/>
        <v>2411.2</v>
      </c>
      <c r="BE229" s="118"/>
      <c r="BF229" s="118"/>
    </row>
    <row r="230" ht="15.75" customHeight="1">
      <c r="A230" s="67">
        <f t="shared" si="1367"/>
        <v>46262</v>
      </c>
      <c r="B230" s="124" t="s">
        <v>14</v>
      </c>
      <c r="C230" s="96">
        <f t="shared" si="1368"/>
        <v>3</v>
      </c>
      <c r="D230" s="125">
        <f t="shared" ref="D230:L230" si="1382">RANDBETWEEN(0,2)</f>
        <v>2</v>
      </c>
      <c r="E230" s="125">
        <f t="shared" si="1382"/>
        <v>1</v>
      </c>
      <c r="F230" s="125">
        <f t="shared" si="1382"/>
        <v>1</v>
      </c>
      <c r="G230" s="125">
        <f t="shared" si="1382"/>
        <v>1</v>
      </c>
      <c r="H230" s="126">
        <f t="shared" si="1382"/>
        <v>0</v>
      </c>
      <c r="I230" s="127">
        <f t="shared" si="1382"/>
        <v>0</v>
      </c>
      <c r="J230" s="128">
        <f t="shared" si="1382"/>
        <v>1</v>
      </c>
      <c r="K230" s="130">
        <f t="shared" si="1382"/>
        <v>0</v>
      </c>
      <c r="L230" s="130">
        <f t="shared" si="1382"/>
        <v>2</v>
      </c>
      <c r="M230" s="102">
        <f t="shared" si="1370"/>
        <v>38</v>
      </c>
      <c r="N230" s="125">
        <f t="shared" ref="N230:T230" si="1383">RANDBETWEEN(0,10)</f>
        <v>10</v>
      </c>
      <c r="O230" s="125">
        <f t="shared" si="1383"/>
        <v>3</v>
      </c>
      <c r="P230" s="125">
        <f t="shared" si="1383"/>
        <v>7</v>
      </c>
      <c r="Q230" s="125">
        <f t="shared" si="1383"/>
        <v>7</v>
      </c>
      <c r="R230" s="125">
        <f t="shared" si="1383"/>
        <v>9</v>
      </c>
      <c r="S230" s="125">
        <f t="shared" si="1383"/>
        <v>0</v>
      </c>
      <c r="T230" s="125">
        <f t="shared" si="1383"/>
        <v>2</v>
      </c>
      <c r="U230" s="103">
        <f t="shared" ref="U230:U231" si="1390">RANDBETWEEN(10,30)</f>
        <v>11</v>
      </c>
      <c r="V230" s="131">
        <f t="shared" si="1373"/>
        <v>3</v>
      </c>
      <c r="W230" s="125">
        <f t="shared" ref="W230:Y230" si="1384">RANDBETWEEN(0,2)</f>
        <v>2</v>
      </c>
      <c r="X230" s="125">
        <f t="shared" si="1384"/>
        <v>0</v>
      </c>
      <c r="Y230" s="125">
        <f t="shared" si="1384"/>
        <v>1</v>
      </c>
      <c r="Z230" s="132">
        <f t="shared" ref="Z230:Z233" si="1392">SUM(AA230:AB230)</f>
        <v>3</v>
      </c>
      <c r="AA230" s="133">
        <f t="shared" ref="AA230:AF230" si="1385">RANDBETWEEN(0,2)</f>
        <v>1</v>
      </c>
      <c r="AB230" s="133">
        <f t="shared" si="1385"/>
        <v>2</v>
      </c>
      <c r="AC230" s="134">
        <f t="shared" si="1385"/>
        <v>1</v>
      </c>
      <c r="AD230" s="134">
        <f t="shared" si="1385"/>
        <v>2</v>
      </c>
      <c r="AE230" s="134">
        <f t="shared" si="1385"/>
        <v>2</v>
      </c>
      <c r="AF230" s="134">
        <f t="shared" si="1385"/>
        <v>2</v>
      </c>
      <c r="AG230" s="135">
        <f t="shared" si="1377"/>
        <v>7</v>
      </c>
      <c r="AH230" s="136">
        <f t="shared" ref="AH230:AJ230" si="1386">RANDBETWEEN(1,10)</f>
        <v>7</v>
      </c>
      <c r="AI230" s="134">
        <f t="shared" si="1386"/>
        <v>6</v>
      </c>
      <c r="AJ230" s="134">
        <f t="shared" si="1386"/>
        <v>9</v>
      </c>
      <c r="AK230" s="137">
        <f t="shared" si="1379"/>
        <v>22</v>
      </c>
      <c r="AL230" s="134"/>
      <c r="AM230" s="134"/>
      <c r="AN230" s="134"/>
      <c r="AO230" s="134"/>
      <c r="AP230" s="111"/>
      <c r="AQ230" s="136"/>
      <c r="AR230" s="134"/>
      <c r="AS230" s="134"/>
      <c r="AT230" s="120"/>
      <c r="AU230" s="136"/>
      <c r="AV230" s="134"/>
      <c r="AW230" s="134"/>
      <c r="AX230" s="121"/>
      <c r="AY230" s="92">
        <f t="shared" ref="AY230:AZ230" si="1387">RANDBETWEEN(1,10)/10</f>
        <v>1</v>
      </c>
      <c r="AZ230" s="92">
        <f t="shared" si="1387"/>
        <v>0.2</v>
      </c>
      <c r="BA230" s="93">
        <v>0.0</v>
      </c>
      <c r="BB230" s="93">
        <v>0.0</v>
      </c>
      <c r="BC230" s="94">
        <f>SUM(BC202,'ГОЧ'!$AY230)</f>
        <v>1204</v>
      </c>
      <c r="BD230" s="94">
        <f>SUM(BD202,'ГОЧ'!$AZ230)</f>
        <v>1203.7</v>
      </c>
      <c r="BE230" s="108"/>
      <c r="BF230" s="108"/>
    </row>
    <row r="231" ht="15.75" customHeight="1">
      <c r="A231" s="67">
        <f t="shared" si="1367"/>
        <v>46262</v>
      </c>
      <c r="B231" s="138" t="s">
        <v>16</v>
      </c>
      <c r="C231" s="139">
        <f t="shared" si="1368"/>
        <v>2</v>
      </c>
      <c r="D231" s="97">
        <f t="shared" ref="D231:L231" si="1388">RANDBETWEEN(0,2)</f>
        <v>1</v>
      </c>
      <c r="E231" s="97">
        <f t="shared" si="1388"/>
        <v>0</v>
      </c>
      <c r="F231" s="97">
        <f t="shared" si="1388"/>
        <v>1</v>
      </c>
      <c r="G231" s="97">
        <f t="shared" si="1388"/>
        <v>0</v>
      </c>
      <c r="H231" s="98">
        <f t="shared" si="1388"/>
        <v>1</v>
      </c>
      <c r="I231" s="99">
        <f t="shared" si="1388"/>
        <v>1</v>
      </c>
      <c r="J231" s="100">
        <f t="shared" si="1388"/>
        <v>1</v>
      </c>
      <c r="K231" s="101">
        <f t="shared" si="1388"/>
        <v>1</v>
      </c>
      <c r="L231" s="101">
        <f t="shared" si="1388"/>
        <v>2</v>
      </c>
      <c r="M231" s="140">
        <f t="shared" si="1370"/>
        <v>41</v>
      </c>
      <c r="N231" s="97">
        <f t="shared" ref="N231:T231" si="1389">RANDBETWEEN(0,10)</f>
        <v>8</v>
      </c>
      <c r="O231" s="97">
        <f t="shared" si="1389"/>
        <v>5</v>
      </c>
      <c r="P231" s="97">
        <f t="shared" si="1389"/>
        <v>1</v>
      </c>
      <c r="Q231" s="97">
        <f t="shared" si="1389"/>
        <v>8</v>
      </c>
      <c r="R231" s="97">
        <f t="shared" si="1389"/>
        <v>0</v>
      </c>
      <c r="S231" s="97">
        <f t="shared" si="1389"/>
        <v>9</v>
      </c>
      <c r="T231" s="97">
        <f t="shared" si="1389"/>
        <v>10</v>
      </c>
      <c r="U231" s="103">
        <f t="shared" si="1390"/>
        <v>23</v>
      </c>
      <c r="V231" s="141">
        <f t="shared" si="1373"/>
        <v>3</v>
      </c>
      <c r="W231" s="97">
        <f t="shared" ref="W231:Y231" si="1391">RANDBETWEEN(0,2)</f>
        <v>1</v>
      </c>
      <c r="X231" s="97">
        <f t="shared" si="1391"/>
        <v>1</v>
      </c>
      <c r="Y231" s="97">
        <f t="shared" si="1391"/>
        <v>1</v>
      </c>
      <c r="Z231" s="142">
        <f t="shared" si="1392"/>
        <v>3</v>
      </c>
      <c r="AA231" s="143">
        <f t="shared" ref="AA231:AF231" si="1393">RANDBETWEEN(0,2)</f>
        <v>2</v>
      </c>
      <c r="AB231" s="143">
        <f t="shared" si="1393"/>
        <v>1</v>
      </c>
      <c r="AC231" s="144">
        <f t="shared" si="1393"/>
        <v>2</v>
      </c>
      <c r="AD231" s="145">
        <f t="shared" si="1393"/>
        <v>2</v>
      </c>
      <c r="AE231" s="145">
        <f t="shared" si="1393"/>
        <v>1</v>
      </c>
      <c r="AF231" s="145">
        <f t="shared" si="1393"/>
        <v>1</v>
      </c>
      <c r="AG231" s="146">
        <f t="shared" si="1377"/>
        <v>6</v>
      </c>
      <c r="AH231" s="144">
        <f t="shared" ref="AH231:AJ231" si="1394">RANDBETWEEN(1,10)</f>
        <v>3</v>
      </c>
      <c r="AI231" s="145">
        <f t="shared" si="1394"/>
        <v>8</v>
      </c>
      <c r="AJ231" s="145">
        <f t="shared" si="1394"/>
        <v>2</v>
      </c>
      <c r="AK231" s="147">
        <f t="shared" si="1379"/>
        <v>13</v>
      </c>
      <c r="AL231" s="144"/>
      <c r="AM231" s="145"/>
      <c r="AN231" s="145"/>
      <c r="AO231" s="145"/>
      <c r="AP231" s="148"/>
      <c r="AQ231" s="144"/>
      <c r="AR231" s="145"/>
      <c r="AS231" s="145"/>
      <c r="AT231" s="149"/>
      <c r="AU231" s="144"/>
      <c r="AV231" s="145"/>
      <c r="AW231" s="145"/>
      <c r="AX231" s="150"/>
      <c r="AY231" s="92">
        <f t="shared" ref="AY231:AZ231" si="1395">RANDBETWEEN(1,10)/10</f>
        <v>0.2</v>
      </c>
      <c r="AZ231" s="92">
        <f t="shared" si="1395"/>
        <v>0.4</v>
      </c>
      <c r="BA231" s="93">
        <v>0.0</v>
      </c>
      <c r="BB231" s="93">
        <v>0.0</v>
      </c>
      <c r="BC231" s="94">
        <f>SUM(BC203,'ГОЧ'!$AY231)</f>
        <v>1203.5</v>
      </c>
      <c r="BD231" s="94">
        <f>SUM(BD203,'ГОЧ'!$AZ231)</f>
        <v>1204.4</v>
      </c>
      <c r="BE231" s="108"/>
      <c r="BF231" s="108"/>
    </row>
    <row r="232" ht="15.75" customHeight="1">
      <c r="A232" s="67">
        <f t="shared" si="1367"/>
        <v>46262</v>
      </c>
      <c r="B232" s="114" t="s">
        <v>18</v>
      </c>
      <c r="C232" s="115">
        <f t="shared" si="1368"/>
        <v>5</v>
      </c>
      <c r="D232" s="115">
        <f t="shared" ref="D232:L232" si="1396">SUM(D230:D231)</f>
        <v>3</v>
      </c>
      <c r="E232" s="116">
        <f t="shared" si="1396"/>
        <v>1</v>
      </c>
      <c r="F232" s="116">
        <f t="shared" si="1396"/>
        <v>2</v>
      </c>
      <c r="G232" s="116">
        <f t="shared" si="1396"/>
        <v>1</v>
      </c>
      <c r="H232" s="115">
        <f t="shared" si="1396"/>
        <v>1</v>
      </c>
      <c r="I232" s="116">
        <f t="shared" si="1396"/>
        <v>1</v>
      </c>
      <c r="J232" s="115">
        <f t="shared" si="1396"/>
        <v>2</v>
      </c>
      <c r="K232" s="116">
        <f t="shared" si="1396"/>
        <v>1</v>
      </c>
      <c r="L232" s="116">
        <f t="shared" si="1396"/>
        <v>4</v>
      </c>
      <c r="M232" s="115">
        <f t="shared" si="1370"/>
        <v>70</v>
      </c>
      <c r="N232" s="115">
        <f t="shared" ref="N232:Q232" si="1397">SUM(N230:N231)</f>
        <v>18</v>
      </c>
      <c r="O232" s="116">
        <f t="shared" si="1397"/>
        <v>8</v>
      </c>
      <c r="P232" s="116">
        <f t="shared" si="1397"/>
        <v>8</v>
      </c>
      <c r="Q232" s="116">
        <f t="shared" si="1397"/>
        <v>15</v>
      </c>
      <c r="R232" s="116">
        <v>0.0</v>
      </c>
      <c r="S232" s="116">
        <f t="shared" ref="S232:U232" si="1398">SUM(S230:S231)</f>
        <v>9</v>
      </c>
      <c r="T232" s="116">
        <f t="shared" si="1398"/>
        <v>12</v>
      </c>
      <c r="U232" s="115">
        <f t="shared" si="1398"/>
        <v>34</v>
      </c>
      <c r="V232" s="115">
        <f t="shared" si="1373"/>
        <v>6</v>
      </c>
      <c r="W232" s="116">
        <f t="shared" ref="W232:Y232" si="1399">SUM(W230:W231)</f>
        <v>3</v>
      </c>
      <c r="X232" s="116">
        <f t="shared" si="1399"/>
        <v>1</v>
      </c>
      <c r="Y232" s="116">
        <f t="shared" si="1399"/>
        <v>2</v>
      </c>
      <c r="Z232" s="116">
        <f t="shared" si="1392"/>
        <v>6</v>
      </c>
      <c r="AA232" s="116">
        <f t="shared" ref="AA232:AF232" si="1400">SUM(AA230:AA231)</f>
        <v>3</v>
      </c>
      <c r="AB232" s="116">
        <f t="shared" si="1400"/>
        <v>3</v>
      </c>
      <c r="AC232" s="118">
        <f t="shared" si="1400"/>
        <v>3</v>
      </c>
      <c r="AD232" s="118">
        <f t="shared" si="1400"/>
        <v>4</v>
      </c>
      <c r="AE232" s="118">
        <f t="shared" si="1400"/>
        <v>3</v>
      </c>
      <c r="AF232" s="118">
        <f t="shared" si="1400"/>
        <v>3</v>
      </c>
      <c r="AG232" s="117">
        <f t="shared" si="1377"/>
        <v>13</v>
      </c>
      <c r="AH232" s="117">
        <f t="shared" ref="AH232:AJ232" si="1401">SUM(AH230:AH231)</f>
        <v>10</v>
      </c>
      <c r="AI232" s="118">
        <f t="shared" si="1401"/>
        <v>14</v>
      </c>
      <c r="AJ232" s="118">
        <f t="shared" si="1401"/>
        <v>11</v>
      </c>
      <c r="AK232" s="117">
        <f t="shared" si="1379"/>
        <v>35</v>
      </c>
      <c r="AL232" s="118"/>
      <c r="AM232" s="118"/>
      <c r="AN232" s="118"/>
      <c r="AO232" s="118"/>
      <c r="AP232" s="151"/>
      <c r="AQ232" s="117"/>
      <c r="AR232" s="118"/>
      <c r="AS232" s="118"/>
      <c r="AT232" s="152"/>
      <c r="AU232" s="117"/>
      <c r="AV232" s="118"/>
      <c r="AW232" s="118"/>
      <c r="AX232" s="153"/>
      <c r="AY232" s="122">
        <f t="shared" ref="AY232:BD232" si="1402">SUM(AY230:AY231)</f>
        <v>1.2</v>
      </c>
      <c r="AZ232" s="122">
        <f t="shared" si="1402"/>
        <v>0.6</v>
      </c>
      <c r="BA232" s="118">
        <f t="shared" si="1402"/>
        <v>0</v>
      </c>
      <c r="BB232" s="118">
        <f t="shared" si="1402"/>
        <v>0</v>
      </c>
      <c r="BC232" s="123">
        <f t="shared" si="1402"/>
        <v>2407.5</v>
      </c>
      <c r="BD232" s="123">
        <f t="shared" si="1402"/>
        <v>2408.1</v>
      </c>
      <c r="BE232" s="154" t="str">
        <f t="shared" ref="BE232:BF232" si="1403">TEXTJOIN(", ",TRUE,BE230:BE231)</f>
        <v/>
      </c>
      <c r="BF232" s="154" t="str">
        <f t="shared" si="1403"/>
        <v/>
      </c>
    </row>
    <row r="233" ht="15.75" customHeight="1">
      <c r="A233" s="67">
        <f t="shared" si="1367"/>
        <v>46262</v>
      </c>
      <c r="B233" s="114" t="s">
        <v>20</v>
      </c>
      <c r="C233" s="115">
        <f t="shared" si="1368"/>
        <v>5</v>
      </c>
      <c r="D233" s="115">
        <v>3.0</v>
      </c>
      <c r="E233" s="116">
        <v>0.0</v>
      </c>
      <c r="F233" s="116">
        <v>2.0</v>
      </c>
      <c r="G233" s="116">
        <v>2.0</v>
      </c>
      <c r="H233" s="115">
        <v>0.0</v>
      </c>
      <c r="I233" s="116">
        <v>0.0</v>
      </c>
      <c r="J233" s="115">
        <v>1.0</v>
      </c>
      <c r="K233" s="116">
        <v>1.0</v>
      </c>
      <c r="L233" s="116">
        <v>0.0</v>
      </c>
      <c r="M233" s="115">
        <f t="shared" si="1370"/>
        <v>38</v>
      </c>
      <c r="N233" s="115">
        <v>0.0</v>
      </c>
      <c r="O233" s="116">
        <v>0.0</v>
      </c>
      <c r="P233" s="116">
        <v>0.0</v>
      </c>
      <c r="Q233" s="116">
        <v>9.0</v>
      </c>
      <c r="R233" s="116">
        <v>0.0</v>
      </c>
      <c r="S233" s="116">
        <v>0.0</v>
      </c>
      <c r="T233" s="116">
        <v>29.0</v>
      </c>
      <c r="U233" s="115">
        <v>7.0</v>
      </c>
      <c r="V233" s="115">
        <f t="shared" ref="V233:V252" si="1407">W233+X233+Y233</f>
        <v>0</v>
      </c>
      <c r="W233" s="116">
        <v>0.0</v>
      </c>
      <c r="X233" s="116">
        <v>0.0</v>
      </c>
      <c r="Y233" s="116">
        <v>0.0</v>
      </c>
      <c r="Z233" s="116">
        <f t="shared" si="1392"/>
        <v>0</v>
      </c>
      <c r="AA233" s="116">
        <v>0.0</v>
      </c>
      <c r="AB233" s="116">
        <v>0.0</v>
      </c>
      <c r="AC233" s="117">
        <v>0.0</v>
      </c>
      <c r="AD233" s="118">
        <v>1.0</v>
      </c>
      <c r="AE233" s="118">
        <v>0.0</v>
      </c>
      <c r="AF233" s="118">
        <v>0.0</v>
      </c>
      <c r="AG233" s="119">
        <f t="shared" si="1377"/>
        <v>1</v>
      </c>
      <c r="AH233" s="117">
        <v>6.0</v>
      </c>
      <c r="AI233" s="118">
        <v>5.0</v>
      </c>
      <c r="AJ233" s="118">
        <v>0.0</v>
      </c>
      <c r="AK233" s="119">
        <f t="shared" si="1379"/>
        <v>11</v>
      </c>
      <c r="AL233" s="117"/>
      <c r="AM233" s="118"/>
      <c r="AN233" s="118"/>
      <c r="AO233" s="118"/>
      <c r="AP233" s="111"/>
      <c r="AQ233" s="117"/>
      <c r="AR233" s="118"/>
      <c r="AS233" s="118"/>
      <c r="AT233" s="120"/>
      <c r="AU233" s="117"/>
      <c r="AV233" s="118"/>
      <c r="AW233" s="118"/>
      <c r="AX233" s="121"/>
      <c r="AY233" s="122">
        <f t="shared" ref="AY233:AZ233" si="1404">RANDBETWEEN(1,10)</f>
        <v>2</v>
      </c>
      <c r="AZ233" s="122">
        <f t="shared" si="1404"/>
        <v>8</v>
      </c>
      <c r="BA233" s="118">
        <v>2.0</v>
      </c>
      <c r="BB233" s="118">
        <v>0.0</v>
      </c>
      <c r="BC233" s="123">
        <v>1.0</v>
      </c>
      <c r="BD233" s="123">
        <v>2.0</v>
      </c>
      <c r="BE233" s="118" t="s">
        <v>157</v>
      </c>
      <c r="BF233" s="118"/>
    </row>
    <row r="234" ht="15.75" customHeight="1">
      <c r="A234" s="67">
        <f t="shared" si="1367"/>
        <v>46262</v>
      </c>
      <c r="B234" s="124" t="s">
        <v>21</v>
      </c>
      <c r="C234" s="155">
        <f t="shared" si="1368"/>
        <v>2</v>
      </c>
      <c r="D234" s="125">
        <f t="shared" ref="D234:L234" si="1405">RANDBETWEEN(0,2)</f>
        <v>2</v>
      </c>
      <c r="E234" s="125">
        <f t="shared" si="1405"/>
        <v>0</v>
      </c>
      <c r="F234" s="125">
        <f t="shared" si="1405"/>
        <v>0</v>
      </c>
      <c r="G234" s="125">
        <f t="shared" si="1405"/>
        <v>1</v>
      </c>
      <c r="H234" s="126">
        <f t="shared" si="1405"/>
        <v>1</v>
      </c>
      <c r="I234" s="127">
        <f t="shared" si="1405"/>
        <v>1</v>
      </c>
      <c r="J234" s="128">
        <f t="shared" si="1405"/>
        <v>1</v>
      </c>
      <c r="K234" s="130">
        <f t="shared" si="1405"/>
        <v>2</v>
      </c>
      <c r="L234" s="130">
        <f t="shared" si="1405"/>
        <v>0</v>
      </c>
      <c r="M234" s="102">
        <f t="shared" si="1370"/>
        <v>31</v>
      </c>
      <c r="N234" s="125">
        <f t="shared" ref="N234:T234" si="1406">RANDBETWEEN(0,10)</f>
        <v>8</v>
      </c>
      <c r="O234" s="125">
        <f t="shared" si="1406"/>
        <v>4</v>
      </c>
      <c r="P234" s="125">
        <f t="shared" si="1406"/>
        <v>2</v>
      </c>
      <c r="Q234" s="125">
        <f t="shared" si="1406"/>
        <v>2</v>
      </c>
      <c r="R234" s="125">
        <f t="shared" si="1406"/>
        <v>10</v>
      </c>
      <c r="S234" s="125">
        <f t="shared" si="1406"/>
        <v>3</v>
      </c>
      <c r="T234" s="125">
        <f t="shared" si="1406"/>
        <v>2</v>
      </c>
      <c r="U234" s="103">
        <f t="shared" ref="U234:U238" si="1414">RANDBETWEEN(10,30)</f>
        <v>15</v>
      </c>
      <c r="V234" s="104">
        <f t="shared" si="1407"/>
        <v>5</v>
      </c>
      <c r="W234" s="125">
        <f t="shared" ref="W234:Y234" si="1408">RANDBETWEEN(0,2)</f>
        <v>2</v>
      </c>
      <c r="X234" s="125">
        <f t="shared" si="1408"/>
        <v>2</v>
      </c>
      <c r="Y234" s="125">
        <f t="shared" si="1408"/>
        <v>1</v>
      </c>
      <c r="Z234" s="105">
        <f t="shared" ref="Z234:Z251" si="1416">AA234+AB234</f>
        <v>2</v>
      </c>
      <c r="AA234" s="133">
        <f t="shared" ref="AA234:AF234" si="1409">RANDBETWEEN(0,2)</f>
        <v>2</v>
      </c>
      <c r="AB234" s="133">
        <f t="shared" si="1409"/>
        <v>0</v>
      </c>
      <c r="AC234" s="136">
        <f t="shared" si="1409"/>
        <v>2</v>
      </c>
      <c r="AD234" s="134">
        <f t="shared" si="1409"/>
        <v>0</v>
      </c>
      <c r="AE234" s="134">
        <f t="shared" si="1409"/>
        <v>0</v>
      </c>
      <c r="AF234" s="134">
        <f t="shared" si="1409"/>
        <v>2</v>
      </c>
      <c r="AG234" s="156">
        <f t="shared" si="1377"/>
        <v>4</v>
      </c>
      <c r="AH234" s="136">
        <f t="shared" ref="AH234:AJ234" si="1410">RANDBETWEEN(1,10)</f>
        <v>1</v>
      </c>
      <c r="AI234" s="134">
        <f t="shared" si="1410"/>
        <v>4</v>
      </c>
      <c r="AJ234" s="134">
        <f t="shared" si="1410"/>
        <v>4</v>
      </c>
      <c r="AK234" s="137">
        <f t="shared" si="1379"/>
        <v>9</v>
      </c>
      <c r="AL234" s="136"/>
      <c r="AM234" s="134"/>
      <c r="AN234" s="134"/>
      <c r="AO234" s="134"/>
      <c r="AP234" s="111"/>
      <c r="AQ234" s="136"/>
      <c r="AR234" s="134"/>
      <c r="AS234" s="134"/>
      <c r="AT234" s="120"/>
      <c r="AU234" s="136"/>
      <c r="AV234" s="134"/>
      <c r="AW234" s="134"/>
      <c r="AX234" s="121"/>
      <c r="AY234" s="92">
        <f t="shared" ref="AY234:AZ234" si="1411">RANDBETWEEN(1,10)/10</f>
        <v>0.8</v>
      </c>
      <c r="AZ234" s="92">
        <f t="shared" si="1411"/>
        <v>1</v>
      </c>
      <c r="BA234" s="93">
        <v>1.0</v>
      </c>
      <c r="BB234" s="93">
        <v>0.0</v>
      </c>
      <c r="BC234" s="94">
        <f>SUM(BC206,'ГОЧ'!$AY234)</f>
        <v>1205.6</v>
      </c>
      <c r="BD234" s="94">
        <f>SUM(BD206,'ГОЧ'!$AZ234)</f>
        <v>1204.2</v>
      </c>
      <c r="BE234" s="108" t="s">
        <v>162</v>
      </c>
      <c r="BF234" s="108"/>
    </row>
    <row r="235" ht="15.75" customHeight="1">
      <c r="A235" s="67">
        <f t="shared" si="1367"/>
        <v>46262</v>
      </c>
      <c r="B235" s="138" t="s">
        <v>23</v>
      </c>
      <c r="C235" s="157">
        <f t="shared" si="1368"/>
        <v>4</v>
      </c>
      <c r="D235" s="97">
        <f t="shared" ref="D235:L235" si="1412">RANDBETWEEN(0,2)</f>
        <v>2</v>
      </c>
      <c r="E235" s="97">
        <f t="shared" si="1412"/>
        <v>0</v>
      </c>
      <c r="F235" s="97">
        <f t="shared" si="1412"/>
        <v>2</v>
      </c>
      <c r="G235" s="97">
        <f t="shared" si="1412"/>
        <v>2</v>
      </c>
      <c r="H235" s="98">
        <f t="shared" si="1412"/>
        <v>2</v>
      </c>
      <c r="I235" s="99">
        <f t="shared" si="1412"/>
        <v>2</v>
      </c>
      <c r="J235" s="100">
        <f t="shared" si="1412"/>
        <v>2</v>
      </c>
      <c r="K235" s="101">
        <f t="shared" si="1412"/>
        <v>2</v>
      </c>
      <c r="L235" s="101">
        <f t="shared" si="1412"/>
        <v>0</v>
      </c>
      <c r="M235" s="140">
        <f t="shared" si="1370"/>
        <v>27</v>
      </c>
      <c r="N235" s="97">
        <f t="shared" ref="N235:T235" si="1413">RANDBETWEEN(0,10)</f>
        <v>8</v>
      </c>
      <c r="O235" s="97">
        <f t="shared" si="1413"/>
        <v>6</v>
      </c>
      <c r="P235" s="97">
        <f t="shared" si="1413"/>
        <v>7</v>
      </c>
      <c r="Q235" s="97">
        <f t="shared" si="1413"/>
        <v>0</v>
      </c>
      <c r="R235" s="97">
        <f t="shared" si="1413"/>
        <v>2</v>
      </c>
      <c r="S235" s="97">
        <f t="shared" si="1413"/>
        <v>1</v>
      </c>
      <c r="T235" s="97">
        <f t="shared" si="1413"/>
        <v>3</v>
      </c>
      <c r="U235" s="103">
        <f t="shared" si="1414"/>
        <v>20</v>
      </c>
      <c r="V235" s="158">
        <f t="shared" si="1407"/>
        <v>4</v>
      </c>
      <c r="W235" s="97">
        <f t="shared" ref="W235:Y235" si="1415">RANDBETWEEN(0,2)</f>
        <v>1</v>
      </c>
      <c r="X235" s="97">
        <f t="shared" si="1415"/>
        <v>2</v>
      </c>
      <c r="Y235" s="97">
        <f t="shared" si="1415"/>
        <v>1</v>
      </c>
      <c r="Z235" s="159">
        <f t="shared" si="1416"/>
        <v>2</v>
      </c>
      <c r="AA235" s="143">
        <f t="shared" ref="AA235:AF235" si="1417">RANDBETWEEN(0,2)</f>
        <v>1</v>
      </c>
      <c r="AB235" s="143">
        <f t="shared" si="1417"/>
        <v>1</v>
      </c>
      <c r="AC235" s="144">
        <f t="shared" si="1417"/>
        <v>1</v>
      </c>
      <c r="AD235" s="145">
        <f t="shared" si="1417"/>
        <v>0</v>
      </c>
      <c r="AE235" s="145">
        <f t="shared" si="1417"/>
        <v>2</v>
      </c>
      <c r="AF235" s="145">
        <f t="shared" si="1417"/>
        <v>0</v>
      </c>
      <c r="AG235" s="160">
        <f t="shared" si="1377"/>
        <v>3</v>
      </c>
      <c r="AH235" s="144">
        <f t="shared" ref="AH235:AJ235" si="1418">RANDBETWEEN(1,10)</f>
        <v>9</v>
      </c>
      <c r="AI235" s="145">
        <f t="shared" si="1418"/>
        <v>10</v>
      </c>
      <c r="AJ235" s="145">
        <f t="shared" si="1418"/>
        <v>10</v>
      </c>
      <c r="AK235" s="147">
        <f t="shared" si="1379"/>
        <v>29</v>
      </c>
      <c r="AL235" s="144"/>
      <c r="AM235" s="145"/>
      <c r="AN235" s="145"/>
      <c r="AO235" s="145"/>
      <c r="AP235" s="148"/>
      <c r="AQ235" s="144"/>
      <c r="AR235" s="145"/>
      <c r="AS235" s="145"/>
      <c r="AT235" s="149"/>
      <c r="AU235" s="144"/>
      <c r="AV235" s="145"/>
      <c r="AW235" s="145"/>
      <c r="AX235" s="150"/>
      <c r="AY235" s="92">
        <f t="shared" ref="AY235:AZ235" si="1419">RANDBETWEEN(1,10)/10</f>
        <v>0.3</v>
      </c>
      <c r="AZ235" s="92">
        <f t="shared" si="1419"/>
        <v>0.6</v>
      </c>
      <c r="BA235" s="93">
        <v>1.0</v>
      </c>
      <c r="BB235" s="93">
        <v>2.0</v>
      </c>
      <c r="BC235" s="94">
        <f>SUM(BC207,'ГОЧ'!$AY235)</f>
        <v>1205.6</v>
      </c>
      <c r="BD235" s="94">
        <f>SUM(BD207,'ГОЧ'!$AZ235)</f>
        <v>1204.5</v>
      </c>
      <c r="BE235" s="108" t="s">
        <v>165</v>
      </c>
      <c r="BF235" s="108" t="s">
        <v>166</v>
      </c>
    </row>
    <row r="236" ht="15.75" customHeight="1">
      <c r="A236" s="67">
        <f t="shared" si="1367"/>
        <v>46262</v>
      </c>
      <c r="B236" s="138" t="s">
        <v>25</v>
      </c>
      <c r="C236" s="157">
        <f t="shared" si="1368"/>
        <v>1</v>
      </c>
      <c r="D236" s="97">
        <f t="shared" ref="D236:L236" si="1420">RANDBETWEEN(0,2)</f>
        <v>1</v>
      </c>
      <c r="E236" s="97">
        <f t="shared" si="1420"/>
        <v>2</v>
      </c>
      <c r="F236" s="97">
        <f t="shared" si="1420"/>
        <v>0</v>
      </c>
      <c r="G236" s="97">
        <f t="shared" si="1420"/>
        <v>0</v>
      </c>
      <c r="H236" s="98">
        <f t="shared" si="1420"/>
        <v>1</v>
      </c>
      <c r="I236" s="99">
        <f t="shared" si="1420"/>
        <v>2</v>
      </c>
      <c r="J236" s="100">
        <f t="shared" si="1420"/>
        <v>0</v>
      </c>
      <c r="K236" s="101">
        <f t="shared" si="1420"/>
        <v>1</v>
      </c>
      <c r="L236" s="101">
        <f t="shared" si="1420"/>
        <v>1</v>
      </c>
      <c r="M236" s="140">
        <f t="shared" si="1370"/>
        <v>43</v>
      </c>
      <c r="N236" s="97">
        <f t="shared" ref="N236:T236" si="1421">RANDBETWEEN(0,10)</f>
        <v>8</v>
      </c>
      <c r="O236" s="97">
        <f t="shared" si="1421"/>
        <v>8</v>
      </c>
      <c r="P236" s="97">
        <f t="shared" si="1421"/>
        <v>10</v>
      </c>
      <c r="Q236" s="97">
        <f t="shared" si="1421"/>
        <v>1</v>
      </c>
      <c r="R236" s="97">
        <f t="shared" si="1421"/>
        <v>10</v>
      </c>
      <c r="S236" s="97">
        <f t="shared" si="1421"/>
        <v>3</v>
      </c>
      <c r="T236" s="97">
        <f t="shared" si="1421"/>
        <v>3</v>
      </c>
      <c r="U236" s="103">
        <f t="shared" si="1414"/>
        <v>25</v>
      </c>
      <c r="V236" s="158">
        <f t="shared" si="1407"/>
        <v>0</v>
      </c>
      <c r="W236" s="97">
        <f t="shared" ref="W236:Y236" si="1422">RANDBETWEEN(0,2)</f>
        <v>0</v>
      </c>
      <c r="X236" s="97">
        <f t="shared" si="1422"/>
        <v>0</v>
      </c>
      <c r="Y236" s="97">
        <f t="shared" si="1422"/>
        <v>0</v>
      </c>
      <c r="Z236" s="159">
        <f t="shared" si="1416"/>
        <v>3</v>
      </c>
      <c r="AA236" s="106">
        <f t="shared" ref="AA236:AF236" si="1423">RANDBETWEEN(0,2)</f>
        <v>1</v>
      </c>
      <c r="AB236" s="106">
        <f t="shared" si="1423"/>
        <v>2</v>
      </c>
      <c r="AC236" s="107">
        <f t="shared" si="1423"/>
        <v>0</v>
      </c>
      <c r="AD236" s="108">
        <f t="shared" si="1423"/>
        <v>2</v>
      </c>
      <c r="AE236" s="108">
        <f t="shared" si="1423"/>
        <v>2</v>
      </c>
      <c r="AF236" s="108">
        <f t="shared" si="1423"/>
        <v>1</v>
      </c>
      <c r="AG236" s="160">
        <f t="shared" si="1377"/>
        <v>5</v>
      </c>
      <c r="AH236" s="107">
        <f t="shared" ref="AH236:AJ236" si="1424">RANDBETWEEN(1,10)</f>
        <v>8</v>
      </c>
      <c r="AI236" s="108">
        <f t="shared" si="1424"/>
        <v>2</v>
      </c>
      <c r="AJ236" s="108">
        <f t="shared" si="1424"/>
        <v>4</v>
      </c>
      <c r="AK236" s="147">
        <f t="shared" si="1379"/>
        <v>14</v>
      </c>
      <c r="AL236" s="107"/>
      <c r="AM236" s="108"/>
      <c r="AN236" s="108"/>
      <c r="AO236" s="108"/>
      <c r="AP236" s="148"/>
      <c r="AQ236" s="107"/>
      <c r="AR236" s="108"/>
      <c r="AS236" s="108"/>
      <c r="AT236" s="149"/>
      <c r="AU236" s="107"/>
      <c r="AV236" s="108"/>
      <c r="AW236" s="108"/>
      <c r="AX236" s="150"/>
      <c r="AY236" s="92">
        <f t="shared" ref="AY236:AZ236" si="1425">RANDBETWEEN(1,10)/10</f>
        <v>0.8</v>
      </c>
      <c r="AZ236" s="92">
        <f t="shared" si="1425"/>
        <v>0.4</v>
      </c>
      <c r="BA236" s="93">
        <v>0.0</v>
      </c>
      <c r="BB236" s="93">
        <v>0.0</v>
      </c>
      <c r="BC236" s="94">
        <f>SUM(BC208,'ГОЧ'!$AY236)</f>
        <v>1204.6</v>
      </c>
      <c r="BD236" s="94">
        <f>SUM(BD208,'ГОЧ'!$AZ236)</f>
        <v>1203.8</v>
      </c>
      <c r="BE236" s="108"/>
      <c r="BF236" s="108"/>
    </row>
    <row r="237" ht="15.75" customHeight="1">
      <c r="A237" s="67">
        <f t="shared" si="1367"/>
        <v>46262</v>
      </c>
      <c r="B237" s="138" t="s">
        <v>26</v>
      </c>
      <c r="C237" s="157">
        <f t="shared" si="1368"/>
        <v>1</v>
      </c>
      <c r="D237" s="97">
        <f t="shared" ref="D237:L237" si="1426">RANDBETWEEN(0,2)</f>
        <v>0</v>
      </c>
      <c r="E237" s="97">
        <f t="shared" si="1426"/>
        <v>1</v>
      </c>
      <c r="F237" s="97">
        <f t="shared" si="1426"/>
        <v>1</v>
      </c>
      <c r="G237" s="97">
        <f t="shared" si="1426"/>
        <v>2</v>
      </c>
      <c r="H237" s="98">
        <f t="shared" si="1426"/>
        <v>0</v>
      </c>
      <c r="I237" s="99">
        <f t="shared" si="1426"/>
        <v>1</v>
      </c>
      <c r="J237" s="100">
        <f t="shared" si="1426"/>
        <v>1</v>
      </c>
      <c r="K237" s="101">
        <f t="shared" si="1426"/>
        <v>1</v>
      </c>
      <c r="L237" s="101">
        <f t="shared" si="1426"/>
        <v>1</v>
      </c>
      <c r="M237" s="140">
        <f t="shared" si="1370"/>
        <v>46</v>
      </c>
      <c r="N237" s="97">
        <f t="shared" ref="N237:T237" si="1427">RANDBETWEEN(0,10)</f>
        <v>10</v>
      </c>
      <c r="O237" s="97">
        <f t="shared" si="1427"/>
        <v>6</v>
      </c>
      <c r="P237" s="97">
        <f t="shared" si="1427"/>
        <v>5</v>
      </c>
      <c r="Q237" s="97">
        <f t="shared" si="1427"/>
        <v>7</v>
      </c>
      <c r="R237" s="97">
        <f t="shared" si="1427"/>
        <v>5</v>
      </c>
      <c r="S237" s="97">
        <f t="shared" si="1427"/>
        <v>3</v>
      </c>
      <c r="T237" s="97">
        <f t="shared" si="1427"/>
        <v>10</v>
      </c>
      <c r="U237" s="103">
        <f t="shared" si="1414"/>
        <v>21</v>
      </c>
      <c r="V237" s="158">
        <f t="shared" si="1407"/>
        <v>4</v>
      </c>
      <c r="W237" s="97">
        <f t="shared" ref="W237:Y237" si="1428">RANDBETWEEN(0,2)</f>
        <v>0</v>
      </c>
      <c r="X237" s="97">
        <f t="shared" si="1428"/>
        <v>2</v>
      </c>
      <c r="Y237" s="97">
        <f t="shared" si="1428"/>
        <v>2</v>
      </c>
      <c r="Z237" s="159">
        <f t="shared" si="1416"/>
        <v>2</v>
      </c>
      <c r="AA237" s="143">
        <f t="shared" ref="AA237:AF237" si="1429">RANDBETWEEN(0,2)</f>
        <v>1</v>
      </c>
      <c r="AB237" s="143">
        <f t="shared" si="1429"/>
        <v>1</v>
      </c>
      <c r="AC237" s="144">
        <f t="shared" si="1429"/>
        <v>2</v>
      </c>
      <c r="AD237" s="145">
        <f t="shared" si="1429"/>
        <v>1</v>
      </c>
      <c r="AE237" s="145">
        <f t="shared" si="1429"/>
        <v>0</v>
      </c>
      <c r="AF237" s="145">
        <f t="shared" si="1429"/>
        <v>2</v>
      </c>
      <c r="AG237" s="160">
        <f t="shared" si="1377"/>
        <v>5</v>
      </c>
      <c r="AH237" s="144">
        <f t="shared" ref="AH237:AJ237" si="1430">RANDBETWEEN(1,10)</f>
        <v>4</v>
      </c>
      <c r="AI237" s="145">
        <f t="shared" si="1430"/>
        <v>6</v>
      </c>
      <c r="AJ237" s="145">
        <f t="shared" si="1430"/>
        <v>4</v>
      </c>
      <c r="AK237" s="147">
        <f t="shared" si="1379"/>
        <v>14</v>
      </c>
      <c r="AL237" s="144"/>
      <c r="AM237" s="145"/>
      <c r="AN237" s="145"/>
      <c r="AO237" s="145"/>
      <c r="AP237" s="148"/>
      <c r="AQ237" s="144"/>
      <c r="AR237" s="145"/>
      <c r="AS237" s="145"/>
      <c r="AT237" s="149"/>
      <c r="AU237" s="144"/>
      <c r="AV237" s="145"/>
      <c r="AW237" s="145"/>
      <c r="AX237" s="150"/>
      <c r="AY237" s="92">
        <f t="shared" ref="AY237:AZ237" si="1431">RANDBETWEEN(1,10)/10</f>
        <v>0.9</v>
      </c>
      <c r="AZ237" s="92">
        <f t="shared" si="1431"/>
        <v>0.7</v>
      </c>
      <c r="BA237" s="93">
        <v>1.0</v>
      </c>
      <c r="BB237" s="93">
        <v>0.0</v>
      </c>
      <c r="BC237" s="94">
        <f>SUM(BC209,'ГОЧ'!$AY237)</f>
        <v>1204.5</v>
      </c>
      <c r="BD237" s="94">
        <f>SUM(BD209,'ГОЧ'!$AZ237)</f>
        <v>1204.9</v>
      </c>
      <c r="BE237" s="108" t="s">
        <v>167</v>
      </c>
      <c r="BF237" s="108"/>
    </row>
    <row r="238" ht="15.75" customHeight="1">
      <c r="A238" s="67">
        <f t="shared" si="1367"/>
        <v>46262</v>
      </c>
      <c r="B238" s="138" t="s">
        <v>28</v>
      </c>
      <c r="C238" s="157">
        <f t="shared" si="1368"/>
        <v>0</v>
      </c>
      <c r="D238" s="97">
        <f t="shared" ref="D238:L238" si="1432">RANDBETWEEN(0,2)</f>
        <v>0</v>
      </c>
      <c r="E238" s="97">
        <f t="shared" si="1432"/>
        <v>2</v>
      </c>
      <c r="F238" s="97">
        <f t="shared" si="1432"/>
        <v>0</v>
      </c>
      <c r="G238" s="97">
        <f t="shared" si="1432"/>
        <v>2</v>
      </c>
      <c r="H238" s="98">
        <f t="shared" si="1432"/>
        <v>0</v>
      </c>
      <c r="I238" s="99">
        <f t="shared" si="1432"/>
        <v>0</v>
      </c>
      <c r="J238" s="100">
        <f t="shared" si="1432"/>
        <v>0</v>
      </c>
      <c r="K238" s="101">
        <f t="shared" si="1432"/>
        <v>2</v>
      </c>
      <c r="L238" s="101">
        <f t="shared" si="1432"/>
        <v>1</v>
      </c>
      <c r="M238" s="140">
        <f t="shared" si="1370"/>
        <v>31</v>
      </c>
      <c r="N238" s="97">
        <f t="shared" ref="N238:T238" si="1433">RANDBETWEEN(0,10)</f>
        <v>7</v>
      </c>
      <c r="O238" s="97">
        <f t="shared" si="1433"/>
        <v>2</v>
      </c>
      <c r="P238" s="97">
        <f t="shared" si="1433"/>
        <v>3</v>
      </c>
      <c r="Q238" s="97">
        <f t="shared" si="1433"/>
        <v>1</v>
      </c>
      <c r="R238" s="97">
        <f t="shared" si="1433"/>
        <v>10</v>
      </c>
      <c r="S238" s="97">
        <f t="shared" si="1433"/>
        <v>6</v>
      </c>
      <c r="T238" s="97">
        <f t="shared" si="1433"/>
        <v>2</v>
      </c>
      <c r="U238" s="103">
        <f t="shared" si="1414"/>
        <v>26</v>
      </c>
      <c r="V238" s="158">
        <f t="shared" si="1407"/>
        <v>1</v>
      </c>
      <c r="W238" s="97">
        <f t="shared" ref="W238:Y238" si="1434">RANDBETWEEN(0,2)</f>
        <v>0</v>
      </c>
      <c r="X238" s="97">
        <f t="shared" si="1434"/>
        <v>1</v>
      </c>
      <c r="Y238" s="97">
        <f t="shared" si="1434"/>
        <v>0</v>
      </c>
      <c r="Z238" s="159">
        <f t="shared" si="1416"/>
        <v>4</v>
      </c>
      <c r="AA238" s="106">
        <f t="shared" ref="AA238:AF238" si="1435">RANDBETWEEN(0,2)</f>
        <v>2</v>
      </c>
      <c r="AB238" s="106">
        <f t="shared" si="1435"/>
        <v>2</v>
      </c>
      <c r="AC238" s="107">
        <f t="shared" si="1435"/>
        <v>2</v>
      </c>
      <c r="AD238" s="108">
        <f t="shared" si="1435"/>
        <v>1</v>
      </c>
      <c r="AE238" s="108">
        <f t="shared" si="1435"/>
        <v>0</v>
      </c>
      <c r="AF238" s="108">
        <f t="shared" si="1435"/>
        <v>2</v>
      </c>
      <c r="AG238" s="160">
        <f t="shared" si="1377"/>
        <v>5</v>
      </c>
      <c r="AH238" s="107">
        <f t="shared" ref="AH238:AJ238" si="1436">RANDBETWEEN(1,10)</f>
        <v>3</v>
      </c>
      <c r="AI238" s="108">
        <f t="shared" si="1436"/>
        <v>8</v>
      </c>
      <c r="AJ238" s="108">
        <f t="shared" si="1436"/>
        <v>5</v>
      </c>
      <c r="AK238" s="147">
        <f t="shared" si="1379"/>
        <v>16</v>
      </c>
      <c r="AL238" s="107"/>
      <c r="AM238" s="108"/>
      <c r="AN238" s="108"/>
      <c r="AO238" s="108"/>
      <c r="AP238" s="148"/>
      <c r="AQ238" s="107"/>
      <c r="AR238" s="108"/>
      <c r="AS238" s="108"/>
      <c r="AT238" s="149"/>
      <c r="AU238" s="107"/>
      <c r="AV238" s="108"/>
      <c r="AW238" s="108"/>
      <c r="AX238" s="150"/>
      <c r="AY238" s="92">
        <f t="shared" ref="AY238:AZ238" si="1437">RANDBETWEEN(1,10)/10</f>
        <v>0.8</v>
      </c>
      <c r="AZ238" s="92">
        <f t="shared" si="1437"/>
        <v>0.4</v>
      </c>
      <c r="BA238" s="93">
        <v>0.0</v>
      </c>
      <c r="BB238" s="93">
        <v>1.0</v>
      </c>
      <c r="BC238" s="94">
        <f>SUM(BC210,'ГОЧ'!$AY238)</f>
        <v>1205</v>
      </c>
      <c r="BD238" s="94">
        <f>SUM(BD210,'ГОЧ'!$AZ238)</f>
        <v>1204.6</v>
      </c>
      <c r="BE238" s="108"/>
      <c r="BF238" s="108" t="s">
        <v>168</v>
      </c>
    </row>
    <row r="239" ht="15.75" customHeight="1">
      <c r="A239" s="67">
        <f t="shared" si="1367"/>
        <v>46262</v>
      </c>
      <c r="B239" s="114" t="s">
        <v>29</v>
      </c>
      <c r="C239" s="164">
        <f t="shared" si="1368"/>
        <v>8</v>
      </c>
      <c r="D239" s="165">
        <f t="shared" ref="D239:L239" si="1438">D234+D235+D236+D237+D238</f>
        <v>5</v>
      </c>
      <c r="E239" s="165">
        <f t="shared" si="1438"/>
        <v>5</v>
      </c>
      <c r="F239" s="165">
        <f t="shared" si="1438"/>
        <v>3</v>
      </c>
      <c r="G239" s="165">
        <f t="shared" si="1438"/>
        <v>7</v>
      </c>
      <c r="H239" s="164">
        <f t="shared" si="1438"/>
        <v>4</v>
      </c>
      <c r="I239" s="165">
        <f t="shared" si="1438"/>
        <v>6</v>
      </c>
      <c r="J239" s="164">
        <f t="shared" si="1438"/>
        <v>4</v>
      </c>
      <c r="K239" s="165">
        <f t="shared" si="1438"/>
        <v>8</v>
      </c>
      <c r="L239" s="165">
        <f t="shared" si="1438"/>
        <v>3</v>
      </c>
      <c r="M239" s="164">
        <f t="shared" si="1370"/>
        <v>178</v>
      </c>
      <c r="N239" s="164">
        <f t="shared" ref="N239:U239" si="1439">N234+N235+N236+N237+N238</f>
        <v>41</v>
      </c>
      <c r="O239" s="165">
        <f t="shared" si="1439"/>
        <v>26</v>
      </c>
      <c r="P239" s="165">
        <f t="shared" si="1439"/>
        <v>27</v>
      </c>
      <c r="Q239" s="165">
        <f t="shared" si="1439"/>
        <v>11</v>
      </c>
      <c r="R239" s="165">
        <f t="shared" si="1439"/>
        <v>37</v>
      </c>
      <c r="S239" s="165">
        <f t="shared" si="1439"/>
        <v>16</v>
      </c>
      <c r="T239" s="165">
        <f t="shared" si="1439"/>
        <v>20</v>
      </c>
      <c r="U239" s="164">
        <f t="shared" si="1439"/>
        <v>107</v>
      </c>
      <c r="V239" s="164">
        <f t="shared" si="1407"/>
        <v>14</v>
      </c>
      <c r="W239" s="165">
        <f t="shared" ref="W239:Y239" si="1440">W234+W235+W236+W237+W238</f>
        <v>3</v>
      </c>
      <c r="X239" s="165">
        <f t="shared" si="1440"/>
        <v>7</v>
      </c>
      <c r="Y239" s="165">
        <f t="shared" si="1440"/>
        <v>4</v>
      </c>
      <c r="Z239" s="165">
        <f t="shared" si="1416"/>
        <v>13</v>
      </c>
      <c r="AA239" s="165">
        <f t="shared" ref="AA239:AC239" si="1441">AA234+AA235+AA236+AA237+AA238</f>
        <v>7</v>
      </c>
      <c r="AB239" s="165">
        <f t="shared" si="1441"/>
        <v>6</v>
      </c>
      <c r="AC239" s="166">
        <f t="shared" si="1441"/>
        <v>7</v>
      </c>
      <c r="AD239" s="167">
        <f>AE234+AD235+AD236+AD237+AD238</f>
        <v>4</v>
      </c>
      <c r="AE239" s="167">
        <f t="shared" ref="AE239:AF239" si="1442">AE234+AE235+AE236+AE237+AE238</f>
        <v>4</v>
      </c>
      <c r="AF239" s="167">
        <f t="shared" si="1442"/>
        <v>7</v>
      </c>
      <c r="AG239" s="168">
        <f t="shared" si="1377"/>
        <v>22</v>
      </c>
      <c r="AH239" s="166">
        <f t="shared" ref="AH239:AJ239" si="1443">AH234+AH235+AH236+AH237+AH238</f>
        <v>25</v>
      </c>
      <c r="AI239" s="166">
        <f t="shared" si="1443"/>
        <v>30</v>
      </c>
      <c r="AJ239" s="166">
        <f t="shared" si="1443"/>
        <v>27</v>
      </c>
      <c r="AK239" s="168">
        <f t="shared" si="1379"/>
        <v>82</v>
      </c>
      <c r="AL239" s="166"/>
      <c r="AM239" s="167"/>
      <c r="AN239" s="167"/>
      <c r="AO239" s="167"/>
      <c r="AP239" s="169"/>
      <c r="AQ239" s="166"/>
      <c r="AR239" s="166"/>
      <c r="AS239" s="166"/>
      <c r="AT239" s="170"/>
      <c r="AU239" s="166"/>
      <c r="AV239" s="166"/>
      <c r="AW239" s="166"/>
      <c r="AX239" s="171"/>
      <c r="AY239" s="172">
        <f t="shared" ref="AY239:BD239" si="1444">AY234+AY235+AY236+AY237+AY238</f>
        <v>3.6</v>
      </c>
      <c r="AZ239" s="172">
        <f t="shared" si="1444"/>
        <v>3.1</v>
      </c>
      <c r="BA239" s="166">
        <f t="shared" si="1444"/>
        <v>3</v>
      </c>
      <c r="BB239" s="166">
        <f t="shared" si="1444"/>
        <v>3</v>
      </c>
      <c r="BC239" s="173">
        <f t="shared" si="1444"/>
        <v>6025.3</v>
      </c>
      <c r="BD239" s="173">
        <f t="shared" si="1444"/>
        <v>6022</v>
      </c>
      <c r="BE239" s="154" t="str">
        <f t="shared" ref="BE239:BF239" si="1445">TEXTJOIN(", ",TRUE,BE234:BE238)</f>
        <v>Олександівка, Пантелеймонівка, Миколаївка</v>
      </c>
      <c r="BF239" s="154" t="str">
        <f t="shared" si="1445"/>
        <v>Загреблі, Верхні води, Ступочки</v>
      </c>
    </row>
    <row r="240" ht="15.75" customHeight="1">
      <c r="A240" s="67">
        <f t="shared" si="1367"/>
        <v>46262</v>
      </c>
      <c r="B240" s="124" t="s">
        <v>31</v>
      </c>
      <c r="C240" s="174">
        <f t="shared" si="1368"/>
        <v>1</v>
      </c>
      <c r="D240" s="175">
        <f t="shared" ref="D240:L240" si="1446">RANDBETWEEN(0,2)</f>
        <v>1</v>
      </c>
      <c r="E240" s="175">
        <f t="shared" si="1446"/>
        <v>2</v>
      </c>
      <c r="F240" s="175">
        <f t="shared" si="1446"/>
        <v>0</v>
      </c>
      <c r="G240" s="175">
        <f t="shared" si="1446"/>
        <v>1</v>
      </c>
      <c r="H240" s="176">
        <f t="shared" si="1446"/>
        <v>1</v>
      </c>
      <c r="I240" s="177">
        <f t="shared" si="1446"/>
        <v>2</v>
      </c>
      <c r="J240" s="178">
        <f t="shared" si="1446"/>
        <v>0</v>
      </c>
      <c r="K240" s="179">
        <f t="shared" si="1446"/>
        <v>1</v>
      </c>
      <c r="L240" s="179">
        <f t="shared" si="1446"/>
        <v>0</v>
      </c>
      <c r="M240" s="180">
        <f t="shared" si="1370"/>
        <v>42</v>
      </c>
      <c r="N240" s="175">
        <f t="shared" ref="N240:T240" si="1447">RANDBETWEEN(0,10)</f>
        <v>5</v>
      </c>
      <c r="O240" s="175">
        <f t="shared" si="1447"/>
        <v>9</v>
      </c>
      <c r="P240" s="175">
        <f t="shared" si="1447"/>
        <v>7</v>
      </c>
      <c r="Q240" s="175">
        <f t="shared" si="1447"/>
        <v>4</v>
      </c>
      <c r="R240" s="175">
        <f t="shared" si="1447"/>
        <v>5</v>
      </c>
      <c r="S240" s="175">
        <f t="shared" si="1447"/>
        <v>5</v>
      </c>
      <c r="T240" s="175">
        <f t="shared" si="1447"/>
        <v>7</v>
      </c>
      <c r="U240" s="181">
        <f t="shared" ref="U240:U245" si="1454">RANDBETWEEN(10,30)</f>
        <v>30</v>
      </c>
      <c r="V240" s="182">
        <f t="shared" si="1407"/>
        <v>3</v>
      </c>
      <c r="W240" s="175">
        <f t="shared" ref="W240:Y240" si="1448">RANDBETWEEN(0,2)</f>
        <v>1</v>
      </c>
      <c r="X240" s="175">
        <f t="shared" si="1448"/>
        <v>0</v>
      </c>
      <c r="Y240" s="175">
        <f t="shared" si="1448"/>
        <v>2</v>
      </c>
      <c r="Z240" s="183">
        <f t="shared" si="1416"/>
        <v>2</v>
      </c>
      <c r="AA240" s="184">
        <f t="shared" ref="AA240:AF240" si="1449">RANDBETWEEN(0,2)</f>
        <v>0</v>
      </c>
      <c r="AB240" s="184">
        <f t="shared" si="1449"/>
        <v>2</v>
      </c>
      <c r="AC240" s="185">
        <f t="shared" si="1449"/>
        <v>0</v>
      </c>
      <c r="AD240" s="186">
        <f t="shared" si="1449"/>
        <v>2</v>
      </c>
      <c r="AE240" s="186">
        <f t="shared" si="1449"/>
        <v>1</v>
      </c>
      <c r="AF240" s="186">
        <f t="shared" si="1449"/>
        <v>2</v>
      </c>
      <c r="AG240" s="187">
        <f t="shared" si="1377"/>
        <v>5</v>
      </c>
      <c r="AH240" s="185">
        <f t="shared" ref="AH240:AJ240" si="1450">RANDBETWEEN(1,10)</f>
        <v>2</v>
      </c>
      <c r="AI240" s="186">
        <f t="shared" si="1450"/>
        <v>4</v>
      </c>
      <c r="AJ240" s="186">
        <f t="shared" si="1450"/>
        <v>9</v>
      </c>
      <c r="AK240" s="188">
        <f t="shared" si="1379"/>
        <v>15</v>
      </c>
      <c r="AL240" s="185"/>
      <c r="AM240" s="186"/>
      <c r="AN240" s="186"/>
      <c r="AO240" s="186"/>
      <c r="AP240" s="189"/>
      <c r="AQ240" s="185"/>
      <c r="AR240" s="186"/>
      <c r="AS240" s="186"/>
      <c r="AT240" s="190"/>
      <c r="AU240" s="185"/>
      <c r="AV240" s="186"/>
      <c r="AW240" s="186"/>
      <c r="AX240" s="191"/>
      <c r="AY240" s="92">
        <f t="shared" ref="AY240:AZ240" si="1451">RANDBETWEEN(1,10)/10</f>
        <v>0.9</v>
      </c>
      <c r="AZ240" s="92">
        <f t="shared" si="1451"/>
        <v>0.3</v>
      </c>
      <c r="BA240" s="93">
        <v>0.0</v>
      </c>
      <c r="BB240" s="93">
        <v>0.0</v>
      </c>
      <c r="BC240" s="94">
        <f>SUM(BC212,'ГОЧ'!$AY240)</f>
        <v>1204.5</v>
      </c>
      <c r="BD240" s="94">
        <f>SUM(BD212,'ГОЧ'!$AZ240)</f>
        <v>1205.4</v>
      </c>
      <c r="BE240" s="186"/>
      <c r="BF240" s="186"/>
    </row>
    <row r="241" ht="15.75" customHeight="1">
      <c r="A241" s="67">
        <f t="shared" si="1367"/>
        <v>46262</v>
      </c>
      <c r="B241" s="138" t="s">
        <v>33</v>
      </c>
      <c r="C241" s="157">
        <f t="shared" si="1368"/>
        <v>0</v>
      </c>
      <c r="D241" s="97">
        <f t="shared" ref="D241:L241" si="1452">RANDBETWEEN(0,2)</f>
        <v>0</v>
      </c>
      <c r="E241" s="97">
        <f t="shared" si="1452"/>
        <v>0</v>
      </c>
      <c r="F241" s="97">
        <f t="shared" si="1452"/>
        <v>0</v>
      </c>
      <c r="G241" s="97">
        <f t="shared" si="1452"/>
        <v>1</v>
      </c>
      <c r="H241" s="98">
        <f t="shared" si="1452"/>
        <v>1</v>
      </c>
      <c r="I241" s="99">
        <f t="shared" si="1452"/>
        <v>2</v>
      </c>
      <c r="J241" s="100">
        <f t="shared" si="1452"/>
        <v>1</v>
      </c>
      <c r="K241" s="101">
        <f t="shared" si="1452"/>
        <v>2</v>
      </c>
      <c r="L241" s="101">
        <f t="shared" si="1452"/>
        <v>0</v>
      </c>
      <c r="M241" s="140">
        <f t="shared" si="1370"/>
        <v>50</v>
      </c>
      <c r="N241" s="97">
        <f t="shared" ref="N241:T241" si="1453">RANDBETWEEN(0,10)</f>
        <v>5</v>
      </c>
      <c r="O241" s="97">
        <f t="shared" si="1453"/>
        <v>8</v>
      </c>
      <c r="P241" s="97">
        <f t="shared" si="1453"/>
        <v>4</v>
      </c>
      <c r="Q241" s="97">
        <f t="shared" si="1453"/>
        <v>10</v>
      </c>
      <c r="R241" s="97">
        <f t="shared" si="1453"/>
        <v>6</v>
      </c>
      <c r="S241" s="97">
        <f t="shared" si="1453"/>
        <v>10</v>
      </c>
      <c r="T241" s="97">
        <f t="shared" si="1453"/>
        <v>7</v>
      </c>
      <c r="U241" s="103">
        <f t="shared" si="1454"/>
        <v>22</v>
      </c>
      <c r="V241" s="158">
        <f t="shared" si="1407"/>
        <v>4</v>
      </c>
      <c r="W241" s="97">
        <f t="shared" ref="W241:Y241" si="1455">RANDBETWEEN(0,2)</f>
        <v>2</v>
      </c>
      <c r="X241" s="97">
        <f t="shared" si="1455"/>
        <v>2</v>
      </c>
      <c r="Y241" s="97">
        <f t="shared" si="1455"/>
        <v>0</v>
      </c>
      <c r="Z241" s="105">
        <f t="shared" si="1416"/>
        <v>0</v>
      </c>
      <c r="AA241" s="143">
        <f t="shared" ref="AA241:AF241" si="1456">RANDBETWEEN(0,2)</f>
        <v>0</v>
      </c>
      <c r="AB241" s="143">
        <f t="shared" si="1456"/>
        <v>0</v>
      </c>
      <c r="AC241" s="144">
        <f t="shared" si="1456"/>
        <v>2</v>
      </c>
      <c r="AD241" s="145">
        <f t="shared" si="1456"/>
        <v>2</v>
      </c>
      <c r="AE241" s="145">
        <f t="shared" si="1456"/>
        <v>0</v>
      </c>
      <c r="AF241" s="145">
        <f t="shared" si="1456"/>
        <v>1</v>
      </c>
      <c r="AG241" s="86">
        <f t="shared" si="1377"/>
        <v>5</v>
      </c>
      <c r="AH241" s="144">
        <f t="shared" ref="AH241:AJ241" si="1457">RANDBETWEEN(1,10)</f>
        <v>2</v>
      </c>
      <c r="AI241" s="145">
        <f t="shared" si="1457"/>
        <v>8</v>
      </c>
      <c r="AJ241" s="145">
        <f t="shared" si="1457"/>
        <v>2</v>
      </c>
      <c r="AK241" s="192">
        <f t="shared" si="1379"/>
        <v>12</v>
      </c>
      <c r="AL241" s="144"/>
      <c r="AM241" s="145"/>
      <c r="AN241" s="145"/>
      <c r="AO241" s="145"/>
      <c r="AP241" s="89"/>
      <c r="AQ241" s="144"/>
      <c r="AR241" s="145"/>
      <c r="AS241" s="145"/>
      <c r="AT241" s="193"/>
      <c r="AU241" s="144"/>
      <c r="AV241" s="145"/>
      <c r="AW241" s="145"/>
      <c r="AX241" s="194"/>
      <c r="AY241" s="92">
        <f t="shared" ref="AY241:AZ241" si="1458">RANDBETWEEN(1,10)/10</f>
        <v>0.1</v>
      </c>
      <c r="AZ241" s="92">
        <f t="shared" si="1458"/>
        <v>0.4</v>
      </c>
      <c r="BA241" s="93">
        <v>0.0</v>
      </c>
      <c r="BB241" s="93">
        <v>0.0</v>
      </c>
      <c r="BC241" s="94">
        <f>SUM(BC213,'ГОЧ'!$AY241)</f>
        <v>1205</v>
      </c>
      <c r="BD241" s="94">
        <f>SUM(BD213,'ГОЧ'!$AZ241)</f>
        <v>1203.8</v>
      </c>
      <c r="BE241" s="108"/>
      <c r="BF241" s="108"/>
    </row>
    <row r="242" ht="15.75" customHeight="1">
      <c r="A242" s="67">
        <f t="shared" si="1367"/>
        <v>46262</v>
      </c>
      <c r="B242" s="138" t="s">
        <v>35</v>
      </c>
      <c r="C242" s="157">
        <f t="shared" si="1368"/>
        <v>2</v>
      </c>
      <c r="D242" s="97">
        <f t="shared" ref="D242:L242" si="1459">RANDBETWEEN(0,2)</f>
        <v>1</v>
      </c>
      <c r="E242" s="97">
        <f t="shared" si="1459"/>
        <v>0</v>
      </c>
      <c r="F242" s="97">
        <f t="shared" si="1459"/>
        <v>1</v>
      </c>
      <c r="G242" s="97">
        <f t="shared" si="1459"/>
        <v>2</v>
      </c>
      <c r="H242" s="98">
        <f t="shared" si="1459"/>
        <v>1</v>
      </c>
      <c r="I242" s="99">
        <f t="shared" si="1459"/>
        <v>2</v>
      </c>
      <c r="J242" s="100">
        <f t="shared" si="1459"/>
        <v>2</v>
      </c>
      <c r="K242" s="101">
        <f t="shared" si="1459"/>
        <v>2</v>
      </c>
      <c r="L242" s="101">
        <f t="shared" si="1459"/>
        <v>2</v>
      </c>
      <c r="M242" s="140">
        <f t="shared" si="1370"/>
        <v>26</v>
      </c>
      <c r="N242" s="97">
        <f t="shared" ref="N242:T242" si="1460">RANDBETWEEN(0,10)</f>
        <v>3</v>
      </c>
      <c r="O242" s="97">
        <f t="shared" si="1460"/>
        <v>0</v>
      </c>
      <c r="P242" s="97">
        <f t="shared" si="1460"/>
        <v>2</v>
      </c>
      <c r="Q242" s="97">
        <f t="shared" si="1460"/>
        <v>5</v>
      </c>
      <c r="R242" s="97">
        <f t="shared" si="1460"/>
        <v>6</v>
      </c>
      <c r="S242" s="97">
        <f t="shared" si="1460"/>
        <v>2</v>
      </c>
      <c r="T242" s="97">
        <f t="shared" si="1460"/>
        <v>8</v>
      </c>
      <c r="U242" s="103">
        <f t="shared" si="1454"/>
        <v>27</v>
      </c>
      <c r="V242" s="158">
        <f t="shared" si="1407"/>
        <v>3</v>
      </c>
      <c r="W242" s="97">
        <f t="shared" ref="W242:Y242" si="1461">RANDBETWEEN(0,2)</f>
        <v>1</v>
      </c>
      <c r="X242" s="97">
        <f t="shared" si="1461"/>
        <v>0</v>
      </c>
      <c r="Y242" s="97">
        <f t="shared" si="1461"/>
        <v>2</v>
      </c>
      <c r="Z242" s="105">
        <f t="shared" si="1416"/>
        <v>1</v>
      </c>
      <c r="AA242" s="106">
        <f t="shared" ref="AA242:AF242" si="1462">RANDBETWEEN(0,2)</f>
        <v>0</v>
      </c>
      <c r="AB242" s="106">
        <f t="shared" si="1462"/>
        <v>1</v>
      </c>
      <c r="AC242" s="107">
        <f t="shared" si="1462"/>
        <v>1</v>
      </c>
      <c r="AD242" s="108">
        <f t="shared" si="1462"/>
        <v>2</v>
      </c>
      <c r="AE242" s="108">
        <f t="shared" si="1462"/>
        <v>2</v>
      </c>
      <c r="AF242" s="108">
        <f t="shared" si="1462"/>
        <v>1</v>
      </c>
      <c r="AG242" s="86">
        <f t="shared" si="1377"/>
        <v>6</v>
      </c>
      <c r="AH242" s="107">
        <f t="shared" ref="AH242:AJ242" si="1463">RANDBETWEEN(1,10)</f>
        <v>8</v>
      </c>
      <c r="AI242" s="108">
        <f t="shared" si="1463"/>
        <v>4</v>
      </c>
      <c r="AJ242" s="108">
        <f t="shared" si="1463"/>
        <v>5</v>
      </c>
      <c r="AK242" s="192">
        <f t="shared" si="1379"/>
        <v>17</v>
      </c>
      <c r="AL242" s="107"/>
      <c r="AM242" s="108"/>
      <c r="AN242" s="108"/>
      <c r="AO242" s="108"/>
      <c r="AP242" s="89"/>
      <c r="AQ242" s="107"/>
      <c r="AR242" s="108"/>
      <c r="AS242" s="108"/>
      <c r="AT242" s="193"/>
      <c r="AU242" s="107"/>
      <c r="AV242" s="108"/>
      <c r="AW242" s="108"/>
      <c r="AX242" s="194"/>
      <c r="AY242" s="92">
        <f t="shared" ref="AY242:AZ242" si="1464">RANDBETWEEN(1,10)/10</f>
        <v>1</v>
      </c>
      <c r="AZ242" s="92">
        <f t="shared" si="1464"/>
        <v>0.3</v>
      </c>
      <c r="BA242" s="93">
        <v>0.0</v>
      </c>
      <c r="BB242" s="93">
        <v>0.0</v>
      </c>
      <c r="BC242" s="94">
        <f>SUM(BC214,'ГОЧ'!$AY242)</f>
        <v>1204.7</v>
      </c>
      <c r="BD242" s="94">
        <f>SUM(BD214,'ГОЧ'!$AZ242)</f>
        <v>1204.6</v>
      </c>
      <c r="BE242" s="108"/>
      <c r="BF242" s="108"/>
    </row>
    <row r="243" ht="15.75" customHeight="1">
      <c r="A243" s="67">
        <f t="shared" si="1367"/>
        <v>46262</v>
      </c>
      <c r="B243" s="138" t="s">
        <v>36</v>
      </c>
      <c r="C243" s="157">
        <f t="shared" si="1368"/>
        <v>1</v>
      </c>
      <c r="D243" s="97">
        <f t="shared" ref="D243:L243" si="1465">RANDBETWEEN(0,2)</f>
        <v>0</v>
      </c>
      <c r="E243" s="97">
        <f t="shared" si="1465"/>
        <v>0</v>
      </c>
      <c r="F243" s="97">
        <f t="shared" si="1465"/>
        <v>1</v>
      </c>
      <c r="G243" s="97">
        <f t="shared" si="1465"/>
        <v>0</v>
      </c>
      <c r="H243" s="98">
        <f t="shared" si="1465"/>
        <v>0</v>
      </c>
      <c r="I243" s="99">
        <f t="shared" si="1465"/>
        <v>2</v>
      </c>
      <c r="J243" s="100">
        <f t="shared" si="1465"/>
        <v>1</v>
      </c>
      <c r="K243" s="101">
        <f t="shared" si="1465"/>
        <v>2</v>
      </c>
      <c r="L243" s="101">
        <f t="shared" si="1465"/>
        <v>0</v>
      </c>
      <c r="M243" s="140">
        <f t="shared" si="1370"/>
        <v>43</v>
      </c>
      <c r="N243" s="97">
        <f t="shared" ref="N243:T243" si="1466">RANDBETWEEN(0,10)</f>
        <v>7</v>
      </c>
      <c r="O243" s="97">
        <f t="shared" si="1466"/>
        <v>4</v>
      </c>
      <c r="P243" s="97">
        <f t="shared" si="1466"/>
        <v>10</v>
      </c>
      <c r="Q243" s="97">
        <f t="shared" si="1466"/>
        <v>8</v>
      </c>
      <c r="R243" s="97">
        <f t="shared" si="1466"/>
        <v>5</v>
      </c>
      <c r="S243" s="97">
        <f t="shared" si="1466"/>
        <v>0</v>
      </c>
      <c r="T243" s="97">
        <f t="shared" si="1466"/>
        <v>9</v>
      </c>
      <c r="U243" s="103">
        <f t="shared" si="1454"/>
        <v>13</v>
      </c>
      <c r="V243" s="158">
        <f t="shared" si="1407"/>
        <v>0</v>
      </c>
      <c r="W243" s="97">
        <f t="shared" ref="W243:Y243" si="1467">RANDBETWEEN(0,2)</f>
        <v>0</v>
      </c>
      <c r="X243" s="97">
        <f t="shared" si="1467"/>
        <v>0</v>
      </c>
      <c r="Y243" s="97">
        <f t="shared" si="1467"/>
        <v>0</v>
      </c>
      <c r="Z243" s="105">
        <f t="shared" si="1416"/>
        <v>2</v>
      </c>
      <c r="AA243" s="143">
        <f t="shared" ref="AA243:AF243" si="1468">RANDBETWEEN(0,2)</f>
        <v>0</v>
      </c>
      <c r="AB243" s="143">
        <f t="shared" si="1468"/>
        <v>2</v>
      </c>
      <c r="AC243" s="144">
        <f t="shared" si="1468"/>
        <v>1</v>
      </c>
      <c r="AD243" s="145">
        <f t="shared" si="1468"/>
        <v>1</v>
      </c>
      <c r="AE243" s="145">
        <f t="shared" si="1468"/>
        <v>2</v>
      </c>
      <c r="AF243" s="145">
        <f t="shared" si="1468"/>
        <v>2</v>
      </c>
      <c r="AG243" s="86">
        <f t="shared" si="1377"/>
        <v>6</v>
      </c>
      <c r="AH243" s="144">
        <f t="shared" ref="AH243:AJ243" si="1469">RANDBETWEEN(1,10)</f>
        <v>2</v>
      </c>
      <c r="AI243" s="145">
        <f t="shared" si="1469"/>
        <v>5</v>
      </c>
      <c r="AJ243" s="145">
        <f t="shared" si="1469"/>
        <v>7</v>
      </c>
      <c r="AK243" s="192">
        <f t="shared" si="1379"/>
        <v>14</v>
      </c>
      <c r="AL243" s="144"/>
      <c r="AM243" s="145"/>
      <c r="AN243" s="145"/>
      <c r="AO243" s="145"/>
      <c r="AP243" s="89"/>
      <c r="AQ243" s="144"/>
      <c r="AR243" s="145"/>
      <c r="AS243" s="145"/>
      <c r="AT243" s="193"/>
      <c r="AU243" s="144"/>
      <c r="AV243" s="145"/>
      <c r="AW243" s="145"/>
      <c r="AX243" s="194"/>
      <c r="AY243" s="92">
        <f t="shared" ref="AY243:AZ243" si="1470">RANDBETWEEN(1,10)/10</f>
        <v>0.3</v>
      </c>
      <c r="AZ243" s="92">
        <f t="shared" si="1470"/>
        <v>0.4</v>
      </c>
      <c r="BA243" s="93">
        <v>0.0</v>
      </c>
      <c r="BB243" s="93">
        <v>0.0</v>
      </c>
      <c r="BC243" s="94">
        <f>SUM(BC215,'ГОЧ'!$AY243)</f>
        <v>1204.9</v>
      </c>
      <c r="BD243" s="94">
        <f>SUM(BD215,'ГОЧ'!$AZ243)</f>
        <v>1205</v>
      </c>
      <c r="BE243" s="108"/>
      <c r="BF243" s="108"/>
    </row>
    <row r="244" ht="15.75" customHeight="1">
      <c r="A244" s="67">
        <f t="shared" si="1367"/>
        <v>46262</v>
      </c>
      <c r="B244" s="195" t="s">
        <v>38</v>
      </c>
      <c r="C244" s="157">
        <f t="shared" si="1368"/>
        <v>2</v>
      </c>
      <c r="D244" s="97">
        <f t="shared" ref="D244:L244" si="1471">RANDBETWEEN(0,2)</f>
        <v>2</v>
      </c>
      <c r="E244" s="97">
        <f t="shared" si="1471"/>
        <v>0</v>
      </c>
      <c r="F244" s="97">
        <f t="shared" si="1471"/>
        <v>0</v>
      </c>
      <c r="G244" s="97">
        <f t="shared" si="1471"/>
        <v>0</v>
      </c>
      <c r="H244" s="98">
        <f t="shared" si="1471"/>
        <v>2</v>
      </c>
      <c r="I244" s="99">
        <f t="shared" si="1471"/>
        <v>1</v>
      </c>
      <c r="J244" s="100">
        <f t="shared" si="1471"/>
        <v>1</v>
      </c>
      <c r="K244" s="101">
        <f t="shared" si="1471"/>
        <v>1</v>
      </c>
      <c r="L244" s="101">
        <f t="shared" si="1471"/>
        <v>2</v>
      </c>
      <c r="M244" s="140">
        <f t="shared" si="1370"/>
        <v>41</v>
      </c>
      <c r="N244" s="97">
        <f t="shared" ref="N244:T244" si="1472">RANDBETWEEN(0,10)</f>
        <v>2</v>
      </c>
      <c r="O244" s="97">
        <f t="shared" si="1472"/>
        <v>9</v>
      </c>
      <c r="P244" s="97">
        <f t="shared" si="1472"/>
        <v>4</v>
      </c>
      <c r="Q244" s="97">
        <f t="shared" si="1472"/>
        <v>10</v>
      </c>
      <c r="R244" s="97">
        <f t="shared" si="1472"/>
        <v>5</v>
      </c>
      <c r="S244" s="97">
        <f t="shared" si="1472"/>
        <v>6</v>
      </c>
      <c r="T244" s="97">
        <f t="shared" si="1472"/>
        <v>5</v>
      </c>
      <c r="U244" s="103">
        <f t="shared" si="1454"/>
        <v>18</v>
      </c>
      <c r="V244" s="158">
        <f t="shared" si="1407"/>
        <v>4</v>
      </c>
      <c r="W244" s="97">
        <f t="shared" ref="W244:Y244" si="1473">RANDBETWEEN(0,2)</f>
        <v>2</v>
      </c>
      <c r="X244" s="97">
        <f t="shared" si="1473"/>
        <v>1</v>
      </c>
      <c r="Y244" s="97">
        <f t="shared" si="1473"/>
        <v>1</v>
      </c>
      <c r="Z244" s="105">
        <f t="shared" si="1416"/>
        <v>3</v>
      </c>
      <c r="AA244" s="106">
        <f t="shared" ref="AA244:AF244" si="1474">RANDBETWEEN(0,2)</f>
        <v>2</v>
      </c>
      <c r="AB244" s="106">
        <f t="shared" si="1474"/>
        <v>1</v>
      </c>
      <c r="AC244" s="107">
        <f t="shared" si="1474"/>
        <v>1</v>
      </c>
      <c r="AD244" s="108">
        <f t="shared" si="1474"/>
        <v>1</v>
      </c>
      <c r="AE244" s="108">
        <f t="shared" si="1474"/>
        <v>0</v>
      </c>
      <c r="AF244" s="108">
        <f t="shared" si="1474"/>
        <v>0</v>
      </c>
      <c r="AG244" s="86">
        <f t="shared" si="1377"/>
        <v>2</v>
      </c>
      <c r="AH244" s="107">
        <f t="shared" ref="AH244:AJ244" si="1475">RANDBETWEEN(1,10)</f>
        <v>4</v>
      </c>
      <c r="AI244" s="108">
        <f t="shared" si="1475"/>
        <v>8</v>
      </c>
      <c r="AJ244" s="108">
        <f t="shared" si="1475"/>
        <v>7</v>
      </c>
      <c r="AK244" s="192">
        <f t="shared" si="1379"/>
        <v>19</v>
      </c>
      <c r="AL244" s="107"/>
      <c r="AM244" s="108"/>
      <c r="AN244" s="108"/>
      <c r="AO244" s="108"/>
      <c r="AP244" s="89"/>
      <c r="AQ244" s="107"/>
      <c r="AR244" s="108"/>
      <c r="AS244" s="108"/>
      <c r="AT244" s="193"/>
      <c r="AU244" s="107"/>
      <c r="AV244" s="108"/>
      <c r="AW244" s="108"/>
      <c r="AX244" s="194"/>
      <c r="AY244" s="92">
        <f t="shared" ref="AY244:AZ244" si="1476">RANDBETWEEN(1,10)/10</f>
        <v>0.6</v>
      </c>
      <c r="AZ244" s="92">
        <f t="shared" si="1476"/>
        <v>0.6</v>
      </c>
      <c r="BA244" s="93">
        <v>0.0</v>
      </c>
      <c r="BB244" s="93">
        <v>0.0</v>
      </c>
      <c r="BC244" s="94">
        <f>SUM(BC216,'ГОЧ'!$AY244)</f>
        <v>1203.2</v>
      </c>
      <c r="BD244" s="94">
        <f>SUM(BD216,'ГОЧ'!$AZ244)</f>
        <v>1204</v>
      </c>
      <c r="BE244" s="108"/>
      <c r="BF244" s="108"/>
    </row>
    <row r="245" ht="15.75" customHeight="1">
      <c r="A245" s="67">
        <f t="shared" si="1367"/>
        <v>46262</v>
      </c>
      <c r="B245" s="138" t="s">
        <v>41</v>
      </c>
      <c r="C245" s="157">
        <f t="shared" si="1368"/>
        <v>4</v>
      </c>
      <c r="D245" s="97">
        <f t="shared" ref="D245:L245" si="1477">RANDBETWEEN(0,2)</f>
        <v>2</v>
      </c>
      <c r="E245" s="97">
        <f t="shared" si="1477"/>
        <v>0</v>
      </c>
      <c r="F245" s="97">
        <f t="shared" si="1477"/>
        <v>2</v>
      </c>
      <c r="G245" s="97">
        <f t="shared" si="1477"/>
        <v>0</v>
      </c>
      <c r="H245" s="98">
        <f t="shared" si="1477"/>
        <v>0</v>
      </c>
      <c r="I245" s="99">
        <f t="shared" si="1477"/>
        <v>0</v>
      </c>
      <c r="J245" s="100">
        <f t="shared" si="1477"/>
        <v>0</v>
      </c>
      <c r="K245" s="101">
        <f t="shared" si="1477"/>
        <v>0</v>
      </c>
      <c r="L245" s="101">
        <f t="shared" si="1477"/>
        <v>0</v>
      </c>
      <c r="M245" s="140">
        <f t="shared" si="1370"/>
        <v>26</v>
      </c>
      <c r="N245" s="97">
        <f t="shared" ref="N245:T245" si="1478">RANDBETWEEN(0,10)</f>
        <v>6</v>
      </c>
      <c r="O245" s="97">
        <f t="shared" si="1478"/>
        <v>0</v>
      </c>
      <c r="P245" s="97">
        <f t="shared" si="1478"/>
        <v>2</v>
      </c>
      <c r="Q245" s="97">
        <f t="shared" si="1478"/>
        <v>5</v>
      </c>
      <c r="R245" s="97">
        <f t="shared" si="1478"/>
        <v>0</v>
      </c>
      <c r="S245" s="97">
        <f t="shared" si="1478"/>
        <v>7</v>
      </c>
      <c r="T245" s="97">
        <f t="shared" si="1478"/>
        <v>6</v>
      </c>
      <c r="U245" s="103">
        <f t="shared" si="1454"/>
        <v>13</v>
      </c>
      <c r="V245" s="158">
        <f t="shared" si="1407"/>
        <v>3</v>
      </c>
      <c r="W245" s="97">
        <f t="shared" ref="W245:Y245" si="1479">RANDBETWEEN(0,2)</f>
        <v>2</v>
      </c>
      <c r="X245" s="97">
        <f t="shared" si="1479"/>
        <v>1</v>
      </c>
      <c r="Y245" s="97">
        <f t="shared" si="1479"/>
        <v>0</v>
      </c>
      <c r="Z245" s="105">
        <f t="shared" si="1416"/>
        <v>3</v>
      </c>
      <c r="AA245" s="143">
        <f t="shared" ref="AA245:AF245" si="1480">RANDBETWEEN(0,2)</f>
        <v>1</v>
      </c>
      <c r="AB245" s="143">
        <f t="shared" si="1480"/>
        <v>2</v>
      </c>
      <c r="AC245" s="144">
        <f t="shared" si="1480"/>
        <v>2</v>
      </c>
      <c r="AD245" s="145">
        <f t="shared" si="1480"/>
        <v>2</v>
      </c>
      <c r="AE245" s="145">
        <f t="shared" si="1480"/>
        <v>2</v>
      </c>
      <c r="AF245" s="145">
        <f t="shared" si="1480"/>
        <v>0</v>
      </c>
      <c r="AG245" s="86">
        <f t="shared" si="1377"/>
        <v>6</v>
      </c>
      <c r="AH245" s="144">
        <f t="shared" ref="AH245:AJ245" si="1481">RANDBETWEEN(1,10)</f>
        <v>10</v>
      </c>
      <c r="AI245" s="145">
        <f t="shared" si="1481"/>
        <v>1</v>
      </c>
      <c r="AJ245" s="145">
        <f t="shared" si="1481"/>
        <v>9</v>
      </c>
      <c r="AK245" s="192">
        <f t="shared" si="1379"/>
        <v>20</v>
      </c>
      <c r="AL245" s="144"/>
      <c r="AM245" s="145"/>
      <c r="AN245" s="145"/>
      <c r="AO245" s="145"/>
      <c r="AP245" s="89"/>
      <c r="AQ245" s="144"/>
      <c r="AR245" s="145"/>
      <c r="AS245" s="145"/>
      <c r="AT245" s="193"/>
      <c r="AU245" s="144"/>
      <c r="AV245" s="145"/>
      <c r="AW245" s="145"/>
      <c r="AX245" s="194"/>
      <c r="AY245" s="92">
        <f t="shared" ref="AY245:AZ245" si="1482">RANDBETWEEN(1,10)/10</f>
        <v>0.5</v>
      </c>
      <c r="AZ245" s="92">
        <f t="shared" si="1482"/>
        <v>0.3</v>
      </c>
      <c r="BA245" s="93">
        <v>0.0</v>
      </c>
      <c r="BB245" s="93">
        <v>0.0</v>
      </c>
      <c r="BC245" s="94">
        <f>SUM(BC217,'ГОЧ'!$AY245)</f>
        <v>1204.5</v>
      </c>
      <c r="BD245" s="94">
        <f>SUM(BD217,'ГОЧ'!$AZ245)</f>
        <v>1205.1</v>
      </c>
      <c r="BE245" s="108"/>
      <c r="BF245" s="108"/>
    </row>
    <row r="246" ht="15.75" customHeight="1">
      <c r="A246" s="67">
        <f t="shared" si="1367"/>
        <v>46262</v>
      </c>
      <c r="B246" s="114" t="s">
        <v>45</v>
      </c>
      <c r="C246" s="164">
        <f t="shared" si="1368"/>
        <v>10</v>
      </c>
      <c r="D246" s="164">
        <f t="shared" ref="D246:U246" si="1483">SUM(D240:D245)</f>
        <v>6</v>
      </c>
      <c r="E246" s="165">
        <f t="shared" si="1483"/>
        <v>2</v>
      </c>
      <c r="F246" s="165">
        <f t="shared" si="1483"/>
        <v>4</v>
      </c>
      <c r="G246" s="165">
        <f t="shared" si="1483"/>
        <v>4</v>
      </c>
      <c r="H246" s="165">
        <f t="shared" si="1483"/>
        <v>5</v>
      </c>
      <c r="I246" s="165">
        <f t="shared" si="1483"/>
        <v>9</v>
      </c>
      <c r="J246" s="165">
        <f t="shared" si="1483"/>
        <v>5</v>
      </c>
      <c r="K246" s="165">
        <f t="shared" si="1483"/>
        <v>8</v>
      </c>
      <c r="L246" s="165">
        <f t="shared" si="1483"/>
        <v>4</v>
      </c>
      <c r="M246" s="164">
        <f t="shared" si="1483"/>
        <v>228</v>
      </c>
      <c r="N246" s="164">
        <f t="shared" si="1483"/>
        <v>28</v>
      </c>
      <c r="O246" s="165">
        <f t="shared" si="1483"/>
        <v>30</v>
      </c>
      <c r="P246" s="165">
        <f t="shared" si="1483"/>
        <v>29</v>
      </c>
      <c r="Q246" s="165">
        <f t="shared" si="1483"/>
        <v>42</v>
      </c>
      <c r="R246" s="165">
        <f t="shared" si="1483"/>
        <v>27</v>
      </c>
      <c r="S246" s="165">
        <f t="shared" si="1483"/>
        <v>30</v>
      </c>
      <c r="T246" s="165">
        <f t="shared" si="1483"/>
        <v>42</v>
      </c>
      <c r="U246" s="164">
        <f t="shared" si="1483"/>
        <v>123</v>
      </c>
      <c r="V246" s="164">
        <f t="shared" si="1407"/>
        <v>17</v>
      </c>
      <c r="W246" s="165">
        <f t="shared" ref="W246:Y246" si="1484">SUM(W240:W245)</f>
        <v>8</v>
      </c>
      <c r="X246" s="165">
        <f t="shared" si="1484"/>
        <v>4</v>
      </c>
      <c r="Y246" s="165">
        <f t="shared" si="1484"/>
        <v>5</v>
      </c>
      <c r="Z246" s="165">
        <f t="shared" si="1416"/>
        <v>11</v>
      </c>
      <c r="AA246" s="165">
        <f t="shared" ref="AA246:AF246" si="1485">SUM(AA240:AA245)</f>
        <v>3</v>
      </c>
      <c r="AB246" s="165">
        <f t="shared" si="1485"/>
        <v>8</v>
      </c>
      <c r="AC246" s="166">
        <f t="shared" si="1485"/>
        <v>7</v>
      </c>
      <c r="AD246" s="166">
        <f t="shared" si="1485"/>
        <v>10</v>
      </c>
      <c r="AE246" s="166">
        <f t="shared" si="1485"/>
        <v>7</v>
      </c>
      <c r="AF246" s="166">
        <f t="shared" si="1485"/>
        <v>6</v>
      </c>
      <c r="AG246" s="168">
        <f t="shared" si="1377"/>
        <v>30</v>
      </c>
      <c r="AH246" s="166">
        <f t="shared" ref="AH246:AJ246" si="1486">SUM(AH240:AH245)</f>
        <v>28</v>
      </c>
      <c r="AI246" s="167">
        <f t="shared" si="1486"/>
        <v>30</v>
      </c>
      <c r="AJ246" s="167">
        <f t="shared" si="1486"/>
        <v>39</v>
      </c>
      <c r="AK246" s="168">
        <f t="shared" si="1379"/>
        <v>97</v>
      </c>
      <c r="AL246" s="166"/>
      <c r="AM246" s="166"/>
      <c r="AN246" s="166"/>
      <c r="AO246" s="166"/>
      <c r="AP246" s="169"/>
      <c r="AQ246" s="166"/>
      <c r="AR246" s="167"/>
      <c r="AS246" s="167"/>
      <c r="AT246" s="170"/>
      <c r="AU246" s="166"/>
      <c r="AV246" s="167"/>
      <c r="AW246" s="167"/>
      <c r="AX246" s="171"/>
      <c r="AY246" s="196">
        <f t="shared" ref="AY246:BD246" si="1487">SUM(AY240:AY245)</f>
        <v>3.4</v>
      </c>
      <c r="AZ246" s="196">
        <f t="shared" si="1487"/>
        <v>2.3</v>
      </c>
      <c r="BA246" s="167">
        <f t="shared" si="1487"/>
        <v>0</v>
      </c>
      <c r="BB246" s="167">
        <f t="shared" si="1487"/>
        <v>0</v>
      </c>
      <c r="BC246" s="197">
        <f t="shared" si="1487"/>
        <v>7226.8</v>
      </c>
      <c r="BD246" s="197">
        <f t="shared" si="1487"/>
        <v>7227.9</v>
      </c>
      <c r="BE246" s="154" t="str">
        <f t="shared" ref="BE246:BF246" si="1488">TEXTJOIN(", ",TRUE,BE240:BE245)</f>
        <v/>
      </c>
      <c r="BF246" s="154" t="str">
        <f t="shared" si="1488"/>
        <v/>
      </c>
    </row>
    <row r="247" ht="15.75" customHeight="1">
      <c r="A247" s="67">
        <f t="shared" si="1367"/>
        <v>46262</v>
      </c>
      <c r="B247" s="124" t="s">
        <v>49</v>
      </c>
      <c r="C247" s="174">
        <f t="shared" si="1368"/>
        <v>2</v>
      </c>
      <c r="D247" s="175">
        <f t="shared" ref="D247:L247" si="1489">RANDBETWEEN(0,2)</f>
        <v>2</v>
      </c>
      <c r="E247" s="175">
        <f t="shared" si="1489"/>
        <v>1</v>
      </c>
      <c r="F247" s="175">
        <f t="shared" si="1489"/>
        <v>0</v>
      </c>
      <c r="G247" s="175">
        <f t="shared" si="1489"/>
        <v>2</v>
      </c>
      <c r="H247" s="176">
        <f t="shared" si="1489"/>
        <v>2</v>
      </c>
      <c r="I247" s="177">
        <f t="shared" si="1489"/>
        <v>2</v>
      </c>
      <c r="J247" s="178">
        <f t="shared" si="1489"/>
        <v>2</v>
      </c>
      <c r="K247" s="179">
        <f t="shared" si="1489"/>
        <v>1</v>
      </c>
      <c r="L247" s="179">
        <f t="shared" si="1489"/>
        <v>1</v>
      </c>
      <c r="M247" s="180">
        <f t="shared" ref="M247:M252" si="1496">SUM(N247:T247)</f>
        <v>25</v>
      </c>
      <c r="N247" s="175">
        <f t="shared" ref="N247:T247" si="1490">RANDBETWEEN(0,10)</f>
        <v>3</v>
      </c>
      <c r="O247" s="175">
        <f t="shared" si="1490"/>
        <v>2</v>
      </c>
      <c r="P247" s="175">
        <f t="shared" si="1490"/>
        <v>5</v>
      </c>
      <c r="Q247" s="175">
        <f t="shared" si="1490"/>
        <v>2</v>
      </c>
      <c r="R247" s="175">
        <f t="shared" si="1490"/>
        <v>4</v>
      </c>
      <c r="S247" s="175">
        <f t="shared" si="1490"/>
        <v>9</v>
      </c>
      <c r="T247" s="175">
        <f t="shared" si="1490"/>
        <v>0</v>
      </c>
      <c r="U247" s="181">
        <f t="shared" ref="U247:U251" si="1498">RANDBETWEEN(10,30)</f>
        <v>18</v>
      </c>
      <c r="V247" s="182">
        <f t="shared" si="1407"/>
        <v>1</v>
      </c>
      <c r="W247" s="175">
        <f t="shared" ref="W247:Y247" si="1491">RANDBETWEEN(0,2)</f>
        <v>0</v>
      </c>
      <c r="X247" s="175">
        <f t="shared" si="1491"/>
        <v>1</v>
      </c>
      <c r="Y247" s="175">
        <f t="shared" si="1491"/>
        <v>0</v>
      </c>
      <c r="Z247" s="183">
        <f t="shared" si="1416"/>
        <v>3</v>
      </c>
      <c r="AA247" s="198">
        <f t="shared" ref="AA247:AF247" si="1492">RANDBETWEEN(0,2)</f>
        <v>1</v>
      </c>
      <c r="AB247" s="198">
        <f t="shared" si="1492"/>
        <v>2</v>
      </c>
      <c r="AC247" s="199">
        <f t="shared" si="1492"/>
        <v>2</v>
      </c>
      <c r="AD247" s="200">
        <f t="shared" si="1492"/>
        <v>2</v>
      </c>
      <c r="AE247" s="200">
        <f t="shared" si="1492"/>
        <v>0</v>
      </c>
      <c r="AF247" s="200">
        <f t="shared" si="1492"/>
        <v>0</v>
      </c>
      <c r="AG247" s="187">
        <f t="shared" si="1377"/>
        <v>4</v>
      </c>
      <c r="AH247" s="199">
        <f t="shared" ref="AH247:AJ247" si="1493">RANDBETWEEN(1,10)</f>
        <v>8</v>
      </c>
      <c r="AI247" s="200">
        <f t="shared" si="1493"/>
        <v>10</v>
      </c>
      <c r="AJ247" s="200">
        <f t="shared" si="1493"/>
        <v>5</v>
      </c>
      <c r="AK247" s="188">
        <f t="shared" si="1379"/>
        <v>23</v>
      </c>
      <c r="AL247" s="199"/>
      <c r="AM247" s="200"/>
      <c r="AN247" s="200"/>
      <c r="AO247" s="200"/>
      <c r="AP247" s="189"/>
      <c r="AQ247" s="199"/>
      <c r="AR247" s="200"/>
      <c r="AS247" s="200"/>
      <c r="AT247" s="190"/>
      <c r="AU247" s="199"/>
      <c r="AV247" s="200"/>
      <c r="AW247" s="200"/>
      <c r="AX247" s="191"/>
      <c r="AY247" s="92">
        <f t="shared" ref="AY247:AZ247" si="1494">RANDBETWEEN(1,10)/10</f>
        <v>0.9</v>
      </c>
      <c r="AZ247" s="92">
        <f t="shared" si="1494"/>
        <v>1</v>
      </c>
      <c r="BA247" s="93">
        <v>0.0</v>
      </c>
      <c r="BB247" s="93">
        <v>0.0</v>
      </c>
      <c r="BC247" s="94">
        <f>SUM(BC219,'ГОЧ'!$AY247)</f>
        <v>1204.5</v>
      </c>
      <c r="BD247" s="94">
        <f>SUM(BD219,'ГОЧ'!$AZ247)</f>
        <v>1204.1</v>
      </c>
      <c r="BE247" s="186"/>
      <c r="BF247" s="186"/>
    </row>
    <row r="248" ht="15.75" customHeight="1">
      <c r="A248" s="67">
        <f t="shared" si="1367"/>
        <v>46262</v>
      </c>
      <c r="B248" s="195" t="s">
        <v>53</v>
      </c>
      <c r="C248" s="157">
        <f t="shared" si="1368"/>
        <v>2</v>
      </c>
      <c r="D248" s="97">
        <f t="shared" ref="D248:L248" si="1495">RANDBETWEEN(0,2)</f>
        <v>0</v>
      </c>
      <c r="E248" s="97">
        <f t="shared" si="1495"/>
        <v>0</v>
      </c>
      <c r="F248" s="97">
        <f t="shared" si="1495"/>
        <v>2</v>
      </c>
      <c r="G248" s="97">
        <f t="shared" si="1495"/>
        <v>1</v>
      </c>
      <c r="H248" s="98">
        <f t="shared" si="1495"/>
        <v>0</v>
      </c>
      <c r="I248" s="99">
        <f t="shared" si="1495"/>
        <v>1</v>
      </c>
      <c r="J248" s="100">
        <f t="shared" si="1495"/>
        <v>2</v>
      </c>
      <c r="K248" s="101">
        <f t="shared" si="1495"/>
        <v>1</v>
      </c>
      <c r="L248" s="101">
        <f t="shared" si="1495"/>
        <v>0</v>
      </c>
      <c r="M248" s="140">
        <f t="shared" si="1496"/>
        <v>23</v>
      </c>
      <c r="N248" s="97">
        <f t="shared" ref="N248:T248" si="1497">RANDBETWEEN(0,10)</f>
        <v>7</v>
      </c>
      <c r="O248" s="97">
        <f t="shared" si="1497"/>
        <v>0</v>
      </c>
      <c r="P248" s="97">
        <f t="shared" si="1497"/>
        <v>10</v>
      </c>
      <c r="Q248" s="97">
        <f t="shared" si="1497"/>
        <v>5</v>
      </c>
      <c r="R248" s="97">
        <f t="shared" si="1497"/>
        <v>0</v>
      </c>
      <c r="S248" s="97">
        <f t="shared" si="1497"/>
        <v>0</v>
      </c>
      <c r="T248" s="97">
        <f t="shared" si="1497"/>
        <v>1</v>
      </c>
      <c r="U248" s="103">
        <f t="shared" si="1498"/>
        <v>17</v>
      </c>
      <c r="V248" s="158">
        <f t="shared" si="1407"/>
        <v>3</v>
      </c>
      <c r="W248" s="97">
        <f t="shared" ref="W248:Y248" si="1499">RANDBETWEEN(0,2)</f>
        <v>2</v>
      </c>
      <c r="X248" s="97">
        <f t="shared" si="1499"/>
        <v>0</v>
      </c>
      <c r="Y248" s="97">
        <f t="shared" si="1499"/>
        <v>1</v>
      </c>
      <c r="Z248" s="105">
        <f t="shared" si="1416"/>
        <v>3</v>
      </c>
      <c r="AA248" s="106">
        <f t="shared" ref="AA248:AF248" si="1500">RANDBETWEEN(0,2)</f>
        <v>1</v>
      </c>
      <c r="AB248" s="106">
        <f t="shared" si="1500"/>
        <v>2</v>
      </c>
      <c r="AC248" s="107">
        <f t="shared" si="1500"/>
        <v>0</v>
      </c>
      <c r="AD248" s="108">
        <f t="shared" si="1500"/>
        <v>2</v>
      </c>
      <c r="AE248" s="108">
        <f t="shared" si="1500"/>
        <v>2</v>
      </c>
      <c r="AF248" s="108">
        <f t="shared" si="1500"/>
        <v>2</v>
      </c>
      <c r="AG248" s="86">
        <f t="shared" si="1377"/>
        <v>6</v>
      </c>
      <c r="AH248" s="107">
        <f t="shared" ref="AH248:AJ248" si="1501">RANDBETWEEN(1,10)</f>
        <v>2</v>
      </c>
      <c r="AI248" s="108">
        <f t="shared" si="1501"/>
        <v>7</v>
      </c>
      <c r="AJ248" s="108">
        <f t="shared" si="1501"/>
        <v>6</v>
      </c>
      <c r="AK248" s="192">
        <f t="shared" si="1379"/>
        <v>15</v>
      </c>
      <c r="AL248" s="107"/>
      <c r="AM248" s="108"/>
      <c r="AN248" s="108"/>
      <c r="AO248" s="108"/>
      <c r="AP248" s="89"/>
      <c r="AQ248" s="107"/>
      <c r="AR248" s="108"/>
      <c r="AS248" s="108"/>
      <c r="AT248" s="193"/>
      <c r="AU248" s="107"/>
      <c r="AV248" s="108"/>
      <c r="AW248" s="108"/>
      <c r="AX248" s="194"/>
      <c r="AY248" s="92">
        <f t="shared" ref="AY248:AZ248" si="1502">RANDBETWEEN(1,10)/10</f>
        <v>0.9</v>
      </c>
      <c r="AZ248" s="92">
        <f t="shared" si="1502"/>
        <v>0.9</v>
      </c>
      <c r="BA248" s="93">
        <v>0.0</v>
      </c>
      <c r="BB248" s="93">
        <v>0.0</v>
      </c>
      <c r="BC248" s="94">
        <f>SUM(BC220,'ГОЧ'!$AY248)</f>
        <v>1204.4</v>
      </c>
      <c r="BD248" s="94">
        <f>SUM(BD220,'ГОЧ'!$AZ248)</f>
        <v>1204.2</v>
      </c>
      <c r="BE248" s="108"/>
      <c r="BF248" s="108"/>
    </row>
    <row r="249" ht="15.75" customHeight="1">
      <c r="A249" s="67">
        <f t="shared" si="1367"/>
        <v>46262</v>
      </c>
      <c r="B249" s="138" t="s">
        <v>57</v>
      </c>
      <c r="C249" s="157">
        <f t="shared" si="1368"/>
        <v>0</v>
      </c>
      <c r="D249" s="97">
        <f t="shared" ref="D249:L249" si="1503">RANDBETWEEN(0,2)</f>
        <v>0</v>
      </c>
      <c r="E249" s="97">
        <f t="shared" si="1503"/>
        <v>0</v>
      </c>
      <c r="F249" s="97">
        <f t="shared" si="1503"/>
        <v>0</v>
      </c>
      <c r="G249" s="97">
        <f t="shared" si="1503"/>
        <v>0</v>
      </c>
      <c r="H249" s="98">
        <f t="shared" si="1503"/>
        <v>1</v>
      </c>
      <c r="I249" s="99">
        <f t="shared" si="1503"/>
        <v>2</v>
      </c>
      <c r="J249" s="100">
        <f t="shared" si="1503"/>
        <v>1</v>
      </c>
      <c r="K249" s="101">
        <f t="shared" si="1503"/>
        <v>1</v>
      </c>
      <c r="L249" s="101">
        <f t="shared" si="1503"/>
        <v>2</v>
      </c>
      <c r="M249" s="140">
        <f t="shared" si="1496"/>
        <v>40</v>
      </c>
      <c r="N249" s="97">
        <f t="shared" ref="N249:T249" si="1504">RANDBETWEEN(0,10)</f>
        <v>8</v>
      </c>
      <c r="O249" s="97">
        <f t="shared" si="1504"/>
        <v>2</v>
      </c>
      <c r="P249" s="97">
        <f t="shared" si="1504"/>
        <v>7</v>
      </c>
      <c r="Q249" s="97">
        <f t="shared" si="1504"/>
        <v>3</v>
      </c>
      <c r="R249" s="97">
        <f t="shared" si="1504"/>
        <v>9</v>
      </c>
      <c r="S249" s="97">
        <f t="shared" si="1504"/>
        <v>10</v>
      </c>
      <c r="T249" s="97">
        <f t="shared" si="1504"/>
        <v>1</v>
      </c>
      <c r="U249" s="103">
        <f t="shared" si="1498"/>
        <v>27</v>
      </c>
      <c r="V249" s="158">
        <f t="shared" si="1407"/>
        <v>4</v>
      </c>
      <c r="W249" s="97">
        <f t="shared" ref="W249:Y249" si="1505">RANDBETWEEN(0,2)</f>
        <v>2</v>
      </c>
      <c r="X249" s="97">
        <f t="shared" si="1505"/>
        <v>0</v>
      </c>
      <c r="Y249" s="97">
        <f t="shared" si="1505"/>
        <v>2</v>
      </c>
      <c r="Z249" s="105">
        <f t="shared" si="1416"/>
        <v>2</v>
      </c>
      <c r="AA249" s="143">
        <f t="shared" ref="AA249:AF249" si="1506">RANDBETWEEN(0,2)</f>
        <v>2</v>
      </c>
      <c r="AB249" s="143">
        <f t="shared" si="1506"/>
        <v>0</v>
      </c>
      <c r="AC249" s="144">
        <f t="shared" si="1506"/>
        <v>1</v>
      </c>
      <c r="AD249" s="145">
        <f t="shared" si="1506"/>
        <v>0</v>
      </c>
      <c r="AE249" s="145">
        <f t="shared" si="1506"/>
        <v>1</v>
      </c>
      <c r="AF249" s="145">
        <f t="shared" si="1506"/>
        <v>0</v>
      </c>
      <c r="AG249" s="86">
        <f t="shared" si="1377"/>
        <v>2</v>
      </c>
      <c r="AH249" s="144">
        <f t="shared" ref="AH249:AJ249" si="1507">RANDBETWEEN(1,10)</f>
        <v>3</v>
      </c>
      <c r="AI249" s="145">
        <f t="shared" si="1507"/>
        <v>6</v>
      </c>
      <c r="AJ249" s="145">
        <f t="shared" si="1507"/>
        <v>4</v>
      </c>
      <c r="AK249" s="192">
        <f t="shared" si="1379"/>
        <v>13</v>
      </c>
      <c r="AL249" s="144"/>
      <c r="AM249" s="145"/>
      <c r="AN249" s="145"/>
      <c r="AO249" s="145"/>
      <c r="AP249" s="89"/>
      <c r="AQ249" s="144"/>
      <c r="AR249" s="145"/>
      <c r="AS249" s="145"/>
      <c r="AT249" s="193"/>
      <c r="AU249" s="144"/>
      <c r="AV249" s="145"/>
      <c r="AW249" s="145"/>
      <c r="AX249" s="194"/>
      <c r="AY249" s="92">
        <f t="shared" ref="AY249:AZ249" si="1508">RANDBETWEEN(1,10)/10</f>
        <v>0.1</v>
      </c>
      <c r="AZ249" s="92">
        <f t="shared" si="1508"/>
        <v>0.3</v>
      </c>
      <c r="BA249" s="93">
        <v>0.0</v>
      </c>
      <c r="BB249" s="93">
        <v>0.0</v>
      </c>
      <c r="BC249" s="94">
        <f>SUM(BC221,'ГОЧ'!$AY249)</f>
        <v>1204</v>
      </c>
      <c r="BD249" s="94">
        <f>SUM(BD221,'ГОЧ'!$AZ249)</f>
        <v>1205</v>
      </c>
      <c r="BE249" s="108"/>
      <c r="BF249" s="108"/>
    </row>
    <row r="250" ht="15.75" customHeight="1">
      <c r="A250" s="67">
        <f t="shared" si="1367"/>
        <v>46262</v>
      </c>
      <c r="B250" s="138" t="s">
        <v>60</v>
      </c>
      <c r="C250" s="157">
        <f t="shared" si="1368"/>
        <v>2</v>
      </c>
      <c r="D250" s="97">
        <f t="shared" ref="D250:L250" si="1509">RANDBETWEEN(0,2)</f>
        <v>0</v>
      </c>
      <c r="E250" s="97">
        <f t="shared" si="1509"/>
        <v>1</v>
      </c>
      <c r="F250" s="97">
        <f t="shared" si="1509"/>
        <v>2</v>
      </c>
      <c r="G250" s="97">
        <f t="shared" si="1509"/>
        <v>1</v>
      </c>
      <c r="H250" s="98">
        <f t="shared" si="1509"/>
        <v>2</v>
      </c>
      <c r="I250" s="99">
        <f t="shared" si="1509"/>
        <v>2</v>
      </c>
      <c r="J250" s="100">
        <f t="shared" si="1509"/>
        <v>2</v>
      </c>
      <c r="K250" s="101">
        <f t="shared" si="1509"/>
        <v>0</v>
      </c>
      <c r="L250" s="101">
        <f t="shared" si="1509"/>
        <v>0</v>
      </c>
      <c r="M250" s="140">
        <f t="shared" si="1496"/>
        <v>24</v>
      </c>
      <c r="N250" s="97">
        <f t="shared" ref="N250:T250" si="1510">RANDBETWEEN(0,10)</f>
        <v>3</v>
      </c>
      <c r="O250" s="97">
        <f t="shared" si="1510"/>
        <v>0</v>
      </c>
      <c r="P250" s="97">
        <f t="shared" si="1510"/>
        <v>2</v>
      </c>
      <c r="Q250" s="97">
        <f t="shared" si="1510"/>
        <v>2</v>
      </c>
      <c r="R250" s="97">
        <f t="shared" si="1510"/>
        <v>5</v>
      </c>
      <c r="S250" s="97">
        <f t="shared" si="1510"/>
        <v>10</v>
      </c>
      <c r="T250" s="97">
        <f t="shared" si="1510"/>
        <v>2</v>
      </c>
      <c r="U250" s="103">
        <f t="shared" si="1498"/>
        <v>10</v>
      </c>
      <c r="V250" s="158">
        <f t="shared" si="1407"/>
        <v>2</v>
      </c>
      <c r="W250" s="97">
        <f t="shared" ref="W250:Y250" si="1511">RANDBETWEEN(0,2)</f>
        <v>1</v>
      </c>
      <c r="X250" s="97">
        <f t="shared" si="1511"/>
        <v>1</v>
      </c>
      <c r="Y250" s="97">
        <f t="shared" si="1511"/>
        <v>0</v>
      </c>
      <c r="Z250" s="105">
        <f t="shared" si="1416"/>
        <v>3</v>
      </c>
      <c r="AA250" s="106">
        <f t="shared" ref="AA250:AF250" si="1512">RANDBETWEEN(0,2)</f>
        <v>2</v>
      </c>
      <c r="AB250" s="106">
        <f t="shared" si="1512"/>
        <v>1</v>
      </c>
      <c r="AC250" s="107">
        <f t="shared" si="1512"/>
        <v>1</v>
      </c>
      <c r="AD250" s="108">
        <f t="shared" si="1512"/>
        <v>2</v>
      </c>
      <c r="AE250" s="108">
        <f t="shared" si="1512"/>
        <v>2</v>
      </c>
      <c r="AF250" s="108">
        <f t="shared" si="1512"/>
        <v>0</v>
      </c>
      <c r="AG250" s="86">
        <f t="shared" si="1377"/>
        <v>5</v>
      </c>
      <c r="AH250" s="107">
        <f t="shared" ref="AH250:AJ250" si="1513">RANDBETWEEN(1,10)</f>
        <v>9</v>
      </c>
      <c r="AI250" s="108">
        <f t="shared" si="1513"/>
        <v>3</v>
      </c>
      <c r="AJ250" s="108">
        <f t="shared" si="1513"/>
        <v>3</v>
      </c>
      <c r="AK250" s="192">
        <f t="shared" si="1379"/>
        <v>15</v>
      </c>
      <c r="AL250" s="107"/>
      <c r="AM250" s="108"/>
      <c r="AN250" s="108"/>
      <c r="AO250" s="108"/>
      <c r="AP250" s="89"/>
      <c r="AQ250" s="107"/>
      <c r="AR250" s="108"/>
      <c r="AS250" s="108"/>
      <c r="AT250" s="193"/>
      <c r="AU250" s="107"/>
      <c r="AV250" s="108"/>
      <c r="AW250" s="108"/>
      <c r="AX250" s="194"/>
      <c r="AY250" s="92">
        <f t="shared" ref="AY250:AZ250" si="1514">RANDBETWEEN(1,10)/10</f>
        <v>0.2</v>
      </c>
      <c r="AZ250" s="92">
        <f t="shared" si="1514"/>
        <v>0.3</v>
      </c>
      <c r="BA250" s="93">
        <v>0.0</v>
      </c>
      <c r="BB250" s="93">
        <v>0.0</v>
      </c>
      <c r="BC250" s="94">
        <f>SUM(BC222,'ГОЧ'!$AY250)</f>
        <v>1203.4</v>
      </c>
      <c r="BD250" s="94">
        <f>SUM(BD222,'ГОЧ'!$AZ250)</f>
        <v>1204</v>
      </c>
      <c r="BE250" s="108"/>
      <c r="BF250" s="108"/>
    </row>
    <row r="251" ht="15.75" customHeight="1">
      <c r="A251" s="67">
        <f t="shared" si="1367"/>
        <v>46262</v>
      </c>
      <c r="B251" s="195" t="s">
        <v>64</v>
      </c>
      <c r="C251" s="157">
        <f t="shared" si="1368"/>
        <v>1</v>
      </c>
      <c r="D251" s="97">
        <f t="shared" ref="D251:L251" si="1515">RANDBETWEEN(0,2)</f>
        <v>0</v>
      </c>
      <c r="E251" s="97">
        <f t="shared" si="1515"/>
        <v>2</v>
      </c>
      <c r="F251" s="97">
        <f t="shared" si="1515"/>
        <v>1</v>
      </c>
      <c r="G251" s="97">
        <f t="shared" si="1515"/>
        <v>2</v>
      </c>
      <c r="H251" s="98">
        <f t="shared" si="1515"/>
        <v>0</v>
      </c>
      <c r="I251" s="99">
        <f t="shared" si="1515"/>
        <v>1</v>
      </c>
      <c r="J251" s="100">
        <f t="shared" si="1515"/>
        <v>2</v>
      </c>
      <c r="K251" s="101">
        <f t="shared" si="1515"/>
        <v>2</v>
      </c>
      <c r="L251" s="101">
        <f t="shared" si="1515"/>
        <v>0</v>
      </c>
      <c r="M251" s="140">
        <f t="shared" si="1496"/>
        <v>23</v>
      </c>
      <c r="N251" s="97">
        <f t="shared" ref="N251:T251" si="1516">RANDBETWEEN(0,10)</f>
        <v>1</v>
      </c>
      <c r="O251" s="97">
        <f t="shared" si="1516"/>
        <v>0</v>
      </c>
      <c r="P251" s="97">
        <f t="shared" si="1516"/>
        <v>5</v>
      </c>
      <c r="Q251" s="97">
        <f t="shared" si="1516"/>
        <v>2</v>
      </c>
      <c r="R251" s="97">
        <f t="shared" si="1516"/>
        <v>6</v>
      </c>
      <c r="S251" s="97">
        <f t="shared" si="1516"/>
        <v>7</v>
      </c>
      <c r="T251" s="97">
        <f t="shared" si="1516"/>
        <v>2</v>
      </c>
      <c r="U251" s="103">
        <f t="shared" si="1498"/>
        <v>29</v>
      </c>
      <c r="V251" s="158">
        <f t="shared" si="1407"/>
        <v>1</v>
      </c>
      <c r="W251" s="97">
        <f t="shared" ref="W251:Y251" si="1517">RANDBETWEEN(0,2)</f>
        <v>1</v>
      </c>
      <c r="X251" s="97">
        <f t="shared" si="1517"/>
        <v>0</v>
      </c>
      <c r="Y251" s="97">
        <f t="shared" si="1517"/>
        <v>0</v>
      </c>
      <c r="Z251" s="105">
        <f t="shared" si="1416"/>
        <v>1</v>
      </c>
      <c r="AA251" s="143">
        <f t="shared" ref="AA251:AF251" si="1518">RANDBETWEEN(0,2)</f>
        <v>1</v>
      </c>
      <c r="AB251" s="143">
        <f t="shared" si="1518"/>
        <v>0</v>
      </c>
      <c r="AC251" s="144">
        <f t="shared" si="1518"/>
        <v>0</v>
      </c>
      <c r="AD251" s="145">
        <f t="shared" si="1518"/>
        <v>2</v>
      </c>
      <c r="AE251" s="145">
        <f t="shared" si="1518"/>
        <v>0</v>
      </c>
      <c r="AF251" s="145">
        <f t="shared" si="1518"/>
        <v>2</v>
      </c>
      <c r="AG251" s="86">
        <f t="shared" si="1377"/>
        <v>4</v>
      </c>
      <c r="AH251" s="144">
        <f t="shared" ref="AH251:AJ251" si="1519">RANDBETWEEN(1,10)</f>
        <v>4</v>
      </c>
      <c r="AI251" s="145">
        <f t="shared" si="1519"/>
        <v>8</v>
      </c>
      <c r="AJ251" s="145">
        <f t="shared" si="1519"/>
        <v>5</v>
      </c>
      <c r="AK251" s="192">
        <f t="shared" si="1379"/>
        <v>17</v>
      </c>
      <c r="AL251" s="144"/>
      <c r="AM251" s="145"/>
      <c r="AN251" s="145"/>
      <c r="AO251" s="145"/>
      <c r="AP251" s="89"/>
      <c r="AQ251" s="144"/>
      <c r="AR251" s="145"/>
      <c r="AS251" s="145"/>
      <c r="AT251" s="193"/>
      <c r="AU251" s="144"/>
      <c r="AV251" s="145"/>
      <c r="AW251" s="145"/>
      <c r="AX251" s="194"/>
      <c r="AY251" s="92">
        <f t="shared" ref="AY251:AZ251" si="1520">RANDBETWEEN(1,10)/10</f>
        <v>0.2</v>
      </c>
      <c r="AZ251" s="92">
        <f t="shared" si="1520"/>
        <v>0.5</v>
      </c>
      <c r="BA251" s="93">
        <v>0.0</v>
      </c>
      <c r="BB251" s="93">
        <v>0.0</v>
      </c>
      <c r="BC251" s="94">
        <f>SUM(BC223,'ГОЧ'!$AY251)</f>
        <v>1202.8</v>
      </c>
      <c r="BD251" s="94">
        <f>SUM(BD223,'ГОЧ'!$AZ251)</f>
        <v>1203.8</v>
      </c>
      <c r="BE251" s="108"/>
      <c r="BF251" s="108"/>
    </row>
    <row r="252" ht="15.75" customHeight="1">
      <c r="A252" s="67">
        <f t="shared" si="1367"/>
        <v>46262</v>
      </c>
      <c r="B252" s="201" t="s">
        <v>67</v>
      </c>
      <c r="C252" s="164">
        <f t="shared" si="1368"/>
        <v>7</v>
      </c>
      <c r="D252" s="164">
        <f t="shared" ref="D252:L252" si="1521">SUM(D247:D251)</f>
        <v>2</v>
      </c>
      <c r="E252" s="165">
        <f t="shared" si="1521"/>
        <v>4</v>
      </c>
      <c r="F252" s="165">
        <f t="shared" si="1521"/>
        <v>5</v>
      </c>
      <c r="G252" s="165">
        <f t="shared" si="1521"/>
        <v>6</v>
      </c>
      <c r="H252" s="165">
        <f t="shared" si="1521"/>
        <v>5</v>
      </c>
      <c r="I252" s="165">
        <f t="shared" si="1521"/>
        <v>8</v>
      </c>
      <c r="J252" s="165">
        <f t="shared" si="1521"/>
        <v>9</v>
      </c>
      <c r="K252" s="165">
        <f t="shared" si="1521"/>
        <v>5</v>
      </c>
      <c r="L252" s="165">
        <f t="shared" si="1521"/>
        <v>3</v>
      </c>
      <c r="M252" s="164">
        <f t="shared" si="1496"/>
        <v>135</v>
      </c>
      <c r="N252" s="164">
        <f t="shared" ref="N252:U252" si="1522">SUM(N247:N251)</f>
        <v>22</v>
      </c>
      <c r="O252" s="165">
        <f t="shared" si="1522"/>
        <v>4</v>
      </c>
      <c r="P252" s="165">
        <f t="shared" si="1522"/>
        <v>29</v>
      </c>
      <c r="Q252" s="165">
        <f t="shared" si="1522"/>
        <v>14</v>
      </c>
      <c r="R252" s="165">
        <f t="shared" si="1522"/>
        <v>24</v>
      </c>
      <c r="S252" s="165">
        <f t="shared" si="1522"/>
        <v>36</v>
      </c>
      <c r="T252" s="165">
        <f t="shared" si="1522"/>
        <v>6</v>
      </c>
      <c r="U252" s="164">
        <f t="shared" si="1522"/>
        <v>101</v>
      </c>
      <c r="V252" s="164">
        <f t="shared" si="1407"/>
        <v>11</v>
      </c>
      <c r="W252" s="165">
        <f t="shared" ref="W252:Y252" si="1523">SUM(W247:W251)</f>
        <v>6</v>
      </c>
      <c r="X252" s="165">
        <f t="shared" si="1523"/>
        <v>2</v>
      </c>
      <c r="Y252" s="165">
        <f t="shared" si="1523"/>
        <v>3</v>
      </c>
      <c r="Z252" s="164">
        <f>SUM(AA252:AB252)</f>
        <v>12</v>
      </c>
      <c r="AA252" s="164">
        <f t="shared" ref="AA252:AF252" si="1524">SUM(AA247:AA251)</f>
        <v>7</v>
      </c>
      <c r="AB252" s="165">
        <f t="shared" si="1524"/>
        <v>5</v>
      </c>
      <c r="AC252" s="166">
        <f t="shared" si="1524"/>
        <v>4</v>
      </c>
      <c r="AD252" s="166">
        <f t="shared" si="1524"/>
        <v>8</v>
      </c>
      <c r="AE252" s="166">
        <f t="shared" si="1524"/>
        <v>5</v>
      </c>
      <c r="AF252" s="166">
        <f t="shared" si="1524"/>
        <v>4</v>
      </c>
      <c r="AG252" s="168">
        <f t="shared" si="1377"/>
        <v>21</v>
      </c>
      <c r="AH252" s="166">
        <f t="shared" ref="AH252:AJ252" si="1525">SUM(AH247:AH251)</f>
        <v>26</v>
      </c>
      <c r="AI252" s="167">
        <f t="shared" si="1525"/>
        <v>34</v>
      </c>
      <c r="AJ252" s="167">
        <f t="shared" si="1525"/>
        <v>23</v>
      </c>
      <c r="AK252" s="168">
        <f t="shared" si="1379"/>
        <v>83</v>
      </c>
      <c r="AL252" s="166"/>
      <c r="AM252" s="166"/>
      <c r="AN252" s="166"/>
      <c r="AO252" s="166"/>
      <c r="AP252" s="169"/>
      <c r="AQ252" s="166"/>
      <c r="AR252" s="167"/>
      <c r="AS252" s="167"/>
      <c r="AT252" s="170"/>
      <c r="AU252" s="166"/>
      <c r="AV252" s="167"/>
      <c r="AW252" s="167"/>
      <c r="AX252" s="171"/>
      <c r="AY252" s="196">
        <f t="shared" ref="AY252:BD252" si="1526">SUM(AY247:AY251)</f>
        <v>2.3</v>
      </c>
      <c r="AZ252" s="196">
        <f t="shared" si="1526"/>
        <v>3</v>
      </c>
      <c r="BA252" s="167">
        <f t="shared" si="1526"/>
        <v>0</v>
      </c>
      <c r="BB252" s="167">
        <f t="shared" si="1526"/>
        <v>0</v>
      </c>
      <c r="BC252" s="197">
        <f t="shared" si="1526"/>
        <v>6019.1</v>
      </c>
      <c r="BD252" s="197">
        <f t="shared" si="1526"/>
        <v>6021.1</v>
      </c>
      <c r="BE252" s="154" t="str">
        <f t="shared" ref="BE252:BF252" si="1527">TEXTJOIN(", ",TRUE,BE247:BE251)</f>
        <v/>
      </c>
      <c r="BF252" s="154" t="str">
        <f t="shared" si="1527"/>
        <v/>
      </c>
    </row>
    <row r="253" ht="15.75" customHeight="1">
      <c r="A253" s="67">
        <f t="shared" si="1367"/>
        <v>46262</v>
      </c>
      <c r="B253" s="202" t="s">
        <v>72</v>
      </c>
      <c r="C253" s="203">
        <f t="shared" ref="C253:AK253" si="1528">SUM(C227+C228+C229+C233,C232,C239,C246,C252)</f>
        <v>39</v>
      </c>
      <c r="D253" s="203">
        <f t="shared" si="1528"/>
        <v>22</v>
      </c>
      <c r="E253" s="203">
        <f t="shared" si="1528"/>
        <v>13</v>
      </c>
      <c r="F253" s="203">
        <f t="shared" si="1528"/>
        <v>17</v>
      </c>
      <c r="G253" s="203">
        <f t="shared" si="1528"/>
        <v>20</v>
      </c>
      <c r="H253" s="203">
        <f t="shared" si="1528"/>
        <v>18</v>
      </c>
      <c r="I253" s="203">
        <f t="shared" si="1528"/>
        <v>28</v>
      </c>
      <c r="J253" s="203">
        <f t="shared" si="1528"/>
        <v>22</v>
      </c>
      <c r="K253" s="203">
        <f t="shared" si="1528"/>
        <v>24</v>
      </c>
      <c r="L253" s="203">
        <f t="shared" si="1528"/>
        <v>17</v>
      </c>
      <c r="M253" s="203">
        <f t="shared" si="1528"/>
        <v>706</v>
      </c>
      <c r="N253" s="203">
        <f t="shared" si="1528"/>
        <v>113</v>
      </c>
      <c r="O253" s="203">
        <f t="shared" si="1528"/>
        <v>69</v>
      </c>
      <c r="P253" s="203">
        <f t="shared" si="1528"/>
        <v>99</v>
      </c>
      <c r="Q253" s="203">
        <f t="shared" si="1528"/>
        <v>103</v>
      </c>
      <c r="R253" s="203">
        <f t="shared" si="1528"/>
        <v>100</v>
      </c>
      <c r="S253" s="203">
        <f t="shared" si="1528"/>
        <v>103</v>
      </c>
      <c r="T253" s="203">
        <f t="shared" si="1528"/>
        <v>119</v>
      </c>
      <c r="U253" s="203">
        <f t="shared" si="1528"/>
        <v>396</v>
      </c>
      <c r="V253" s="203">
        <f t="shared" si="1528"/>
        <v>54</v>
      </c>
      <c r="W253" s="203">
        <f t="shared" si="1528"/>
        <v>23</v>
      </c>
      <c r="X253" s="203">
        <f t="shared" si="1528"/>
        <v>14</v>
      </c>
      <c r="Y253" s="203">
        <f t="shared" si="1528"/>
        <v>17</v>
      </c>
      <c r="Z253" s="203">
        <f t="shared" si="1528"/>
        <v>44</v>
      </c>
      <c r="AA253" s="203">
        <f t="shared" si="1528"/>
        <v>21</v>
      </c>
      <c r="AB253" s="203">
        <f t="shared" si="1528"/>
        <v>23</v>
      </c>
      <c r="AC253" s="204">
        <f t="shared" si="1528"/>
        <v>23</v>
      </c>
      <c r="AD253" s="204">
        <f t="shared" si="1528"/>
        <v>31</v>
      </c>
      <c r="AE253" s="204">
        <f t="shared" si="1528"/>
        <v>20</v>
      </c>
      <c r="AF253" s="204">
        <f t="shared" si="1528"/>
        <v>23</v>
      </c>
      <c r="AG253" s="204">
        <f t="shared" si="1528"/>
        <v>97</v>
      </c>
      <c r="AH253" s="204">
        <f t="shared" si="1528"/>
        <v>104</v>
      </c>
      <c r="AI253" s="204">
        <f t="shared" si="1528"/>
        <v>123</v>
      </c>
      <c r="AJ253" s="204">
        <f t="shared" si="1528"/>
        <v>110</v>
      </c>
      <c r="AK253" s="204">
        <f t="shared" si="1528"/>
        <v>337</v>
      </c>
      <c r="AL253" s="204"/>
      <c r="AM253" s="204"/>
      <c r="AN253" s="204"/>
      <c r="AO253" s="204"/>
      <c r="AP253" s="151"/>
      <c r="AQ253" s="204"/>
      <c r="AR253" s="204"/>
      <c r="AS253" s="204"/>
      <c r="AT253" s="152"/>
      <c r="AU253" s="204"/>
      <c r="AV253" s="204"/>
      <c r="AW253" s="204"/>
      <c r="AX253" s="153"/>
      <c r="AY253" s="205">
        <f t="shared" ref="AY253:BD253" si="1529">SUM(AY227+AY228+AY229+AY233,AY232,AY239,AY246,AY252)</f>
        <v>13.9</v>
      </c>
      <c r="AZ253" s="205">
        <f t="shared" si="1529"/>
        <v>19.8</v>
      </c>
      <c r="BA253" s="206">
        <f t="shared" si="1529"/>
        <v>5</v>
      </c>
      <c r="BB253" s="206">
        <f t="shared" si="1529"/>
        <v>3</v>
      </c>
      <c r="BC253" s="207">
        <f t="shared" si="1529"/>
        <v>26498.9</v>
      </c>
      <c r="BD253" s="207">
        <f t="shared" si="1529"/>
        <v>26503.5</v>
      </c>
      <c r="BE253" s="154" t="str">
        <f t="shared" ref="BE253:BF253" si="1530">TEXTJOIN(", ",TRUE,BE252,BE246,BE239,BE233,BE232,BE229,BE228,BE227)</f>
        <v>Олександівка, Пантелеймонівка, Миколаївка, Курськ, Рильск</v>
      </c>
      <c r="BF253" s="154" t="str">
        <f t="shared" si="1530"/>
        <v>Загреблі, Верхні води, Ступочки</v>
      </c>
    </row>
    <row r="254" ht="15.75" customHeight="1">
      <c r="A254" s="55">
        <f>A253+1</f>
        <v>46263</v>
      </c>
      <c r="B254" s="56"/>
      <c r="C254" s="57"/>
      <c r="D254" s="58"/>
      <c r="E254" s="59"/>
      <c r="F254" s="58"/>
      <c r="G254" s="59"/>
      <c r="H254" s="57"/>
      <c r="I254" s="60"/>
      <c r="J254" s="57"/>
      <c r="K254" s="57"/>
      <c r="L254" s="57"/>
      <c r="M254" s="57"/>
      <c r="N254" s="60"/>
      <c r="O254" s="60"/>
      <c r="P254" s="60"/>
      <c r="Q254" s="60"/>
      <c r="R254" s="60"/>
      <c r="S254" s="60"/>
      <c r="T254" s="60"/>
      <c r="U254" s="57"/>
      <c r="V254" s="58"/>
      <c r="W254" s="61"/>
      <c r="X254" s="61"/>
      <c r="Y254" s="61"/>
      <c r="Z254" s="57"/>
      <c r="AA254" s="60"/>
      <c r="AB254" s="60"/>
      <c r="AC254" s="62"/>
      <c r="AD254" s="62"/>
      <c r="AE254" s="62"/>
      <c r="AF254" s="62"/>
      <c r="AG254" s="62"/>
      <c r="AH254" s="62"/>
      <c r="AI254" s="62"/>
      <c r="AJ254" s="62"/>
      <c r="AK254" s="62"/>
      <c r="AL254" s="62"/>
      <c r="AM254" s="62"/>
      <c r="AN254" s="62"/>
      <c r="AO254" s="62"/>
      <c r="AP254" s="64"/>
      <c r="AQ254" s="62"/>
      <c r="AR254" s="62"/>
      <c r="AS254" s="62"/>
      <c r="AT254" s="65"/>
      <c r="AU254" s="62"/>
      <c r="AV254" s="62"/>
      <c r="AW254" s="62"/>
      <c r="AX254" s="66"/>
      <c r="AY254" s="208"/>
      <c r="AZ254" s="208"/>
      <c r="BA254" s="62"/>
      <c r="BB254" s="62"/>
      <c r="BC254" s="209"/>
      <c r="BD254" s="209"/>
      <c r="BE254" s="62"/>
      <c r="BF254" s="62"/>
    </row>
    <row r="255" ht="15.75" customHeight="1">
      <c r="A255" s="67">
        <f t="shared" ref="A255:A281" si="1537">A254</f>
        <v>46263</v>
      </c>
      <c r="B255" s="70" t="s">
        <v>8</v>
      </c>
      <c r="C255" s="72">
        <f t="shared" ref="C255:C280" si="1538">SUM(D255,F255)</f>
        <v>2</v>
      </c>
      <c r="D255" s="74">
        <f t="shared" ref="D255:L255" si="1531">RANDBETWEEN(0,2)</f>
        <v>1</v>
      </c>
      <c r="E255" s="74">
        <f t="shared" si="1531"/>
        <v>2</v>
      </c>
      <c r="F255" s="74">
        <f t="shared" si="1531"/>
        <v>1</v>
      </c>
      <c r="G255" s="74">
        <f t="shared" si="1531"/>
        <v>1</v>
      </c>
      <c r="H255" s="75">
        <f t="shared" si="1531"/>
        <v>2</v>
      </c>
      <c r="I255" s="76">
        <f t="shared" si="1531"/>
        <v>1</v>
      </c>
      <c r="J255" s="77">
        <f t="shared" si="1531"/>
        <v>2</v>
      </c>
      <c r="K255" s="78">
        <f t="shared" si="1531"/>
        <v>2</v>
      </c>
      <c r="L255" s="78">
        <f t="shared" si="1531"/>
        <v>0</v>
      </c>
      <c r="M255" s="79">
        <f t="shared" ref="M255:M273" si="1540">SUM(N255:T255)</f>
        <v>31</v>
      </c>
      <c r="N255" s="74">
        <f t="shared" ref="N255:T255" si="1532">RANDBETWEEN(0,10)</f>
        <v>4</v>
      </c>
      <c r="O255" s="74">
        <f t="shared" si="1532"/>
        <v>4</v>
      </c>
      <c r="P255" s="74">
        <f t="shared" si="1532"/>
        <v>0</v>
      </c>
      <c r="Q255" s="74">
        <f t="shared" si="1532"/>
        <v>4</v>
      </c>
      <c r="R255" s="74">
        <f t="shared" si="1532"/>
        <v>10</v>
      </c>
      <c r="S255" s="74">
        <f t="shared" si="1532"/>
        <v>5</v>
      </c>
      <c r="T255" s="74">
        <f t="shared" si="1532"/>
        <v>4</v>
      </c>
      <c r="U255" s="81">
        <f t="shared" ref="U255:U256" si="1542">RANDBETWEEN(10,30)</f>
        <v>11</v>
      </c>
      <c r="V255" s="82">
        <f t="shared" ref="V255:V260" si="1543">SUM(W255:Y255)</f>
        <v>3</v>
      </c>
      <c r="W255" s="74">
        <f t="shared" ref="W255:Y255" si="1533">RANDBETWEEN(0,2)</f>
        <v>2</v>
      </c>
      <c r="X255" s="74">
        <f t="shared" si="1533"/>
        <v>0</v>
      </c>
      <c r="Y255" s="74">
        <f t="shared" si="1533"/>
        <v>1</v>
      </c>
      <c r="Z255" s="83">
        <f t="shared" ref="Z255:Z257" si="1545">AA255+AB255</f>
        <v>2</v>
      </c>
      <c r="AA255" s="84">
        <f t="shared" ref="AA255:AF255" si="1534">RANDBETWEEN(0,2)</f>
        <v>2</v>
      </c>
      <c r="AB255" s="84">
        <f t="shared" si="1534"/>
        <v>0</v>
      </c>
      <c r="AC255" s="85">
        <f t="shared" si="1534"/>
        <v>0</v>
      </c>
      <c r="AD255" s="85">
        <f t="shared" si="1534"/>
        <v>1</v>
      </c>
      <c r="AE255" s="85">
        <f t="shared" si="1534"/>
        <v>0</v>
      </c>
      <c r="AF255" s="85">
        <f t="shared" si="1534"/>
        <v>1</v>
      </c>
      <c r="AG255" s="86">
        <f t="shared" ref="AG255:AG280" si="1547">SUM(AC255:AF255)</f>
        <v>2</v>
      </c>
      <c r="AH255" s="87">
        <f t="shared" ref="AH255:AJ255" si="1535">RANDBETWEEN(1,10)</f>
        <v>10</v>
      </c>
      <c r="AI255" s="85">
        <f t="shared" si="1535"/>
        <v>1</v>
      </c>
      <c r="AJ255" s="85">
        <f t="shared" si="1535"/>
        <v>5</v>
      </c>
      <c r="AK255" s="88">
        <f t="shared" ref="AK255:AK280" si="1549">SUM(AH255:AJ255)</f>
        <v>16</v>
      </c>
      <c r="AL255" s="85"/>
      <c r="AM255" s="85"/>
      <c r="AN255" s="85"/>
      <c r="AO255" s="85"/>
      <c r="AP255" s="89"/>
      <c r="AQ255" s="87"/>
      <c r="AR255" s="85"/>
      <c r="AS255" s="85"/>
      <c r="AT255" s="90"/>
      <c r="AU255" s="87"/>
      <c r="AV255" s="85"/>
      <c r="AW255" s="85"/>
      <c r="AX255" s="91"/>
      <c r="AY255" s="92">
        <f t="shared" ref="AY255:AZ255" si="1536">RANDBETWEEN(1,10)/10</f>
        <v>1</v>
      </c>
      <c r="AZ255" s="92">
        <f t="shared" si="1536"/>
        <v>0.8</v>
      </c>
      <c r="BA255" s="93">
        <v>0.0</v>
      </c>
      <c r="BB255" s="93">
        <v>0.0</v>
      </c>
      <c r="BC255" s="94">
        <f>SUM(BC227,'ГОЧ'!$AY255)</f>
        <v>1206.6</v>
      </c>
      <c r="BD255" s="94">
        <f>SUM(BD227,'ГОЧ'!$AZ255)</f>
        <v>1207.2</v>
      </c>
      <c r="BE255" s="85"/>
      <c r="BF255" s="85"/>
    </row>
    <row r="256" ht="15.75" customHeight="1">
      <c r="A256" s="67">
        <f t="shared" si="1537"/>
        <v>46263</v>
      </c>
      <c r="B256" s="95" t="s">
        <v>10</v>
      </c>
      <c r="C256" s="96">
        <f t="shared" si="1538"/>
        <v>1</v>
      </c>
      <c r="D256" s="97">
        <f t="shared" ref="D256:L256" si="1539">RANDBETWEEN(0,2)</f>
        <v>0</v>
      </c>
      <c r="E256" s="97">
        <f t="shared" si="1539"/>
        <v>2</v>
      </c>
      <c r="F256" s="97">
        <f t="shared" si="1539"/>
        <v>1</v>
      </c>
      <c r="G256" s="97">
        <f t="shared" si="1539"/>
        <v>1</v>
      </c>
      <c r="H256" s="98">
        <f t="shared" si="1539"/>
        <v>1</v>
      </c>
      <c r="I256" s="99">
        <f t="shared" si="1539"/>
        <v>2</v>
      </c>
      <c r="J256" s="100">
        <f t="shared" si="1539"/>
        <v>2</v>
      </c>
      <c r="K256" s="101">
        <f t="shared" si="1539"/>
        <v>0</v>
      </c>
      <c r="L256" s="101">
        <f t="shared" si="1539"/>
        <v>0</v>
      </c>
      <c r="M256" s="102">
        <f t="shared" si="1540"/>
        <v>35</v>
      </c>
      <c r="N256" s="97">
        <f t="shared" ref="N256:T256" si="1541">RANDBETWEEN(0,10)</f>
        <v>9</v>
      </c>
      <c r="O256" s="97">
        <f t="shared" si="1541"/>
        <v>5</v>
      </c>
      <c r="P256" s="97">
        <f t="shared" si="1541"/>
        <v>2</v>
      </c>
      <c r="Q256" s="97">
        <f t="shared" si="1541"/>
        <v>0</v>
      </c>
      <c r="R256" s="97">
        <f t="shared" si="1541"/>
        <v>1</v>
      </c>
      <c r="S256" s="97">
        <f t="shared" si="1541"/>
        <v>9</v>
      </c>
      <c r="T256" s="97">
        <f t="shared" si="1541"/>
        <v>9</v>
      </c>
      <c r="U256" s="103">
        <f t="shared" si="1542"/>
        <v>20</v>
      </c>
      <c r="V256" s="104">
        <f t="shared" si="1543"/>
        <v>2</v>
      </c>
      <c r="W256" s="97">
        <f t="shared" ref="W256:Y256" si="1544">RANDBETWEEN(0,2)</f>
        <v>1</v>
      </c>
      <c r="X256" s="97">
        <f t="shared" si="1544"/>
        <v>1</v>
      </c>
      <c r="Y256" s="97">
        <f t="shared" si="1544"/>
        <v>0</v>
      </c>
      <c r="Z256" s="105">
        <f t="shared" si="1545"/>
        <v>0</v>
      </c>
      <c r="AA256" s="106">
        <f t="shared" ref="AA256:AF256" si="1546">RANDBETWEEN(0,2)</f>
        <v>0</v>
      </c>
      <c r="AB256" s="106">
        <f t="shared" si="1546"/>
        <v>0</v>
      </c>
      <c r="AC256" s="107">
        <f t="shared" si="1546"/>
        <v>2</v>
      </c>
      <c r="AD256" s="108">
        <f t="shared" si="1546"/>
        <v>0</v>
      </c>
      <c r="AE256" s="108">
        <f t="shared" si="1546"/>
        <v>2</v>
      </c>
      <c r="AF256" s="108">
        <f t="shared" si="1546"/>
        <v>2</v>
      </c>
      <c r="AG256" s="109">
        <f t="shared" si="1547"/>
        <v>6</v>
      </c>
      <c r="AH256" s="107">
        <f t="shared" ref="AH256:AJ256" si="1548">RANDBETWEEN(1,10)</f>
        <v>6</v>
      </c>
      <c r="AI256" s="108">
        <f t="shared" si="1548"/>
        <v>9</v>
      </c>
      <c r="AJ256" s="108">
        <f t="shared" si="1548"/>
        <v>1</v>
      </c>
      <c r="AK256" s="110">
        <f t="shared" si="1549"/>
        <v>16</v>
      </c>
      <c r="AL256" s="107"/>
      <c r="AM256" s="108"/>
      <c r="AN256" s="108"/>
      <c r="AO256" s="108"/>
      <c r="AP256" s="111"/>
      <c r="AQ256" s="107"/>
      <c r="AR256" s="108"/>
      <c r="AS256" s="108"/>
      <c r="AT256" s="112"/>
      <c r="AU256" s="107"/>
      <c r="AV256" s="108"/>
      <c r="AW256" s="108"/>
      <c r="AX256" s="113"/>
      <c r="AY256" s="92">
        <f t="shared" ref="AY256:AZ256" si="1550">RANDBETWEEN(1,10)/10</f>
        <v>0.4</v>
      </c>
      <c r="AZ256" s="92">
        <f t="shared" si="1550"/>
        <v>0.4</v>
      </c>
      <c r="BA256" s="93">
        <v>0.0</v>
      </c>
      <c r="BB256" s="93">
        <v>0.0</v>
      </c>
      <c r="BC256" s="94">
        <f>SUM(BC228,'ГОЧ'!$AY256)</f>
        <v>1204.4</v>
      </c>
      <c r="BD256" s="94">
        <f>SUM(BD228,'ГОЧ'!$AZ256)</f>
        <v>1205.2</v>
      </c>
      <c r="BE256" s="108"/>
      <c r="BF256" s="108"/>
    </row>
    <row r="257" ht="15.75" customHeight="1">
      <c r="A257" s="67">
        <f t="shared" si="1537"/>
        <v>46263</v>
      </c>
      <c r="B257" s="114" t="s">
        <v>12</v>
      </c>
      <c r="C257" s="115">
        <f t="shared" si="1538"/>
        <v>0</v>
      </c>
      <c r="D257" s="115">
        <v>0.0</v>
      </c>
      <c r="E257" s="116">
        <v>0.0</v>
      </c>
      <c r="F257" s="116">
        <v>0.0</v>
      </c>
      <c r="G257" s="116">
        <v>0.0</v>
      </c>
      <c r="H257" s="115">
        <v>0.0</v>
      </c>
      <c r="I257" s="116">
        <v>0.0</v>
      </c>
      <c r="J257" s="115">
        <v>0.0</v>
      </c>
      <c r="K257" s="116">
        <v>0.0</v>
      </c>
      <c r="L257" s="116">
        <v>0.0</v>
      </c>
      <c r="M257" s="115">
        <f t="shared" si="1540"/>
        <v>0</v>
      </c>
      <c r="N257" s="115">
        <v>0.0</v>
      </c>
      <c r="O257" s="116">
        <v>0.0</v>
      </c>
      <c r="P257" s="116">
        <v>0.0</v>
      </c>
      <c r="Q257" s="116">
        <v>0.0</v>
      </c>
      <c r="R257" s="116">
        <v>0.0</v>
      </c>
      <c r="S257" s="116">
        <v>0.0</v>
      </c>
      <c r="T257" s="116">
        <v>0.0</v>
      </c>
      <c r="U257" s="115">
        <v>0.0</v>
      </c>
      <c r="V257" s="115">
        <f t="shared" si="1543"/>
        <v>0</v>
      </c>
      <c r="W257" s="116">
        <v>0.0</v>
      </c>
      <c r="X257" s="116">
        <v>0.0</v>
      </c>
      <c r="Y257" s="116">
        <v>0.0</v>
      </c>
      <c r="Z257" s="116">
        <f t="shared" si="1545"/>
        <v>0</v>
      </c>
      <c r="AA257" s="116">
        <v>0.0</v>
      </c>
      <c r="AB257" s="116">
        <v>0.0</v>
      </c>
      <c r="AC257" s="117">
        <v>0.0</v>
      </c>
      <c r="AD257" s="118">
        <v>0.0</v>
      </c>
      <c r="AE257" s="118">
        <v>0.0</v>
      </c>
      <c r="AF257" s="118">
        <v>0.0</v>
      </c>
      <c r="AG257" s="119">
        <f t="shared" si="1547"/>
        <v>0</v>
      </c>
      <c r="AH257" s="117">
        <v>0.0</v>
      </c>
      <c r="AI257" s="118">
        <v>0.0</v>
      </c>
      <c r="AJ257" s="118">
        <v>0.0</v>
      </c>
      <c r="AK257" s="119">
        <f t="shared" si="1549"/>
        <v>0</v>
      </c>
      <c r="AL257" s="117"/>
      <c r="AM257" s="118"/>
      <c r="AN257" s="118"/>
      <c r="AO257" s="118"/>
      <c r="AP257" s="111"/>
      <c r="AQ257" s="117"/>
      <c r="AR257" s="118"/>
      <c r="AS257" s="118"/>
      <c r="AT257" s="120"/>
      <c r="AU257" s="117"/>
      <c r="AV257" s="118"/>
      <c r="AW257" s="118"/>
      <c r="AX257" s="121"/>
      <c r="AY257" s="122">
        <f t="shared" ref="AY257:BD257" si="1551">SUM(AY255:AY256)</f>
        <v>1.4</v>
      </c>
      <c r="AZ257" s="122">
        <f t="shared" si="1551"/>
        <v>1.2</v>
      </c>
      <c r="BA257" s="118">
        <f t="shared" si="1551"/>
        <v>0</v>
      </c>
      <c r="BB257" s="118">
        <f t="shared" si="1551"/>
        <v>0</v>
      </c>
      <c r="BC257" s="123">
        <f t="shared" si="1551"/>
        <v>2411</v>
      </c>
      <c r="BD257" s="123">
        <f t="shared" si="1551"/>
        <v>2412.4</v>
      </c>
      <c r="BE257" s="118"/>
      <c r="BF257" s="118"/>
    </row>
    <row r="258" ht="15.75" customHeight="1">
      <c r="A258" s="67">
        <f t="shared" si="1537"/>
        <v>46263</v>
      </c>
      <c r="B258" s="124" t="s">
        <v>14</v>
      </c>
      <c r="C258" s="96">
        <f t="shared" si="1538"/>
        <v>1</v>
      </c>
      <c r="D258" s="125">
        <f t="shared" ref="D258:L258" si="1552">RANDBETWEEN(0,2)</f>
        <v>1</v>
      </c>
      <c r="E258" s="125">
        <f t="shared" si="1552"/>
        <v>1</v>
      </c>
      <c r="F258" s="125">
        <f t="shared" si="1552"/>
        <v>0</v>
      </c>
      <c r="G258" s="125">
        <f t="shared" si="1552"/>
        <v>1</v>
      </c>
      <c r="H258" s="126">
        <f t="shared" si="1552"/>
        <v>2</v>
      </c>
      <c r="I258" s="127">
        <f t="shared" si="1552"/>
        <v>0</v>
      </c>
      <c r="J258" s="128">
        <f t="shared" si="1552"/>
        <v>1</v>
      </c>
      <c r="K258" s="130">
        <f t="shared" si="1552"/>
        <v>0</v>
      </c>
      <c r="L258" s="130">
        <f t="shared" si="1552"/>
        <v>1</v>
      </c>
      <c r="M258" s="102">
        <f t="shared" si="1540"/>
        <v>44</v>
      </c>
      <c r="N258" s="125">
        <f t="shared" ref="N258:T258" si="1553">RANDBETWEEN(0,10)</f>
        <v>9</v>
      </c>
      <c r="O258" s="125">
        <f t="shared" si="1553"/>
        <v>5</v>
      </c>
      <c r="P258" s="125">
        <f t="shared" si="1553"/>
        <v>3</v>
      </c>
      <c r="Q258" s="125">
        <f t="shared" si="1553"/>
        <v>6</v>
      </c>
      <c r="R258" s="125">
        <f t="shared" si="1553"/>
        <v>5</v>
      </c>
      <c r="S258" s="125">
        <f t="shared" si="1553"/>
        <v>8</v>
      </c>
      <c r="T258" s="125">
        <f t="shared" si="1553"/>
        <v>8</v>
      </c>
      <c r="U258" s="103">
        <f t="shared" ref="U258:U259" si="1560">RANDBETWEEN(10,30)</f>
        <v>29</v>
      </c>
      <c r="V258" s="131">
        <f t="shared" si="1543"/>
        <v>3</v>
      </c>
      <c r="W258" s="125">
        <f t="shared" ref="W258:Y258" si="1554">RANDBETWEEN(0,2)</f>
        <v>0</v>
      </c>
      <c r="X258" s="125">
        <f t="shared" si="1554"/>
        <v>1</v>
      </c>
      <c r="Y258" s="125">
        <f t="shared" si="1554"/>
        <v>2</v>
      </c>
      <c r="Z258" s="132">
        <f t="shared" ref="Z258:Z261" si="1562">SUM(AA258:AB258)</f>
        <v>3</v>
      </c>
      <c r="AA258" s="133">
        <f t="shared" ref="AA258:AF258" si="1555">RANDBETWEEN(0,2)</f>
        <v>1</v>
      </c>
      <c r="AB258" s="133">
        <f t="shared" si="1555"/>
        <v>2</v>
      </c>
      <c r="AC258" s="134">
        <f t="shared" si="1555"/>
        <v>0</v>
      </c>
      <c r="AD258" s="134">
        <f t="shared" si="1555"/>
        <v>1</v>
      </c>
      <c r="AE258" s="134">
        <f t="shared" si="1555"/>
        <v>0</v>
      </c>
      <c r="AF258" s="134">
        <f t="shared" si="1555"/>
        <v>2</v>
      </c>
      <c r="AG258" s="135">
        <f t="shared" si="1547"/>
        <v>3</v>
      </c>
      <c r="AH258" s="136">
        <f t="shared" ref="AH258:AJ258" si="1556">RANDBETWEEN(1,10)</f>
        <v>6</v>
      </c>
      <c r="AI258" s="134">
        <f t="shared" si="1556"/>
        <v>5</v>
      </c>
      <c r="AJ258" s="134">
        <f t="shared" si="1556"/>
        <v>6</v>
      </c>
      <c r="AK258" s="137">
        <f t="shared" si="1549"/>
        <v>17</v>
      </c>
      <c r="AL258" s="134"/>
      <c r="AM258" s="134"/>
      <c r="AN258" s="134"/>
      <c r="AO258" s="134"/>
      <c r="AP258" s="111"/>
      <c r="AQ258" s="136"/>
      <c r="AR258" s="134"/>
      <c r="AS258" s="134"/>
      <c r="AT258" s="120"/>
      <c r="AU258" s="136"/>
      <c r="AV258" s="134"/>
      <c r="AW258" s="134"/>
      <c r="AX258" s="121"/>
      <c r="AY258" s="92">
        <f t="shared" ref="AY258:AZ258" si="1557">RANDBETWEEN(1,10)/10</f>
        <v>0.1</v>
      </c>
      <c r="AZ258" s="92">
        <f t="shared" si="1557"/>
        <v>1</v>
      </c>
      <c r="BA258" s="93">
        <v>0.0</v>
      </c>
      <c r="BB258" s="93">
        <v>0.0</v>
      </c>
      <c r="BC258" s="94">
        <f>SUM(BC230,'ГОЧ'!$AY258)</f>
        <v>1204.1</v>
      </c>
      <c r="BD258" s="94">
        <f>SUM(BD230,'ГОЧ'!$AZ258)</f>
        <v>1204.7</v>
      </c>
      <c r="BE258" s="108"/>
      <c r="BF258" s="108"/>
    </row>
    <row r="259" ht="15.75" customHeight="1">
      <c r="A259" s="67">
        <f t="shared" si="1537"/>
        <v>46263</v>
      </c>
      <c r="B259" s="138" t="s">
        <v>16</v>
      </c>
      <c r="C259" s="139">
        <f t="shared" si="1538"/>
        <v>2</v>
      </c>
      <c r="D259" s="97">
        <f t="shared" ref="D259:L259" si="1558">RANDBETWEEN(0,2)</f>
        <v>0</v>
      </c>
      <c r="E259" s="97">
        <f t="shared" si="1558"/>
        <v>1</v>
      </c>
      <c r="F259" s="97">
        <f t="shared" si="1558"/>
        <v>2</v>
      </c>
      <c r="G259" s="97">
        <f t="shared" si="1558"/>
        <v>2</v>
      </c>
      <c r="H259" s="98">
        <f t="shared" si="1558"/>
        <v>2</v>
      </c>
      <c r="I259" s="99">
        <f t="shared" si="1558"/>
        <v>1</v>
      </c>
      <c r="J259" s="100">
        <f t="shared" si="1558"/>
        <v>1</v>
      </c>
      <c r="K259" s="101">
        <f t="shared" si="1558"/>
        <v>0</v>
      </c>
      <c r="L259" s="101">
        <f t="shared" si="1558"/>
        <v>1</v>
      </c>
      <c r="M259" s="140">
        <f t="shared" si="1540"/>
        <v>19</v>
      </c>
      <c r="N259" s="97">
        <f t="shared" ref="N259:T259" si="1559">RANDBETWEEN(0,10)</f>
        <v>2</v>
      </c>
      <c r="O259" s="97">
        <f t="shared" si="1559"/>
        <v>3</v>
      </c>
      <c r="P259" s="97">
        <f t="shared" si="1559"/>
        <v>2</v>
      </c>
      <c r="Q259" s="97">
        <f t="shared" si="1559"/>
        <v>3</v>
      </c>
      <c r="R259" s="97">
        <f t="shared" si="1559"/>
        <v>2</v>
      </c>
      <c r="S259" s="97">
        <f t="shared" si="1559"/>
        <v>1</v>
      </c>
      <c r="T259" s="97">
        <f t="shared" si="1559"/>
        <v>6</v>
      </c>
      <c r="U259" s="103">
        <f t="shared" si="1560"/>
        <v>22</v>
      </c>
      <c r="V259" s="141">
        <f t="shared" si="1543"/>
        <v>4</v>
      </c>
      <c r="W259" s="97">
        <f t="shared" ref="W259:Y259" si="1561">RANDBETWEEN(0,2)</f>
        <v>1</v>
      </c>
      <c r="X259" s="97">
        <f t="shared" si="1561"/>
        <v>1</v>
      </c>
      <c r="Y259" s="97">
        <f t="shared" si="1561"/>
        <v>2</v>
      </c>
      <c r="Z259" s="142">
        <f t="shared" si="1562"/>
        <v>2</v>
      </c>
      <c r="AA259" s="143">
        <f t="shared" ref="AA259:AF259" si="1563">RANDBETWEEN(0,2)</f>
        <v>2</v>
      </c>
      <c r="AB259" s="143">
        <f t="shared" si="1563"/>
        <v>0</v>
      </c>
      <c r="AC259" s="144">
        <f t="shared" si="1563"/>
        <v>1</v>
      </c>
      <c r="AD259" s="145">
        <f t="shared" si="1563"/>
        <v>2</v>
      </c>
      <c r="AE259" s="145">
        <f t="shared" si="1563"/>
        <v>1</v>
      </c>
      <c r="AF259" s="145">
        <f t="shared" si="1563"/>
        <v>1</v>
      </c>
      <c r="AG259" s="146">
        <f t="shared" si="1547"/>
        <v>5</v>
      </c>
      <c r="AH259" s="144">
        <f t="shared" ref="AH259:AJ259" si="1564">RANDBETWEEN(1,10)</f>
        <v>1</v>
      </c>
      <c r="AI259" s="145">
        <f t="shared" si="1564"/>
        <v>8</v>
      </c>
      <c r="AJ259" s="145">
        <f t="shared" si="1564"/>
        <v>8</v>
      </c>
      <c r="AK259" s="147">
        <f t="shared" si="1549"/>
        <v>17</v>
      </c>
      <c r="AL259" s="144"/>
      <c r="AM259" s="145"/>
      <c r="AN259" s="145"/>
      <c r="AO259" s="145"/>
      <c r="AP259" s="148"/>
      <c r="AQ259" s="144"/>
      <c r="AR259" s="145"/>
      <c r="AS259" s="145"/>
      <c r="AT259" s="149"/>
      <c r="AU259" s="144"/>
      <c r="AV259" s="145"/>
      <c r="AW259" s="145"/>
      <c r="AX259" s="150"/>
      <c r="AY259" s="92">
        <f t="shared" ref="AY259:AZ259" si="1565">RANDBETWEEN(1,10)/10</f>
        <v>0.7</v>
      </c>
      <c r="AZ259" s="92">
        <f t="shared" si="1565"/>
        <v>0.5</v>
      </c>
      <c r="BA259" s="93">
        <v>0.0</v>
      </c>
      <c r="BB259" s="93">
        <v>0.0</v>
      </c>
      <c r="BC259" s="94">
        <f>SUM(BC231,'ГОЧ'!$AY259)</f>
        <v>1204.2</v>
      </c>
      <c r="BD259" s="94">
        <f>SUM(BD231,'ГОЧ'!$AZ259)</f>
        <v>1204.9</v>
      </c>
      <c r="BE259" s="108"/>
      <c r="BF259" s="108"/>
    </row>
    <row r="260" ht="15.75" customHeight="1">
      <c r="A260" s="67">
        <f t="shared" si="1537"/>
        <v>46263</v>
      </c>
      <c r="B260" s="114" t="s">
        <v>18</v>
      </c>
      <c r="C260" s="115">
        <f t="shared" si="1538"/>
        <v>3</v>
      </c>
      <c r="D260" s="115">
        <f t="shared" ref="D260:L260" si="1566">SUM(D258:D259)</f>
        <v>1</v>
      </c>
      <c r="E260" s="116">
        <f t="shared" si="1566"/>
        <v>2</v>
      </c>
      <c r="F260" s="116">
        <f t="shared" si="1566"/>
        <v>2</v>
      </c>
      <c r="G260" s="116">
        <f t="shared" si="1566"/>
        <v>3</v>
      </c>
      <c r="H260" s="115">
        <f t="shared" si="1566"/>
        <v>4</v>
      </c>
      <c r="I260" s="116">
        <f t="shared" si="1566"/>
        <v>1</v>
      </c>
      <c r="J260" s="115">
        <f t="shared" si="1566"/>
        <v>2</v>
      </c>
      <c r="K260" s="116">
        <f t="shared" si="1566"/>
        <v>0</v>
      </c>
      <c r="L260" s="116">
        <f t="shared" si="1566"/>
        <v>2</v>
      </c>
      <c r="M260" s="115">
        <f t="shared" si="1540"/>
        <v>56</v>
      </c>
      <c r="N260" s="115">
        <f t="shared" ref="N260:Q260" si="1567">SUM(N258:N259)</f>
        <v>11</v>
      </c>
      <c r="O260" s="116">
        <f t="shared" si="1567"/>
        <v>8</v>
      </c>
      <c r="P260" s="116">
        <f t="shared" si="1567"/>
        <v>5</v>
      </c>
      <c r="Q260" s="116">
        <f t="shared" si="1567"/>
        <v>9</v>
      </c>
      <c r="R260" s="116">
        <v>0.0</v>
      </c>
      <c r="S260" s="116">
        <f t="shared" ref="S260:U260" si="1568">SUM(S258:S259)</f>
        <v>9</v>
      </c>
      <c r="T260" s="116">
        <f t="shared" si="1568"/>
        <v>14</v>
      </c>
      <c r="U260" s="115">
        <f t="shared" si="1568"/>
        <v>51</v>
      </c>
      <c r="V260" s="115">
        <f t="shared" si="1543"/>
        <v>7</v>
      </c>
      <c r="W260" s="116">
        <f t="shared" ref="W260:Y260" si="1569">SUM(W258:W259)</f>
        <v>1</v>
      </c>
      <c r="X260" s="116">
        <f t="shared" si="1569"/>
        <v>2</v>
      </c>
      <c r="Y260" s="116">
        <f t="shared" si="1569"/>
        <v>4</v>
      </c>
      <c r="Z260" s="116">
        <f t="shared" si="1562"/>
        <v>5</v>
      </c>
      <c r="AA260" s="116">
        <f t="shared" ref="AA260:AF260" si="1570">SUM(AA258:AA259)</f>
        <v>3</v>
      </c>
      <c r="AB260" s="116">
        <f t="shared" si="1570"/>
        <v>2</v>
      </c>
      <c r="AC260" s="118">
        <f t="shared" si="1570"/>
        <v>1</v>
      </c>
      <c r="AD260" s="118">
        <f t="shared" si="1570"/>
        <v>3</v>
      </c>
      <c r="AE260" s="118">
        <f t="shared" si="1570"/>
        <v>1</v>
      </c>
      <c r="AF260" s="118">
        <f t="shared" si="1570"/>
        <v>3</v>
      </c>
      <c r="AG260" s="117">
        <f t="shared" si="1547"/>
        <v>8</v>
      </c>
      <c r="AH260" s="117">
        <f t="shared" ref="AH260:AJ260" si="1571">SUM(AH258:AH259)</f>
        <v>7</v>
      </c>
      <c r="AI260" s="118">
        <f t="shared" si="1571"/>
        <v>13</v>
      </c>
      <c r="AJ260" s="118">
        <f t="shared" si="1571"/>
        <v>14</v>
      </c>
      <c r="AK260" s="117">
        <f t="shared" si="1549"/>
        <v>34</v>
      </c>
      <c r="AL260" s="118"/>
      <c r="AM260" s="118"/>
      <c r="AN260" s="118"/>
      <c r="AO260" s="118"/>
      <c r="AP260" s="151"/>
      <c r="AQ260" s="117"/>
      <c r="AR260" s="118"/>
      <c r="AS260" s="118"/>
      <c r="AT260" s="152"/>
      <c r="AU260" s="117"/>
      <c r="AV260" s="118"/>
      <c r="AW260" s="118"/>
      <c r="AX260" s="153"/>
      <c r="AY260" s="122">
        <f t="shared" ref="AY260:BD260" si="1572">SUM(AY258:AY259)</f>
        <v>0.8</v>
      </c>
      <c r="AZ260" s="122">
        <f t="shared" si="1572"/>
        <v>1.5</v>
      </c>
      <c r="BA260" s="118">
        <f t="shared" si="1572"/>
        <v>0</v>
      </c>
      <c r="BB260" s="118">
        <f t="shared" si="1572"/>
        <v>0</v>
      </c>
      <c r="BC260" s="123">
        <f t="shared" si="1572"/>
        <v>2408.3</v>
      </c>
      <c r="BD260" s="123">
        <f t="shared" si="1572"/>
        <v>2409.6</v>
      </c>
      <c r="BE260" s="154" t="str">
        <f t="shared" ref="BE260:BF260" si="1573">TEXTJOIN(", ",TRUE,BE258:BE259)</f>
        <v/>
      </c>
      <c r="BF260" s="154" t="str">
        <f t="shared" si="1573"/>
        <v/>
      </c>
    </row>
    <row r="261" ht="15.75" customHeight="1">
      <c r="A261" s="67">
        <f t="shared" si="1537"/>
        <v>46263</v>
      </c>
      <c r="B261" s="114" t="s">
        <v>20</v>
      </c>
      <c r="C261" s="115">
        <f t="shared" si="1538"/>
        <v>5</v>
      </c>
      <c r="D261" s="115">
        <v>3.0</v>
      </c>
      <c r="E261" s="116">
        <v>0.0</v>
      </c>
      <c r="F261" s="116">
        <v>2.0</v>
      </c>
      <c r="G261" s="116">
        <v>2.0</v>
      </c>
      <c r="H261" s="115">
        <v>0.0</v>
      </c>
      <c r="I261" s="116">
        <v>0.0</v>
      </c>
      <c r="J261" s="115">
        <v>1.0</v>
      </c>
      <c r="K261" s="116">
        <v>1.0</v>
      </c>
      <c r="L261" s="116">
        <v>0.0</v>
      </c>
      <c r="M261" s="115">
        <f t="shared" si="1540"/>
        <v>38</v>
      </c>
      <c r="N261" s="115">
        <v>0.0</v>
      </c>
      <c r="O261" s="116">
        <v>0.0</v>
      </c>
      <c r="P261" s="116">
        <v>0.0</v>
      </c>
      <c r="Q261" s="116">
        <v>9.0</v>
      </c>
      <c r="R261" s="116">
        <v>0.0</v>
      </c>
      <c r="S261" s="116">
        <v>0.0</v>
      </c>
      <c r="T261" s="116">
        <v>29.0</v>
      </c>
      <c r="U261" s="115">
        <v>7.0</v>
      </c>
      <c r="V261" s="115">
        <f t="shared" ref="V261:V280" si="1577">W261+X261+Y261</f>
        <v>0</v>
      </c>
      <c r="W261" s="116">
        <v>0.0</v>
      </c>
      <c r="X261" s="116">
        <v>0.0</v>
      </c>
      <c r="Y261" s="116">
        <v>0.0</v>
      </c>
      <c r="Z261" s="116">
        <f t="shared" si="1562"/>
        <v>0</v>
      </c>
      <c r="AA261" s="116">
        <v>0.0</v>
      </c>
      <c r="AB261" s="116">
        <v>0.0</v>
      </c>
      <c r="AC261" s="117">
        <v>0.0</v>
      </c>
      <c r="AD261" s="118">
        <v>1.0</v>
      </c>
      <c r="AE261" s="118">
        <v>0.0</v>
      </c>
      <c r="AF261" s="118">
        <v>0.0</v>
      </c>
      <c r="AG261" s="119">
        <f t="shared" si="1547"/>
        <v>1</v>
      </c>
      <c r="AH261" s="117">
        <v>6.0</v>
      </c>
      <c r="AI261" s="118">
        <v>5.0</v>
      </c>
      <c r="AJ261" s="118">
        <v>0.0</v>
      </c>
      <c r="AK261" s="119">
        <f t="shared" si="1549"/>
        <v>11</v>
      </c>
      <c r="AL261" s="117"/>
      <c r="AM261" s="118"/>
      <c r="AN261" s="118"/>
      <c r="AO261" s="118"/>
      <c r="AP261" s="111"/>
      <c r="AQ261" s="117"/>
      <c r="AR261" s="118"/>
      <c r="AS261" s="118"/>
      <c r="AT261" s="120"/>
      <c r="AU261" s="117"/>
      <c r="AV261" s="118"/>
      <c r="AW261" s="118"/>
      <c r="AX261" s="121"/>
      <c r="AY261" s="122">
        <f t="shared" ref="AY261:AZ261" si="1574">RANDBETWEEN(1,10)</f>
        <v>4</v>
      </c>
      <c r="AZ261" s="122">
        <f t="shared" si="1574"/>
        <v>2</v>
      </c>
      <c r="BA261" s="118">
        <v>2.0</v>
      </c>
      <c r="BB261" s="118">
        <v>0.0</v>
      </c>
      <c r="BC261" s="123">
        <v>1.0</v>
      </c>
      <c r="BD261" s="123">
        <v>2.0</v>
      </c>
      <c r="BE261" s="118" t="s">
        <v>157</v>
      </c>
      <c r="BF261" s="118"/>
    </row>
    <row r="262" ht="15.75" customHeight="1">
      <c r="A262" s="67">
        <f t="shared" si="1537"/>
        <v>46263</v>
      </c>
      <c r="B262" s="124" t="s">
        <v>21</v>
      </c>
      <c r="C262" s="155">
        <f t="shared" si="1538"/>
        <v>3</v>
      </c>
      <c r="D262" s="125">
        <f t="shared" ref="D262:L262" si="1575">RANDBETWEEN(0,2)</f>
        <v>2</v>
      </c>
      <c r="E262" s="125">
        <f t="shared" si="1575"/>
        <v>1</v>
      </c>
      <c r="F262" s="125">
        <f t="shared" si="1575"/>
        <v>1</v>
      </c>
      <c r="G262" s="125">
        <f t="shared" si="1575"/>
        <v>2</v>
      </c>
      <c r="H262" s="126">
        <f t="shared" si="1575"/>
        <v>0</v>
      </c>
      <c r="I262" s="127">
        <f t="shared" si="1575"/>
        <v>2</v>
      </c>
      <c r="J262" s="128">
        <f t="shared" si="1575"/>
        <v>2</v>
      </c>
      <c r="K262" s="130">
        <f t="shared" si="1575"/>
        <v>0</v>
      </c>
      <c r="L262" s="130">
        <f t="shared" si="1575"/>
        <v>1</v>
      </c>
      <c r="M262" s="102">
        <f t="shared" si="1540"/>
        <v>37</v>
      </c>
      <c r="N262" s="125">
        <f t="shared" ref="N262:T262" si="1576">RANDBETWEEN(0,10)</f>
        <v>8</v>
      </c>
      <c r="O262" s="125">
        <f t="shared" si="1576"/>
        <v>6</v>
      </c>
      <c r="P262" s="125">
        <f t="shared" si="1576"/>
        <v>1</v>
      </c>
      <c r="Q262" s="125">
        <f t="shared" si="1576"/>
        <v>3</v>
      </c>
      <c r="R262" s="125">
        <f t="shared" si="1576"/>
        <v>1</v>
      </c>
      <c r="S262" s="125">
        <f t="shared" si="1576"/>
        <v>10</v>
      </c>
      <c r="T262" s="125">
        <f t="shared" si="1576"/>
        <v>8</v>
      </c>
      <c r="U262" s="103">
        <f t="shared" ref="U262:U266" si="1584">RANDBETWEEN(10,30)</f>
        <v>19</v>
      </c>
      <c r="V262" s="104">
        <f t="shared" si="1577"/>
        <v>2</v>
      </c>
      <c r="W262" s="125">
        <f t="shared" ref="W262:Y262" si="1578">RANDBETWEEN(0,2)</f>
        <v>1</v>
      </c>
      <c r="X262" s="125">
        <f t="shared" si="1578"/>
        <v>0</v>
      </c>
      <c r="Y262" s="125">
        <f t="shared" si="1578"/>
        <v>1</v>
      </c>
      <c r="Z262" s="105">
        <f t="shared" ref="Z262:Z279" si="1586">AA262+AB262</f>
        <v>3</v>
      </c>
      <c r="AA262" s="133">
        <f t="shared" ref="AA262:AF262" si="1579">RANDBETWEEN(0,2)</f>
        <v>1</v>
      </c>
      <c r="AB262" s="133">
        <f t="shared" si="1579"/>
        <v>2</v>
      </c>
      <c r="AC262" s="136">
        <f t="shared" si="1579"/>
        <v>2</v>
      </c>
      <c r="AD262" s="134">
        <f t="shared" si="1579"/>
        <v>2</v>
      </c>
      <c r="AE262" s="134">
        <f t="shared" si="1579"/>
        <v>1</v>
      </c>
      <c r="AF262" s="134">
        <f t="shared" si="1579"/>
        <v>1</v>
      </c>
      <c r="AG262" s="156">
        <f t="shared" si="1547"/>
        <v>6</v>
      </c>
      <c r="AH262" s="136">
        <f t="shared" ref="AH262:AJ262" si="1580">RANDBETWEEN(1,10)</f>
        <v>5</v>
      </c>
      <c r="AI262" s="134">
        <f t="shared" si="1580"/>
        <v>1</v>
      </c>
      <c r="AJ262" s="134">
        <f t="shared" si="1580"/>
        <v>7</v>
      </c>
      <c r="AK262" s="137">
        <f t="shared" si="1549"/>
        <v>13</v>
      </c>
      <c r="AL262" s="136"/>
      <c r="AM262" s="134"/>
      <c r="AN262" s="134"/>
      <c r="AO262" s="134"/>
      <c r="AP262" s="111"/>
      <c r="AQ262" s="136"/>
      <c r="AR262" s="134"/>
      <c r="AS262" s="134"/>
      <c r="AT262" s="120"/>
      <c r="AU262" s="136"/>
      <c r="AV262" s="134"/>
      <c r="AW262" s="134"/>
      <c r="AX262" s="121"/>
      <c r="AY262" s="92">
        <f t="shared" ref="AY262:AZ262" si="1581">RANDBETWEEN(1,10)/10</f>
        <v>0.6</v>
      </c>
      <c r="AZ262" s="92">
        <f t="shared" si="1581"/>
        <v>0.7</v>
      </c>
      <c r="BA262" s="93">
        <v>1.0</v>
      </c>
      <c r="BB262" s="93">
        <v>0.0</v>
      </c>
      <c r="BC262" s="94">
        <f>SUM(BC234,'ГОЧ'!$AY262)</f>
        <v>1206.2</v>
      </c>
      <c r="BD262" s="94">
        <f>SUM(BD234,'ГОЧ'!$AZ262)</f>
        <v>1204.9</v>
      </c>
      <c r="BE262" s="108" t="s">
        <v>162</v>
      </c>
      <c r="BF262" s="108"/>
    </row>
    <row r="263" ht="15.75" customHeight="1">
      <c r="A263" s="67">
        <f t="shared" si="1537"/>
        <v>46263</v>
      </c>
      <c r="B263" s="138" t="s">
        <v>23</v>
      </c>
      <c r="C263" s="157">
        <f t="shared" si="1538"/>
        <v>1</v>
      </c>
      <c r="D263" s="97">
        <f t="shared" ref="D263:L263" si="1582">RANDBETWEEN(0,2)</f>
        <v>1</v>
      </c>
      <c r="E263" s="97">
        <f t="shared" si="1582"/>
        <v>1</v>
      </c>
      <c r="F263" s="97">
        <f t="shared" si="1582"/>
        <v>0</v>
      </c>
      <c r="G263" s="97">
        <f t="shared" si="1582"/>
        <v>0</v>
      </c>
      <c r="H263" s="98">
        <f t="shared" si="1582"/>
        <v>0</v>
      </c>
      <c r="I263" s="99">
        <f t="shared" si="1582"/>
        <v>0</v>
      </c>
      <c r="J263" s="100">
        <f t="shared" si="1582"/>
        <v>1</v>
      </c>
      <c r="K263" s="101">
        <f t="shared" si="1582"/>
        <v>2</v>
      </c>
      <c r="L263" s="101">
        <f t="shared" si="1582"/>
        <v>2</v>
      </c>
      <c r="M263" s="140">
        <f t="shared" si="1540"/>
        <v>56</v>
      </c>
      <c r="N263" s="97">
        <f t="shared" ref="N263:T263" si="1583">RANDBETWEEN(0,10)</f>
        <v>10</v>
      </c>
      <c r="O263" s="97">
        <f t="shared" si="1583"/>
        <v>7</v>
      </c>
      <c r="P263" s="97">
        <f t="shared" si="1583"/>
        <v>10</v>
      </c>
      <c r="Q263" s="97">
        <f t="shared" si="1583"/>
        <v>10</v>
      </c>
      <c r="R263" s="97">
        <f t="shared" si="1583"/>
        <v>6</v>
      </c>
      <c r="S263" s="97">
        <f t="shared" si="1583"/>
        <v>9</v>
      </c>
      <c r="T263" s="97">
        <f t="shared" si="1583"/>
        <v>4</v>
      </c>
      <c r="U263" s="103">
        <f t="shared" si="1584"/>
        <v>20</v>
      </c>
      <c r="V263" s="158">
        <f t="shared" si="1577"/>
        <v>4</v>
      </c>
      <c r="W263" s="97">
        <f t="shared" ref="W263:Y263" si="1585">RANDBETWEEN(0,2)</f>
        <v>2</v>
      </c>
      <c r="X263" s="97">
        <f t="shared" si="1585"/>
        <v>2</v>
      </c>
      <c r="Y263" s="97">
        <f t="shared" si="1585"/>
        <v>0</v>
      </c>
      <c r="Z263" s="159">
        <f t="shared" si="1586"/>
        <v>3</v>
      </c>
      <c r="AA263" s="143">
        <f t="shared" ref="AA263:AF263" si="1587">RANDBETWEEN(0,2)</f>
        <v>1</v>
      </c>
      <c r="AB263" s="143">
        <f t="shared" si="1587"/>
        <v>2</v>
      </c>
      <c r="AC263" s="144">
        <f t="shared" si="1587"/>
        <v>0</v>
      </c>
      <c r="AD263" s="145">
        <f t="shared" si="1587"/>
        <v>1</v>
      </c>
      <c r="AE263" s="145">
        <f t="shared" si="1587"/>
        <v>1</v>
      </c>
      <c r="AF263" s="145">
        <f t="shared" si="1587"/>
        <v>1</v>
      </c>
      <c r="AG263" s="160">
        <f t="shared" si="1547"/>
        <v>3</v>
      </c>
      <c r="AH263" s="144">
        <f t="shared" ref="AH263:AJ263" si="1588">RANDBETWEEN(1,10)</f>
        <v>6</v>
      </c>
      <c r="AI263" s="145">
        <f t="shared" si="1588"/>
        <v>2</v>
      </c>
      <c r="AJ263" s="145">
        <f t="shared" si="1588"/>
        <v>7</v>
      </c>
      <c r="AK263" s="147">
        <f t="shared" si="1549"/>
        <v>15</v>
      </c>
      <c r="AL263" s="144"/>
      <c r="AM263" s="145"/>
      <c r="AN263" s="145"/>
      <c r="AO263" s="145"/>
      <c r="AP263" s="148"/>
      <c r="AQ263" s="144"/>
      <c r="AR263" s="145"/>
      <c r="AS263" s="145"/>
      <c r="AT263" s="149"/>
      <c r="AU263" s="144"/>
      <c r="AV263" s="145"/>
      <c r="AW263" s="145"/>
      <c r="AX263" s="150"/>
      <c r="AY263" s="92">
        <f t="shared" ref="AY263:AZ263" si="1589">RANDBETWEEN(1,10)/10</f>
        <v>0.5</v>
      </c>
      <c r="AZ263" s="92">
        <f t="shared" si="1589"/>
        <v>0.9</v>
      </c>
      <c r="BA263" s="93">
        <v>1.0</v>
      </c>
      <c r="BB263" s="93">
        <v>2.0</v>
      </c>
      <c r="BC263" s="94">
        <f>SUM(BC235,'ГОЧ'!$AY263)</f>
        <v>1206.1</v>
      </c>
      <c r="BD263" s="94">
        <f>SUM(BD235,'ГОЧ'!$AZ263)</f>
        <v>1205.4</v>
      </c>
      <c r="BE263" s="108" t="s">
        <v>165</v>
      </c>
      <c r="BF263" s="108" t="s">
        <v>166</v>
      </c>
    </row>
    <row r="264" ht="15.75" customHeight="1">
      <c r="A264" s="67">
        <f t="shared" si="1537"/>
        <v>46263</v>
      </c>
      <c r="B264" s="138" t="s">
        <v>25</v>
      </c>
      <c r="C264" s="157">
        <f t="shared" si="1538"/>
        <v>3</v>
      </c>
      <c r="D264" s="97">
        <f t="shared" ref="D264:L264" si="1590">RANDBETWEEN(0,2)</f>
        <v>1</v>
      </c>
      <c r="E264" s="97">
        <f t="shared" si="1590"/>
        <v>0</v>
      </c>
      <c r="F264" s="97">
        <f t="shared" si="1590"/>
        <v>2</v>
      </c>
      <c r="G264" s="97">
        <f t="shared" si="1590"/>
        <v>0</v>
      </c>
      <c r="H264" s="98">
        <f t="shared" si="1590"/>
        <v>1</v>
      </c>
      <c r="I264" s="99">
        <f t="shared" si="1590"/>
        <v>1</v>
      </c>
      <c r="J264" s="100">
        <f t="shared" si="1590"/>
        <v>0</v>
      </c>
      <c r="K264" s="101">
        <f t="shared" si="1590"/>
        <v>1</v>
      </c>
      <c r="L264" s="101">
        <f t="shared" si="1590"/>
        <v>0</v>
      </c>
      <c r="M264" s="140">
        <f t="shared" si="1540"/>
        <v>24</v>
      </c>
      <c r="N264" s="97">
        <f t="shared" ref="N264:T264" si="1591">RANDBETWEEN(0,10)</f>
        <v>2</v>
      </c>
      <c r="O264" s="97">
        <f t="shared" si="1591"/>
        <v>6</v>
      </c>
      <c r="P264" s="97">
        <f t="shared" si="1591"/>
        <v>9</v>
      </c>
      <c r="Q264" s="97">
        <f t="shared" si="1591"/>
        <v>2</v>
      </c>
      <c r="R264" s="97">
        <f t="shared" si="1591"/>
        <v>4</v>
      </c>
      <c r="S264" s="97">
        <f t="shared" si="1591"/>
        <v>0</v>
      </c>
      <c r="T264" s="97">
        <f t="shared" si="1591"/>
        <v>1</v>
      </c>
      <c r="U264" s="103">
        <f t="shared" si="1584"/>
        <v>25</v>
      </c>
      <c r="V264" s="158">
        <f t="shared" si="1577"/>
        <v>2</v>
      </c>
      <c r="W264" s="97">
        <f t="shared" ref="W264:Y264" si="1592">RANDBETWEEN(0,2)</f>
        <v>2</v>
      </c>
      <c r="X264" s="97">
        <f t="shared" si="1592"/>
        <v>0</v>
      </c>
      <c r="Y264" s="97">
        <f t="shared" si="1592"/>
        <v>0</v>
      </c>
      <c r="Z264" s="159">
        <f t="shared" si="1586"/>
        <v>1</v>
      </c>
      <c r="AA264" s="106">
        <f t="shared" ref="AA264:AF264" si="1593">RANDBETWEEN(0,2)</f>
        <v>0</v>
      </c>
      <c r="AB264" s="106">
        <f t="shared" si="1593"/>
        <v>1</v>
      </c>
      <c r="AC264" s="107">
        <f t="shared" si="1593"/>
        <v>1</v>
      </c>
      <c r="AD264" s="108">
        <f t="shared" si="1593"/>
        <v>1</v>
      </c>
      <c r="AE264" s="108">
        <f t="shared" si="1593"/>
        <v>0</v>
      </c>
      <c r="AF264" s="108">
        <f t="shared" si="1593"/>
        <v>2</v>
      </c>
      <c r="AG264" s="160">
        <f t="shared" si="1547"/>
        <v>4</v>
      </c>
      <c r="AH264" s="107">
        <f t="shared" ref="AH264:AJ264" si="1594">RANDBETWEEN(1,10)</f>
        <v>6</v>
      </c>
      <c r="AI264" s="108">
        <f t="shared" si="1594"/>
        <v>8</v>
      </c>
      <c r="AJ264" s="108">
        <f t="shared" si="1594"/>
        <v>3</v>
      </c>
      <c r="AK264" s="147">
        <f t="shared" si="1549"/>
        <v>17</v>
      </c>
      <c r="AL264" s="107"/>
      <c r="AM264" s="108"/>
      <c r="AN264" s="108"/>
      <c r="AO264" s="108"/>
      <c r="AP264" s="148"/>
      <c r="AQ264" s="107"/>
      <c r="AR264" s="108"/>
      <c r="AS264" s="108"/>
      <c r="AT264" s="149"/>
      <c r="AU264" s="107"/>
      <c r="AV264" s="108"/>
      <c r="AW264" s="108"/>
      <c r="AX264" s="150"/>
      <c r="AY264" s="92">
        <f t="shared" ref="AY264:AZ264" si="1595">RANDBETWEEN(1,10)/10</f>
        <v>0.9</v>
      </c>
      <c r="AZ264" s="92">
        <f t="shared" si="1595"/>
        <v>0.8</v>
      </c>
      <c r="BA264" s="93">
        <v>0.0</v>
      </c>
      <c r="BB264" s="93">
        <v>0.0</v>
      </c>
      <c r="BC264" s="94">
        <f>SUM(BC236,'ГОЧ'!$AY264)</f>
        <v>1205.5</v>
      </c>
      <c r="BD264" s="94">
        <f>SUM(BD236,'ГОЧ'!$AZ264)</f>
        <v>1204.6</v>
      </c>
      <c r="BE264" s="108"/>
      <c r="BF264" s="108"/>
    </row>
    <row r="265" ht="15.75" customHeight="1">
      <c r="A265" s="67">
        <f t="shared" si="1537"/>
        <v>46263</v>
      </c>
      <c r="B265" s="138" t="s">
        <v>26</v>
      </c>
      <c r="C265" s="157">
        <f t="shared" si="1538"/>
        <v>3</v>
      </c>
      <c r="D265" s="97">
        <f t="shared" ref="D265:L265" si="1596">RANDBETWEEN(0,2)</f>
        <v>1</v>
      </c>
      <c r="E265" s="97">
        <f t="shared" si="1596"/>
        <v>1</v>
      </c>
      <c r="F265" s="97">
        <f t="shared" si="1596"/>
        <v>2</v>
      </c>
      <c r="G265" s="97">
        <f t="shared" si="1596"/>
        <v>1</v>
      </c>
      <c r="H265" s="98">
        <f t="shared" si="1596"/>
        <v>1</v>
      </c>
      <c r="I265" s="99">
        <f t="shared" si="1596"/>
        <v>2</v>
      </c>
      <c r="J265" s="100">
        <f t="shared" si="1596"/>
        <v>1</v>
      </c>
      <c r="K265" s="101">
        <f t="shared" si="1596"/>
        <v>0</v>
      </c>
      <c r="L265" s="101">
        <f t="shared" si="1596"/>
        <v>2</v>
      </c>
      <c r="M265" s="140">
        <f t="shared" si="1540"/>
        <v>30</v>
      </c>
      <c r="N265" s="97">
        <f t="shared" ref="N265:T265" si="1597">RANDBETWEEN(0,10)</f>
        <v>0</v>
      </c>
      <c r="O265" s="97">
        <f t="shared" si="1597"/>
        <v>5</v>
      </c>
      <c r="P265" s="97">
        <f t="shared" si="1597"/>
        <v>5</v>
      </c>
      <c r="Q265" s="97">
        <f t="shared" si="1597"/>
        <v>3</v>
      </c>
      <c r="R265" s="97">
        <f t="shared" si="1597"/>
        <v>10</v>
      </c>
      <c r="S265" s="97">
        <f t="shared" si="1597"/>
        <v>4</v>
      </c>
      <c r="T265" s="97">
        <f t="shared" si="1597"/>
        <v>3</v>
      </c>
      <c r="U265" s="103">
        <f t="shared" si="1584"/>
        <v>30</v>
      </c>
      <c r="V265" s="158">
        <f t="shared" si="1577"/>
        <v>2</v>
      </c>
      <c r="W265" s="97">
        <f t="shared" ref="W265:Y265" si="1598">RANDBETWEEN(0,2)</f>
        <v>0</v>
      </c>
      <c r="X265" s="97">
        <f t="shared" si="1598"/>
        <v>2</v>
      </c>
      <c r="Y265" s="97">
        <f t="shared" si="1598"/>
        <v>0</v>
      </c>
      <c r="Z265" s="159">
        <f t="shared" si="1586"/>
        <v>2</v>
      </c>
      <c r="AA265" s="143">
        <f t="shared" ref="AA265:AF265" si="1599">RANDBETWEEN(0,2)</f>
        <v>0</v>
      </c>
      <c r="AB265" s="143">
        <f t="shared" si="1599"/>
        <v>2</v>
      </c>
      <c r="AC265" s="144">
        <f t="shared" si="1599"/>
        <v>1</v>
      </c>
      <c r="AD265" s="145">
        <f t="shared" si="1599"/>
        <v>0</v>
      </c>
      <c r="AE265" s="145">
        <f t="shared" si="1599"/>
        <v>0</v>
      </c>
      <c r="AF265" s="145">
        <f t="shared" si="1599"/>
        <v>1</v>
      </c>
      <c r="AG265" s="160">
        <f t="shared" si="1547"/>
        <v>2</v>
      </c>
      <c r="AH265" s="144">
        <f t="shared" ref="AH265:AJ265" si="1600">RANDBETWEEN(1,10)</f>
        <v>1</v>
      </c>
      <c r="AI265" s="145">
        <f t="shared" si="1600"/>
        <v>4</v>
      </c>
      <c r="AJ265" s="145">
        <f t="shared" si="1600"/>
        <v>2</v>
      </c>
      <c r="AK265" s="147">
        <f t="shared" si="1549"/>
        <v>7</v>
      </c>
      <c r="AL265" s="144"/>
      <c r="AM265" s="145"/>
      <c r="AN265" s="145"/>
      <c r="AO265" s="145"/>
      <c r="AP265" s="148"/>
      <c r="AQ265" s="144"/>
      <c r="AR265" s="145"/>
      <c r="AS265" s="145"/>
      <c r="AT265" s="149"/>
      <c r="AU265" s="144"/>
      <c r="AV265" s="145"/>
      <c r="AW265" s="145"/>
      <c r="AX265" s="150"/>
      <c r="AY265" s="92">
        <f t="shared" ref="AY265:AZ265" si="1601">RANDBETWEEN(1,10)/10</f>
        <v>0.3</v>
      </c>
      <c r="AZ265" s="92">
        <f t="shared" si="1601"/>
        <v>0.5</v>
      </c>
      <c r="BA265" s="93">
        <v>1.0</v>
      </c>
      <c r="BB265" s="93">
        <v>0.0</v>
      </c>
      <c r="BC265" s="94">
        <f>SUM(BC237,'ГОЧ'!$AY265)</f>
        <v>1204.8</v>
      </c>
      <c r="BD265" s="94">
        <f>SUM(BD237,'ГОЧ'!$AZ265)</f>
        <v>1205.4</v>
      </c>
      <c r="BE265" s="108" t="s">
        <v>167</v>
      </c>
      <c r="BF265" s="108"/>
    </row>
    <row r="266" ht="15.75" customHeight="1">
      <c r="A266" s="67">
        <f t="shared" si="1537"/>
        <v>46263</v>
      </c>
      <c r="B266" s="138" t="s">
        <v>28</v>
      </c>
      <c r="C266" s="157">
        <f t="shared" si="1538"/>
        <v>1</v>
      </c>
      <c r="D266" s="97">
        <f t="shared" ref="D266:L266" si="1602">RANDBETWEEN(0,2)</f>
        <v>1</v>
      </c>
      <c r="E266" s="97">
        <f t="shared" si="1602"/>
        <v>0</v>
      </c>
      <c r="F266" s="97">
        <f t="shared" si="1602"/>
        <v>0</v>
      </c>
      <c r="G266" s="97">
        <f t="shared" si="1602"/>
        <v>2</v>
      </c>
      <c r="H266" s="98">
        <f t="shared" si="1602"/>
        <v>1</v>
      </c>
      <c r="I266" s="99">
        <f t="shared" si="1602"/>
        <v>2</v>
      </c>
      <c r="J266" s="100">
        <f t="shared" si="1602"/>
        <v>1</v>
      </c>
      <c r="K266" s="101">
        <f t="shared" si="1602"/>
        <v>0</v>
      </c>
      <c r="L266" s="101">
        <f t="shared" si="1602"/>
        <v>0</v>
      </c>
      <c r="M266" s="140">
        <f t="shared" si="1540"/>
        <v>39</v>
      </c>
      <c r="N266" s="97">
        <f t="shared" ref="N266:T266" si="1603">RANDBETWEEN(0,10)</f>
        <v>6</v>
      </c>
      <c r="O266" s="97">
        <f t="shared" si="1603"/>
        <v>0</v>
      </c>
      <c r="P266" s="97">
        <f t="shared" si="1603"/>
        <v>8</v>
      </c>
      <c r="Q266" s="97">
        <f t="shared" si="1603"/>
        <v>9</v>
      </c>
      <c r="R266" s="97">
        <f t="shared" si="1603"/>
        <v>0</v>
      </c>
      <c r="S266" s="97">
        <f t="shared" si="1603"/>
        <v>8</v>
      </c>
      <c r="T266" s="97">
        <f t="shared" si="1603"/>
        <v>8</v>
      </c>
      <c r="U266" s="103">
        <f t="shared" si="1584"/>
        <v>11</v>
      </c>
      <c r="V266" s="158">
        <f t="shared" si="1577"/>
        <v>4</v>
      </c>
      <c r="W266" s="97">
        <f t="shared" ref="W266:Y266" si="1604">RANDBETWEEN(0,2)</f>
        <v>1</v>
      </c>
      <c r="X266" s="97">
        <f t="shared" si="1604"/>
        <v>2</v>
      </c>
      <c r="Y266" s="97">
        <f t="shared" si="1604"/>
        <v>1</v>
      </c>
      <c r="Z266" s="159">
        <f t="shared" si="1586"/>
        <v>3</v>
      </c>
      <c r="AA266" s="106">
        <f t="shared" ref="AA266:AF266" si="1605">RANDBETWEEN(0,2)</f>
        <v>2</v>
      </c>
      <c r="AB266" s="106">
        <f t="shared" si="1605"/>
        <v>1</v>
      </c>
      <c r="AC266" s="107">
        <f t="shared" si="1605"/>
        <v>2</v>
      </c>
      <c r="AD266" s="108">
        <f t="shared" si="1605"/>
        <v>0</v>
      </c>
      <c r="AE266" s="108">
        <f t="shared" si="1605"/>
        <v>0</v>
      </c>
      <c r="AF266" s="108">
        <f t="shared" si="1605"/>
        <v>0</v>
      </c>
      <c r="AG266" s="160">
        <f t="shared" si="1547"/>
        <v>2</v>
      </c>
      <c r="AH266" s="107">
        <f t="shared" ref="AH266:AJ266" si="1606">RANDBETWEEN(1,10)</f>
        <v>6</v>
      </c>
      <c r="AI266" s="108">
        <f t="shared" si="1606"/>
        <v>9</v>
      </c>
      <c r="AJ266" s="108">
        <f t="shared" si="1606"/>
        <v>9</v>
      </c>
      <c r="AK266" s="147">
        <f t="shared" si="1549"/>
        <v>24</v>
      </c>
      <c r="AL266" s="107"/>
      <c r="AM266" s="108"/>
      <c r="AN266" s="108"/>
      <c r="AO266" s="108"/>
      <c r="AP266" s="148"/>
      <c r="AQ266" s="107"/>
      <c r="AR266" s="108"/>
      <c r="AS266" s="108"/>
      <c r="AT266" s="149"/>
      <c r="AU266" s="107"/>
      <c r="AV266" s="108"/>
      <c r="AW266" s="108"/>
      <c r="AX266" s="150"/>
      <c r="AY266" s="92">
        <f t="shared" ref="AY266:AZ266" si="1607">RANDBETWEEN(1,10)/10</f>
        <v>0.8</v>
      </c>
      <c r="AZ266" s="92">
        <f t="shared" si="1607"/>
        <v>0.7</v>
      </c>
      <c r="BA266" s="93">
        <v>0.0</v>
      </c>
      <c r="BB266" s="93">
        <v>1.0</v>
      </c>
      <c r="BC266" s="94">
        <f>SUM(BC238,'ГОЧ'!$AY266)</f>
        <v>1205.8</v>
      </c>
      <c r="BD266" s="94">
        <f>SUM(BD238,'ГОЧ'!$AZ266)</f>
        <v>1205.3</v>
      </c>
      <c r="BE266" s="108"/>
      <c r="BF266" s="108" t="s">
        <v>168</v>
      </c>
    </row>
    <row r="267" ht="15.75" customHeight="1">
      <c r="A267" s="67">
        <f t="shared" si="1537"/>
        <v>46263</v>
      </c>
      <c r="B267" s="114" t="s">
        <v>29</v>
      </c>
      <c r="C267" s="164">
        <f t="shared" si="1538"/>
        <v>11</v>
      </c>
      <c r="D267" s="165">
        <f t="shared" ref="D267:L267" si="1608">D262+D263+D264+D265+D266</f>
        <v>6</v>
      </c>
      <c r="E267" s="165">
        <f t="shared" si="1608"/>
        <v>3</v>
      </c>
      <c r="F267" s="165">
        <f t="shared" si="1608"/>
        <v>5</v>
      </c>
      <c r="G267" s="165">
        <f t="shared" si="1608"/>
        <v>5</v>
      </c>
      <c r="H267" s="164">
        <f t="shared" si="1608"/>
        <v>3</v>
      </c>
      <c r="I267" s="165">
        <f t="shared" si="1608"/>
        <v>7</v>
      </c>
      <c r="J267" s="164">
        <f t="shared" si="1608"/>
        <v>5</v>
      </c>
      <c r="K267" s="165">
        <f t="shared" si="1608"/>
        <v>3</v>
      </c>
      <c r="L267" s="165">
        <f t="shared" si="1608"/>
        <v>5</v>
      </c>
      <c r="M267" s="164">
        <f t="shared" si="1540"/>
        <v>186</v>
      </c>
      <c r="N267" s="164">
        <f t="shared" ref="N267:U267" si="1609">N262+N263+N264+N265+N266</f>
        <v>26</v>
      </c>
      <c r="O267" s="165">
        <f t="shared" si="1609"/>
        <v>24</v>
      </c>
      <c r="P267" s="165">
        <f t="shared" si="1609"/>
        <v>33</v>
      </c>
      <c r="Q267" s="165">
        <f t="shared" si="1609"/>
        <v>27</v>
      </c>
      <c r="R267" s="165">
        <f t="shared" si="1609"/>
        <v>21</v>
      </c>
      <c r="S267" s="165">
        <f t="shared" si="1609"/>
        <v>31</v>
      </c>
      <c r="T267" s="165">
        <f t="shared" si="1609"/>
        <v>24</v>
      </c>
      <c r="U267" s="164">
        <f t="shared" si="1609"/>
        <v>105</v>
      </c>
      <c r="V267" s="164">
        <f t="shared" si="1577"/>
        <v>14</v>
      </c>
      <c r="W267" s="165">
        <f t="shared" ref="W267:Y267" si="1610">W262+W263+W264+W265+W266</f>
        <v>6</v>
      </c>
      <c r="X267" s="165">
        <f t="shared" si="1610"/>
        <v>6</v>
      </c>
      <c r="Y267" s="165">
        <f t="shared" si="1610"/>
        <v>2</v>
      </c>
      <c r="Z267" s="165">
        <f t="shared" si="1586"/>
        <v>12</v>
      </c>
      <c r="AA267" s="165">
        <f t="shared" ref="AA267:AC267" si="1611">AA262+AA263+AA264+AA265+AA266</f>
        <v>4</v>
      </c>
      <c r="AB267" s="165">
        <f t="shared" si="1611"/>
        <v>8</v>
      </c>
      <c r="AC267" s="166">
        <f t="shared" si="1611"/>
        <v>6</v>
      </c>
      <c r="AD267" s="167">
        <f>AE262+AD263+AD264+AD265+AD266</f>
        <v>3</v>
      </c>
      <c r="AE267" s="167">
        <f t="shared" ref="AE267:AF267" si="1612">AE262+AE263+AE264+AE265+AE266</f>
        <v>2</v>
      </c>
      <c r="AF267" s="167">
        <f t="shared" si="1612"/>
        <v>5</v>
      </c>
      <c r="AG267" s="168">
        <f t="shared" si="1547"/>
        <v>16</v>
      </c>
      <c r="AH267" s="166">
        <f t="shared" ref="AH267:AJ267" si="1613">AH262+AH263+AH264+AH265+AH266</f>
        <v>24</v>
      </c>
      <c r="AI267" s="166">
        <f t="shared" si="1613"/>
        <v>24</v>
      </c>
      <c r="AJ267" s="166">
        <f t="shared" si="1613"/>
        <v>28</v>
      </c>
      <c r="AK267" s="168">
        <f t="shared" si="1549"/>
        <v>76</v>
      </c>
      <c r="AL267" s="166"/>
      <c r="AM267" s="167"/>
      <c r="AN267" s="167"/>
      <c r="AO267" s="167"/>
      <c r="AP267" s="169"/>
      <c r="AQ267" s="166"/>
      <c r="AR267" s="166"/>
      <c r="AS267" s="166"/>
      <c r="AT267" s="170"/>
      <c r="AU267" s="166"/>
      <c r="AV267" s="166"/>
      <c r="AW267" s="166"/>
      <c r="AX267" s="171"/>
      <c r="AY267" s="172">
        <f t="shared" ref="AY267:BD267" si="1614">AY262+AY263+AY264+AY265+AY266</f>
        <v>3.1</v>
      </c>
      <c r="AZ267" s="172">
        <f t="shared" si="1614"/>
        <v>3.6</v>
      </c>
      <c r="BA267" s="166">
        <f t="shared" si="1614"/>
        <v>3</v>
      </c>
      <c r="BB267" s="166">
        <f t="shared" si="1614"/>
        <v>3</v>
      </c>
      <c r="BC267" s="173">
        <f t="shared" si="1614"/>
        <v>6028.4</v>
      </c>
      <c r="BD267" s="173">
        <f t="shared" si="1614"/>
        <v>6025.6</v>
      </c>
      <c r="BE267" s="154" t="str">
        <f t="shared" ref="BE267:BF267" si="1615">TEXTJOIN(", ",TRUE,BE262:BE266)</f>
        <v>Олександівка, Пантелеймонівка, Миколаївка</v>
      </c>
      <c r="BF267" s="154" t="str">
        <f t="shared" si="1615"/>
        <v>Загреблі, Верхні води, Ступочки</v>
      </c>
    </row>
    <row r="268" ht="15.75" customHeight="1">
      <c r="A268" s="67">
        <f t="shared" si="1537"/>
        <v>46263</v>
      </c>
      <c r="B268" s="124" t="s">
        <v>31</v>
      </c>
      <c r="C268" s="174">
        <f t="shared" si="1538"/>
        <v>2</v>
      </c>
      <c r="D268" s="175">
        <f t="shared" ref="D268:L268" si="1616">RANDBETWEEN(0,2)</f>
        <v>1</v>
      </c>
      <c r="E268" s="175">
        <f t="shared" si="1616"/>
        <v>0</v>
      </c>
      <c r="F268" s="175">
        <f t="shared" si="1616"/>
        <v>1</v>
      </c>
      <c r="G268" s="175">
        <f t="shared" si="1616"/>
        <v>2</v>
      </c>
      <c r="H268" s="176">
        <f t="shared" si="1616"/>
        <v>0</v>
      </c>
      <c r="I268" s="177">
        <f t="shared" si="1616"/>
        <v>2</v>
      </c>
      <c r="J268" s="178">
        <f t="shared" si="1616"/>
        <v>1</v>
      </c>
      <c r="K268" s="179">
        <f t="shared" si="1616"/>
        <v>1</v>
      </c>
      <c r="L268" s="179">
        <f t="shared" si="1616"/>
        <v>0</v>
      </c>
      <c r="M268" s="180">
        <f t="shared" si="1540"/>
        <v>50</v>
      </c>
      <c r="N268" s="175">
        <f t="shared" ref="N268:T268" si="1617">RANDBETWEEN(0,10)</f>
        <v>9</v>
      </c>
      <c r="O268" s="175">
        <f t="shared" si="1617"/>
        <v>10</v>
      </c>
      <c r="P268" s="175">
        <f t="shared" si="1617"/>
        <v>4</v>
      </c>
      <c r="Q268" s="175">
        <f t="shared" si="1617"/>
        <v>4</v>
      </c>
      <c r="R268" s="175">
        <f t="shared" si="1617"/>
        <v>10</v>
      </c>
      <c r="S268" s="175">
        <f t="shared" si="1617"/>
        <v>6</v>
      </c>
      <c r="T268" s="175">
        <f t="shared" si="1617"/>
        <v>7</v>
      </c>
      <c r="U268" s="181">
        <f t="shared" ref="U268:U273" si="1624">RANDBETWEEN(10,30)</f>
        <v>21</v>
      </c>
      <c r="V268" s="182">
        <f t="shared" si="1577"/>
        <v>3</v>
      </c>
      <c r="W268" s="175">
        <f t="shared" ref="W268:Y268" si="1618">RANDBETWEEN(0,2)</f>
        <v>2</v>
      </c>
      <c r="X268" s="175">
        <f t="shared" si="1618"/>
        <v>0</v>
      </c>
      <c r="Y268" s="175">
        <f t="shared" si="1618"/>
        <v>1</v>
      </c>
      <c r="Z268" s="183">
        <f t="shared" si="1586"/>
        <v>2</v>
      </c>
      <c r="AA268" s="184">
        <f t="shared" ref="AA268:AF268" si="1619">RANDBETWEEN(0,2)</f>
        <v>0</v>
      </c>
      <c r="AB268" s="184">
        <f t="shared" si="1619"/>
        <v>2</v>
      </c>
      <c r="AC268" s="185">
        <f t="shared" si="1619"/>
        <v>1</v>
      </c>
      <c r="AD268" s="186">
        <f t="shared" si="1619"/>
        <v>2</v>
      </c>
      <c r="AE268" s="186">
        <f t="shared" si="1619"/>
        <v>2</v>
      </c>
      <c r="AF268" s="186">
        <f t="shared" si="1619"/>
        <v>0</v>
      </c>
      <c r="AG268" s="187">
        <f t="shared" si="1547"/>
        <v>5</v>
      </c>
      <c r="AH268" s="185">
        <f t="shared" ref="AH268:AJ268" si="1620">RANDBETWEEN(1,10)</f>
        <v>3</v>
      </c>
      <c r="AI268" s="186">
        <f t="shared" si="1620"/>
        <v>1</v>
      </c>
      <c r="AJ268" s="186">
        <f t="shared" si="1620"/>
        <v>9</v>
      </c>
      <c r="AK268" s="188">
        <f t="shared" si="1549"/>
        <v>13</v>
      </c>
      <c r="AL268" s="185"/>
      <c r="AM268" s="186"/>
      <c r="AN268" s="186"/>
      <c r="AO268" s="186"/>
      <c r="AP268" s="189"/>
      <c r="AQ268" s="185"/>
      <c r="AR268" s="186"/>
      <c r="AS268" s="186"/>
      <c r="AT268" s="190"/>
      <c r="AU268" s="185"/>
      <c r="AV268" s="186"/>
      <c r="AW268" s="186"/>
      <c r="AX268" s="191"/>
      <c r="AY268" s="92">
        <f t="shared" ref="AY268:AZ268" si="1621">RANDBETWEEN(1,10)/10</f>
        <v>0.5</v>
      </c>
      <c r="AZ268" s="92">
        <f t="shared" si="1621"/>
        <v>0.5</v>
      </c>
      <c r="BA268" s="93">
        <v>0.0</v>
      </c>
      <c r="BB268" s="93">
        <v>0.0</v>
      </c>
      <c r="BC268" s="94">
        <f>SUM(BC240,'ГОЧ'!$AY268)</f>
        <v>1205</v>
      </c>
      <c r="BD268" s="94">
        <f>SUM(BD240,'ГОЧ'!$AZ268)</f>
        <v>1205.9</v>
      </c>
      <c r="BE268" s="186"/>
      <c r="BF268" s="186"/>
    </row>
    <row r="269" ht="15.75" customHeight="1">
      <c r="A269" s="67">
        <f t="shared" si="1537"/>
        <v>46263</v>
      </c>
      <c r="B269" s="138" t="s">
        <v>33</v>
      </c>
      <c r="C269" s="157">
        <f t="shared" si="1538"/>
        <v>0</v>
      </c>
      <c r="D269" s="97">
        <f t="shared" ref="D269:L269" si="1622">RANDBETWEEN(0,2)</f>
        <v>0</v>
      </c>
      <c r="E269" s="97">
        <f t="shared" si="1622"/>
        <v>0</v>
      </c>
      <c r="F269" s="97">
        <f t="shared" si="1622"/>
        <v>0</v>
      </c>
      <c r="G269" s="97">
        <f t="shared" si="1622"/>
        <v>1</v>
      </c>
      <c r="H269" s="98">
        <f t="shared" si="1622"/>
        <v>1</v>
      </c>
      <c r="I269" s="99">
        <f t="shared" si="1622"/>
        <v>1</v>
      </c>
      <c r="J269" s="100">
        <f t="shared" si="1622"/>
        <v>0</v>
      </c>
      <c r="K269" s="101">
        <f t="shared" si="1622"/>
        <v>0</v>
      </c>
      <c r="L269" s="101">
        <f t="shared" si="1622"/>
        <v>1</v>
      </c>
      <c r="M269" s="140">
        <f t="shared" si="1540"/>
        <v>41</v>
      </c>
      <c r="N269" s="97">
        <f t="shared" ref="N269:T269" si="1623">RANDBETWEEN(0,10)</f>
        <v>0</v>
      </c>
      <c r="O269" s="97">
        <f t="shared" si="1623"/>
        <v>6</v>
      </c>
      <c r="P269" s="97">
        <f t="shared" si="1623"/>
        <v>3</v>
      </c>
      <c r="Q269" s="97">
        <f t="shared" si="1623"/>
        <v>9</v>
      </c>
      <c r="R269" s="97">
        <f t="shared" si="1623"/>
        <v>6</v>
      </c>
      <c r="S269" s="97">
        <f t="shared" si="1623"/>
        <v>9</v>
      </c>
      <c r="T269" s="97">
        <f t="shared" si="1623"/>
        <v>8</v>
      </c>
      <c r="U269" s="103">
        <f t="shared" si="1624"/>
        <v>22</v>
      </c>
      <c r="V269" s="158">
        <f t="shared" si="1577"/>
        <v>6</v>
      </c>
      <c r="W269" s="97">
        <f t="shared" ref="W269:Y269" si="1625">RANDBETWEEN(0,2)</f>
        <v>2</v>
      </c>
      <c r="X269" s="97">
        <f t="shared" si="1625"/>
        <v>2</v>
      </c>
      <c r="Y269" s="97">
        <f t="shared" si="1625"/>
        <v>2</v>
      </c>
      <c r="Z269" s="105">
        <f t="shared" si="1586"/>
        <v>2</v>
      </c>
      <c r="AA269" s="143">
        <f t="shared" ref="AA269:AF269" si="1626">RANDBETWEEN(0,2)</f>
        <v>1</v>
      </c>
      <c r="AB269" s="143">
        <f t="shared" si="1626"/>
        <v>1</v>
      </c>
      <c r="AC269" s="144">
        <f t="shared" si="1626"/>
        <v>0</v>
      </c>
      <c r="AD269" s="145">
        <f t="shared" si="1626"/>
        <v>2</v>
      </c>
      <c r="AE269" s="145">
        <f t="shared" si="1626"/>
        <v>2</v>
      </c>
      <c r="AF269" s="145">
        <f t="shared" si="1626"/>
        <v>2</v>
      </c>
      <c r="AG269" s="86">
        <f t="shared" si="1547"/>
        <v>6</v>
      </c>
      <c r="AH269" s="144">
        <f t="shared" ref="AH269:AJ269" si="1627">RANDBETWEEN(1,10)</f>
        <v>3</v>
      </c>
      <c r="AI269" s="145">
        <f t="shared" si="1627"/>
        <v>3</v>
      </c>
      <c r="AJ269" s="145">
        <f t="shared" si="1627"/>
        <v>9</v>
      </c>
      <c r="AK269" s="192">
        <f t="shared" si="1549"/>
        <v>15</v>
      </c>
      <c r="AL269" s="144"/>
      <c r="AM269" s="145"/>
      <c r="AN269" s="145"/>
      <c r="AO269" s="145"/>
      <c r="AP269" s="89"/>
      <c r="AQ269" s="144"/>
      <c r="AR269" s="145"/>
      <c r="AS269" s="145"/>
      <c r="AT269" s="193"/>
      <c r="AU269" s="144"/>
      <c r="AV269" s="145"/>
      <c r="AW269" s="145"/>
      <c r="AX269" s="194"/>
      <c r="AY269" s="92">
        <f t="shared" ref="AY269:AZ269" si="1628">RANDBETWEEN(1,10)/10</f>
        <v>0.4</v>
      </c>
      <c r="AZ269" s="92">
        <f t="shared" si="1628"/>
        <v>0.3</v>
      </c>
      <c r="BA269" s="93">
        <v>0.0</v>
      </c>
      <c r="BB269" s="93">
        <v>0.0</v>
      </c>
      <c r="BC269" s="94">
        <f>SUM(BC241,'ГОЧ'!$AY269)</f>
        <v>1205.4</v>
      </c>
      <c r="BD269" s="94">
        <f>SUM(BD241,'ГОЧ'!$AZ269)</f>
        <v>1204.1</v>
      </c>
      <c r="BE269" s="108"/>
      <c r="BF269" s="108"/>
    </row>
    <row r="270" ht="15.75" customHeight="1">
      <c r="A270" s="67">
        <f t="shared" si="1537"/>
        <v>46263</v>
      </c>
      <c r="B270" s="138" t="s">
        <v>35</v>
      </c>
      <c r="C270" s="157">
        <f t="shared" si="1538"/>
        <v>2</v>
      </c>
      <c r="D270" s="97">
        <f t="shared" ref="D270:L270" si="1629">RANDBETWEEN(0,2)</f>
        <v>2</v>
      </c>
      <c r="E270" s="97">
        <f t="shared" si="1629"/>
        <v>1</v>
      </c>
      <c r="F270" s="97">
        <f t="shared" si="1629"/>
        <v>0</v>
      </c>
      <c r="G270" s="97">
        <f t="shared" si="1629"/>
        <v>2</v>
      </c>
      <c r="H270" s="98">
        <f t="shared" si="1629"/>
        <v>2</v>
      </c>
      <c r="I270" s="99">
        <f t="shared" si="1629"/>
        <v>2</v>
      </c>
      <c r="J270" s="100">
        <f t="shared" si="1629"/>
        <v>1</v>
      </c>
      <c r="K270" s="101">
        <f t="shared" si="1629"/>
        <v>1</v>
      </c>
      <c r="L270" s="101">
        <f t="shared" si="1629"/>
        <v>0</v>
      </c>
      <c r="M270" s="140">
        <f t="shared" si="1540"/>
        <v>33</v>
      </c>
      <c r="N270" s="97">
        <f t="shared" ref="N270:T270" si="1630">RANDBETWEEN(0,10)</f>
        <v>7</v>
      </c>
      <c r="O270" s="97">
        <f t="shared" si="1630"/>
        <v>1</v>
      </c>
      <c r="P270" s="97">
        <f t="shared" si="1630"/>
        <v>8</v>
      </c>
      <c r="Q270" s="97">
        <f t="shared" si="1630"/>
        <v>5</v>
      </c>
      <c r="R270" s="97">
        <f t="shared" si="1630"/>
        <v>3</v>
      </c>
      <c r="S270" s="97">
        <f t="shared" si="1630"/>
        <v>3</v>
      </c>
      <c r="T270" s="97">
        <f t="shared" si="1630"/>
        <v>6</v>
      </c>
      <c r="U270" s="103">
        <f t="shared" si="1624"/>
        <v>21</v>
      </c>
      <c r="V270" s="158">
        <f t="shared" si="1577"/>
        <v>3</v>
      </c>
      <c r="W270" s="97">
        <f t="shared" ref="W270:Y270" si="1631">RANDBETWEEN(0,2)</f>
        <v>2</v>
      </c>
      <c r="X270" s="97">
        <f t="shared" si="1631"/>
        <v>0</v>
      </c>
      <c r="Y270" s="97">
        <f t="shared" si="1631"/>
        <v>1</v>
      </c>
      <c r="Z270" s="105">
        <f t="shared" si="1586"/>
        <v>3</v>
      </c>
      <c r="AA270" s="106">
        <f t="shared" ref="AA270:AF270" si="1632">RANDBETWEEN(0,2)</f>
        <v>1</v>
      </c>
      <c r="AB270" s="106">
        <f t="shared" si="1632"/>
        <v>2</v>
      </c>
      <c r="AC270" s="107">
        <f t="shared" si="1632"/>
        <v>1</v>
      </c>
      <c r="AD270" s="108">
        <f t="shared" si="1632"/>
        <v>2</v>
      </c>
      <c r="AE270" s="108">
        <f t="shared" si="1632"/>
        <v>2</v>
      </c>
      <c r="AF270" s="108">
        <f t="shared" si="1632"/>
        <v>2</v>
      </c>
      <c r="AG270" s="86">
        <f t="shared" si="1547"/>
        <v>7</v>
      </c>
      <c r="AH270" s="107">
        <f t="shared" ref="AH270:AJ270" si="1633">RANDBETWEEN(1,10)</f>
        <v>1</v>
      </c>
      <c r="AI270" s="108">
        <f t="shared" si="1633"/>
        <v>6</v>
      </c>
      <c r="AJ270" s="108">
        <f t="shared" si="1633"/>
        <v>6</v>
      </c>
      <c r="AK270" s="192">
        <f t="shared" si="1549"/>
        <v>13</v>
      </c>
      <c r="AL270" s="107"/>
      <c r="AM270" s="108"/>
      <c r="AN270" s="108"/>
      <c r="AO270" s="108"/>
      <c r="AP270" s="89"/>
      <c r="AQ270" s="107"/>
      <c r="AR270" s="108"/>
      <c r="AS270" s="108"/>
      <c r="AT270" s="193"/>
      <c r="AU270" s="107"/>
      <c r="AV270" s="108"/>
      <c r="AW270" s="108"/>
      <c r="AX270" s="194"/>
      <c r="AY270" s="92">
        <f t="shared" ref="AY270:AZ270" si="1634">RANDBETWEEN(1,10)/10</f>
        <v>0.4</v>
      </c>
      <c r="AZ270" s="92">
        <f t="shared" si="1634"/>
        <v>0.7</v>
      </c>
      <c r="BA270" s="93">
        <v>0.0</v>
      </c>
      <c r="BB270" s="93">
        <v>0.0</v>
      </c>
      <c r="BC270" s="94">
        <f>SUM(BC242,'ГОЧ'!$AY270)</f>
        <v>1205.1</v>
      </c>
      <c r="BD270" s="94">
        <f>SUM(BD242,'ГОЧ'!$AZ270)</f>
        <v>1205.3</v>
      </c>
      <c r="BE270" s="108"/>
      <c r="BF270" s="108"/>
    </row>
    <row r="271" ht="15.75" customHeight="1">
      <c r="A271" s="67">
        <f t="shared" si="1537"/>
        <v>46263</v>
      </c>
      <c r="B271" s="138" t="s">
        <v>36</v>
      </c>
      <c r="C271" s="157">
        <f t="shared" si="1538"/>
        <v>2</v>
      </c>
      <c r="D271" s="97">
        <f t="shared" ref="D271:L271" si="1635">RANDBETWEEN(0,2)</f>
        <v>1</v>
      </c>
      <c r="E271" s="97">
        <f t="shared" si="1635"/>
        <v>0</v>
      </c>
      <c r="F271" s="97">
        <f t="shared" si="1635"/>
        <v>1</v>
      </c>
      <c r="G271" s="97">
        <f t="shared" si="1635"/>
        <v>0</v>
      </c>
      <c r="H271" s="98">
        <f t="shared" si="1635"/>
        <v>1</v>
      </c>
      <c r="I271" s="99">
        <f t="shared" si="1635"/>
        <v>2</v>
      </c>
      <c r="J271" s="100">
        <f t="shared" si="1635"/>
        <v>0</v>
      </c>
      <c r="K271" s="101">
        <f t="shared" si="1635"/>
        <v>2</v>
      </c>
      <c r="L271" s="101">
        <f t="shared" si="1635"/>
        <v>0</v>
      </c>
      <c r="M271" s="140">
        <f t="shared" si="1540"/>
        <v>26</v>
      </c>
      <c r="N271" s="97">
        <f t="shared" ref="N271:T271" si="1636">RANDBETWEEN(0,10)</f>
        <v>6</v>
      </c>
      <c r="O271" s="97">
        <f t="shared" si="1636"/>
        <v>9</v>
      </c>
      <c r="P271" s="97">
        <f t="shared" si="1636"/>
        <v>2</v>
      </c>
      <c r="Q271" s="97">
        <f t="shared" si="1636"/>
        <v>5</v>
      </c>
      <c r="R271" s="97">
        <f t="shared" si="1636"/>
        <v>0</v>
      </c>
      <c r="S271" s="97">
        <f t="shared" si="1636"/>
        <v>2</v>
      </c>
      <c r="T271" s="97">
        <f t="shared" si="1636"/>
        <v>2</v>
      </c>
      <c r="U271" s="103">
        <f t="shared" si="1624"/>
        <v>30</v>
      </c>
      <c r="V271" s="158">
        <f t="shared" si="1577"/>
        <v>4</v>
      </c>
      <c r="W271" s="97">
        <f t="shared" ref="W271:Y271" si="1637">RANDBETWEEN(0,2)</f>
        <v>1</v>
      </c>
      <c r="X271" s="97">
        <f t="shared" si="1637"/>
        <v>2</v>
      </c>
      <c r="Y271" s="97">
        <f t="shared" si="1637"/>
        <v>1</v>
      </c>
      <c r="Z271" s="105">
        <f t="shared" si="1586"/>
        <v>4</v>
      </c>
      <c r="AA271" s="143">
        <f t="shared" ref="AA271:AF271" si="1638">RANDBETWEEN(0,2)</f>
        <v>2</v>
      </c>
      <c r="AB271" s="143">
        <f t="shared" si="1638"/>
        <v>2</v>
      </c>
      <c r="AC271" s="144">
        <f t="shared" si="1638"/>
        <v>0</v>
      </c>
      <c r="AD271" s="145">
        <f t="shared" si="1638"/>
        <v>1</v>
      </c>
      <c r="AE271" s="145">
        <f t="shared" si="1638"/>
        <v>2</v>
      </c>
      <c r="AF271" s="145">
        <f t="shared" si="1638"/>
        <v>0</v>
      </c>
      <c r="AG271" s="86">
        <f t="shared" si="1547"/>
        <v>3</v>
      </c>
      <c r="AH271" s="144">
        <f t="shared" ref="AH271:AJ271" si="1639">RANDBETWEEN(1,10)</f>
        <v>5</v>
      </c>
      <c r="AI271" s="145">
        <f t="shared" si="1639"/>
        <v>8</v>
      </c>
      <c r="AJ271" s="145">
        <f t="shared" si="1639"/>
        <v>6</v>
      </c>
      <c r="AK271" s="192">
        <f t="shared" si="1549"/>
        <v>19</v>
      </c>
      <c r="AL271" s="144"/>
      <c r="AM271" s="145"/>
      <c r="AN271" s="145"/>
      <c r="AO271" s="145"/>
      <c r="AP271" s="89"/>
      <c r="AQ271" s="144"/>
      <c r="AR271" s="145"/>
      <c r="AS271" s="145"/>
      <c r="AT271" s="193"/>
      <c r="AU271" s="144"/>
      <c r="AV271" s="145"/>
      <c r="AW271" s="145"/>
      <c r="AX271" s="194"/>
      <c r="AY271" s="92">
        <f t="shared" ref="AY271:AZ271" si="1640">RANDBETWEEN(1,10)/10</f>
        <v>0.6</v>
      </c>
      <c r="AZ271" s="92">
        <f t="shared" si="1640"/>
        <v>0.5</v>
      </c>
      <c r="BA271" s="93">
        <v>0.0</v>
      </c>
      <c r="BB271" s="93">
        <v>0.0</v>
      </c>
      <c r="BC271" s="94">
        <f>SUM(BC243,'ГОЧ'!$AY271)</f>
        <v>1205.5</v>
      </c>
      <c r="BD271" s="94">
        <f>SUM(BD243,'ГОЧ'!$AZ271)</f>
        <v>1205.5</v>
      </c>
      <c r="BE271" s="108"/>
      <c r="BF271" s="108"/>
    </row>
    <row r="272" ht="15.75" customHeight="1">
      <c r="A272" s="67">
        <f t="shared" si="1537"/>
        <v>46263</v>
      </c>
      <c r="B272" s="195" t="s">
        <v>38</v>
      </c>
      <c r="C272" s="157">
        <f t="shared" si="1538"/>
        <v>2</v>
      </c>
      <c r="D272" s="97">
        <f t="shared" ref="D272:L272" si="1641">RANDBETWEEN(0,2)</f>
        <v>1</v>
      </c>
      <c r="E272" s="97">
        <f t="shared" si="1641"/>
        <v>1</v>
      </c>
      <c r="F272" s="97">
        <f t="shared" si="1641"/>
        <v>1</v>
      </c>
      <c r="G272" s="97">
        <f t="shared" si="1641"/>
        <v>2</v>
      </c>
      <c r="H272" s="98">
        <f t="shared" si="1641"/>
        <v>0</v>
      </c>
      <c r="I272" s="99">
        <f t="shared" si="1641"/>
        <v>0</v>
      </c>
      <c r="J272" s="100">
        <f t="shared" si="1641"/>
        <v>2</v>
      </c>
      <c r="K272" s="101">
        <f t="shared" si="1641"/>
        <v>2</v>
      </c>
      <c r="L272" s="101">
        <f t="shared" si="1641"/>
        <v>2</v>
      </c>
      <c r="M272" s="140">
        <f t="shared" si="1540"/>
        <v>34</v>
      </c>
      <c r="N272" s="97">
        <f t="shared" ref="N272:T272" si="1642">RANDBETWEEN(0,10)</f>
        <v>0</v>
      </c>
      <c r="O272" s="97">
        <f t="shared" si="1642"/>
        <v>8</v>
      </c>
      <c r="P272" s="97">
        <f t="shared" si="1642"/>
        <v>3</v>
      </c>
      <c r="Q272" s="97">
        <f t="shared" si="1642"/>
        <v>2</v>
      </c>
      <c r="R272" s="97">
        <f t="shared" si="1642"/>
        <v>9</v>
      </c>
      <c r="S272" s="97">
        <f t="shared" si="1642"/>
        <v>8</v>
      </c>
      <c r="T272" s="97">
        <f t="shared" si="1642"/>
        <v>4</v>
      </c>
      <c r="U272" s="103">
        <f t="shared" si="1624"/>
        <v>20</v>
      </c>
      <c r="V272" s="158">
        <f t="shared" si="1577"/>
        <v>3</v>
      </c>
      <c r="W272" s="97">
        <f t="shared" ref="W272:Y272" si="1643">RANDBETWEEN(0,2)</f>
        <v>2</v>
      </c>
      <c r="X272" s="97">
        <f t="shared" si="1643"/>
        <v>0</v>
      </c>
      <c r="Y272" s="97">
        <f t="shared" si="1643"/>
        <v>1</v>
      </c>
      <c r="Z272" s="105">
        <f t="shared" si="1586"/>
        <v>4</v>
      </c>
      <c r="AA272" s="106">
        <f t="shared" ref="AA272:AF272" si="1644">RANDBETWEEN(0,2)</f>
        <v>2</v>
      </c>
      <c r="AB272" s="106">
        <f t="shared" si="1644"/>
        <v>2</v>
      </c>
      <c r="AC272" s="107">
        <f t="shared" si="1644"/>
        <v>1</v>
      </c>
      <c r="AD272" s="108">
        <f t="shared" si="1644"/>
        <v>1</v>
      </c>
      <c r="AE272" s="108">
        <f t="shared" si="1644"/>
        <v>1</v>
      </c>
      <c r="AF272" s="108">
        <f t="shared" si="1644"/>
        <v>0</v>
      </c>
      <c r="AG272" s="86">
        <f t="shared" si="1547"/>
        <v>3</v>
      </c>
      <c r="AH272" s="107">
        <f t="shared" ref="AH272:AJ272" si="1645">RANDBETWEEN(1,10)</f>
        <v>2</v>
      </c>
      <c r="AI272" s="108">
        <f t="shared" si="1645"/>
        <v>3</v>
      </c>
      <c r="AJ272" s="108">
        <f t="shared" si="1645"/>
        <v>10</v>
      </c>
      <c r="AK272" s="192">
        <f t="shared" si="1549"/>
        <v>15</v>
      </c>
      <c r="AL272" s="107"/>
      <c r="AM272" s="108"/>
      <c r="AN272" s="108"/>
      <c r="AO272" s="108"/>
      <c r="AP272" s="89"/>
      <c r="AQ272" s="107"/>
      <c r="AR272" s="108"/>
      <c r="AS272" s="108"/>
      <c r="AT272" s="193"/>
      <c r="AU272" s="107"/>
      <c r="AV272" s="108"/>
      <c r="AW272" s="108"/>
      <c r="AX272" s="194"/>
      <c r="AY272" s="92">
        <f t="shared" ref="AY272:AZ272" si="1646">RANDBETWEEN(1,10)/10</f>
        <v>0.9</v>
      </c>
      <c r="AZ272" s="92">
        <f t="shared" si="1646"/>
        <v>0.2</v>
      </c>
      <c r="BA272" s="93">
        <v>0.0</v>
      </c>
      <c r="BB272" s="93">
        <v>0.0</v>
      </c>
      <c r="BC272" s="94">
        <f>SUM(BC244,'ГОЧ'!$AY272)</f>
        <v>1204.1</v>
      </c>
      <c r="BD272" s="94">
        <f>SUM(BD244,'ГОЧ'!$AZ272)</f>
        <v>1204.2</v>
      </c>
      <c r="BE272" s="108"/>
      <c r="BF272" s="108"/>
    </row>
    <row r="273" ht="15.75" customHeight="1">
      <c r="A273" s="67">
        <f t="shared" si="1537"/>
        <v>46263</v>
      </c>
      <c r="B273" s="138" t="s">
        <v>41</v>
      </c>
      <c r="C273" s="157">
        <f t="shared" si="1538"/>
        <v>1</v>
      </c>
      <c r="D273" s="97">
        <f t="shared" ref="D273:L273" si="1647">RANDBETWEEN(0,2)</f>
        <v>0</v>
      </c>
      <c r="E273" s="97">
        <f t="shared" si="1647"/>
        <v>2</v>
      </c>
      <c r="F273" s="97">
        <f t="shared" si="1647"/>
        <v>1</v>
      </c>
      <c r="G273" s="97">
        <f t="shared" si="1647"/>
        <v>1</v>
      </c>
      <c r="H273" s="98">
        <f t="shared" si="1647"/>
        <v>2</v>
      </c>
      <c r="I273" s="99">
        <f t="shared" si="1647"/>
        <v>1</v>
      </c>
      <c r="J273" s="100">
        <f t="shared" si="1647"/>
        <v>0</v>
      </c>
      <c r="K273" s="101">
        <f t="shared" si="1647"/>
        <v>2</v>
      </c>
      <c r="L273" s="101">
        <f t="shared" si="1647"/>
        <v>2</v>
      </c>
      <c r="M273" s="140">
        <f t="shared" si="1540"/>
        <v>41</v>
      </c>
      <c r="N273" s="97">
        <f t="shared" ref="N273:T273" si="1648">RANDBETWEEN(0,10)</f>
        <v>8</v>
      </c>
      <c r="O273" s="97">
        <f t="shared" si="1648"/>
        <v>8</v>
      </c>
      <c r="P273" s="97">
        <f t="shared" si="1648"/>
        <v>6</v>
      </c>
      <c r="Q273" s="97">
        <f t="shared" si="1648"/>
        <v>0</v>
      </c>
      <c r="R273" s="97">
        <f t="shared" si="1648"/>
        <v>9</v>
      </c>
      <c r="S273" s="97">
        <f t="shared" si="1648"/>
        <v>2</v>
      </c>
      <c r="T273" s="97">
        <f t="shared" si="1648"/>
        <v>8</v>
      </c>
      <c r="U273" s="103">
        <f t="shared" si="1624"/>
        <v>11</v>
      </c>
      <c r="V273" s="158">
        <f t="shared" si="1577"/>
        <v>4</v>
      </c>
      <c r="W273" s="97">
        <f t="shared" ref="W273:Y273" si="1649">RANDBETWEEN(0,2)</f>
        <v>0</v>
      </c>
      <c r="X273" s="97">
        <f t="shared" si="1649"/>
        <v>2</v>
      </c>
      <c r="Y273" s="97">
        <f t="shared" si="1649"/>
        <v>2</v>
      </c>
      <c r="Z273" s="105">
        <f t="shared" si="1586"/>
        <v>3</v>
      </c>
      <c r="AA273" s="143">
        <f t="shared" ref="AA273:AF273" si="1650">RANDBETWEEN(0,2)</f>
        <v>1</v>
      </c>
      <c r="AB273" s="143">
        <f t="shared" si="1650"/>
        <v>2</v>
      </c>
      <c r="AC273" s="144">
        <f t="shared" si="1650"/>
        <v>1</v>
      </c>
      <c r="AD273" s="145">
        <f t="shared" si="1650"/>
        <v>2</v>
      </c>
      <c r="AE273" s="145">
        <f t="shared" si="1650"/>
        <v>2</v>
      </c>
      <c r="AF273" s="145">
        <f t="shared" si="1650"/>
        <v>2</v>
      </c>
      <c r="AG273" s="86">
        <f t="shared" si="1547"/>
        <v>7</v>
      </c>
      <c r="AH273" s="144">
        <f t="shared" ref="AH273:AJ273" si="1651">RANDBETWEEN(1,10)</f>
        <v>8</v>
      </c>
      <c r="AI273" s="145">
        <f t="shared" si="1651"/>
        <v>7</v>
      </c>
      <c r="AJ273" s="145">
        <f t="shared" si="1651"/>
        <v>8</v>
      </c>
      <c r="AK273" s="192">
        <f t="shared" si="1549"/>
        <v>23</v>
      </c>
      <c r="AL273" s="144"/>
      <c r="AM273" s="145"/>
      <c r="AN273" s="145"/>
      <c r="AO273" s="145"/>
      <c r="AP273" s="89"/>
      <c r="AQ273" s="144"/>
      <c r="AR273" s="145"/>
      <c r="AS273" s="145"/>
      <c r="AT273" s="193"/>
      <c r="AU273" s="144"/>
      <c r="AV273" s="145"/>
      <c r="AW273" s="145"/>
      <c r="AX273" s="194"/>
      <c r="AY273" s="92">
        <f t="shared" ref="AY273:AZ273" si="1652">RANDBETWEEN(1,10)/10</f>
        <v>0.3</v>
      </c>
      <c r="AZ273" s="92">
        <f t="shared" si="1652"/>
        <v>0.4</v>
      </c>
      <c r="BA273" s="93">
        <v>0.0</v>
      </c>
      <c r="BB273" s="93">
        <v>0.0</v>
      </c>
      <c r="BC273" s="94">
        <f>SUM(BC245,'ГОЧ'!$AY273)</f>
        <v>1204.8</v>
      </c>
      <c r="BD273" s="94">
        <f>SUM(BD245,'ГОЧ'!$AZ273)</f>
        <v>1205.5</v>
      </c>
      <c r="BE273" s="108"/>
      <c r="BF273" s="108"/>
    </row>
    <row r="274" ht="15.75" customHeight="1">
      <c r="A274" s="67">
        <f t="shared" si="1537"/>
        <v>46263</v>
      </c>
      <c r="B274" s="114" t="s">
        <v>45</v>
      </c>
      <c r="C274" s="164">
        <f t="shared" si="1538"/>
        <v>9</v>
      </c>
      <c r="D274" s="164">
        <f t="shared" ref="D274:U274" si="1653">SUM(D268:D273)</f>
        <v>5</v>
      </c>
      <c r="E274" s="165">
        <f t="shared" si="1653"/>
        <v>4</v>
      </c>
      <c r="F274" s="165">
        <f t="shared" si="1653"/>
        <v>4</v>
      </c>
      <c r="G274" s="165">
        <f t="shared" si="1653"/>
        <v>8</v>
      </c>
      <c r="H274" s="165">
        <f t="shared" si="1653"/>
        <v>6</v>
      </c>
      <c r="I274" s="165">
        <f t="shared" si="1653"/>
        <v>8</v>
      </c>
      <c r="J274" s="165">
        <f t="shared" si="1653"/>
        <v>4</v>
      </c>
      <c r="K274" s="165">
        <f t="shared" si="1653"/>
        <v>8</v>
      </c>
      <c r="L274" s="165">
        <f t="shared" si="1653"/>
        <v>5</v>
      </c>
      <c r="M274" s="164">
        <f t="shared" si="1653"/>
        <v>225</v>
      </c>
      <c r="N274" s="164">
        <f t="shared" si="1653"/>
        <v>30</v>
      </c>
      <c r="O274" s="165">
        <f t="shared" si="1653"/>
        <v>42</v>
      </c>
      <c r="P274" s="165">
        <f t="shared" si="1653"/>
        <v>26</v>
      </c>
      <c r="Q274" s="165">
        <f t="shared" si="1653"/>
        <v>25</v>
      </c>
      <c r="R274" s="165">
        <f t="shared" si="1653"/>
        <v>37</v>
      </c>
      <c r="S274" s="165">
        <f t="shared" si="1653"/>
        <v>30</v>
      </c>
      <c r="T274" s="165">
        <f t="shared" si="1653"/>
        <v>35</v>
      </c>
      <c r="U274" s="164">
        <f t="shared" si="1653"/>
        <v>125</v>
      </c>
      <c r="V274" s="164">
        <f t="shared" si="1577"/>
        <v>23</v>
      </c>
      <c r="W274" s="165">
        <f t="shared" ref="W274:Y274" si="1654">SUM(W268:W273)</f>
        <v>9</v>
      </c>
      <c r="X274" s="165">
        <f t="shared" si="1654"/>
        <v>6</v>
      </c>
      <c r="Y274" s="165">
        <f t="shared" si="1654"/>
        <v>8</v>
      </c>
      <c r="Z274" s="165">
        <f t="shared" si="1586"/>
        <v>18</v>
      </c>
      <c r="AA274" s="165">
        <f t="shared" ref="AA274:AF274" si="1655">SUM(AA268:AA273)</f>
        <v>7</v>
      </c>
      <c r="AB274" s="165">
        <f t="shared" si="1655"/>
        <v>11</v>
      </c>
      <c r="AC274" s="166">
        <f t="shared" si="1655"/>
        <v>4</v>
      </c>
      <c r="AD274" s="166">
        <f t="shared" si="1655"/>
        <v>10</v>
      </c>
      <c r="AE274" s="166">
        <f t="shared" si="1655"/>
        <v>11</v>
      </c>
      <c r="AF274" s="166">
        <f t="shared" si="1655"/>
        <v>6</v>
      </c>
      <c r="AG274" s="168">
        <f t="shared" si="1547"/>
        <v>31</v>
      </c>
      <c r="AH274" s="166">
        <f t="shared" ref="AH274:AJ274" si="1656">SUM(AH268:AH273)</f>
        <v>22</v>
      </c>
      <c r="AI274" s="167">
        <f t="shared" si="1656"/>
        <v>28</v>
      </c>
      <c r="AJ274" s="167">
        <f t="shared" si="1656"/>
        <v>48</v>
      </c>
      <c r="AK274" s="168">
        <f t="shared" si="1549"/>
        <v>98</v>
      </c>
      <c r="AL274" s="166"/>
      <c r="AM274" s="166"/>
      <c r="AN274" s="166"/>
      <c r="AO274" s="166"/>
      <c r="AP274" s="169"/>
      <c r="AQ274" s="166"/>
      <c r="AR274" s="167"/>
      <c r="AS274" s="167"/>
      <c r="AT274" s="170"/>
      <c r="AU274" s="166"/>
      <c r="AV274" s="167"/>
      <c r="AW274" s="167"/>
      <c r="AX274" s="171"/>
      <c r="AY274" s="196">
        <f t="shared" ref="AY274:BD274" si="1657">SUM(AY268:AY273)</f>
        <v>3.1</v>
      </c>
      <c r="AZ274" s="196">
        <f t="shared" si="1657"/>
        <v>2.6</v>
      </c>
      <c r="BA274" s="167">
        <f t="shared" si="1657"/>
        <v>0</v>
      </c>
      <c r="BB274" s="167">
        <f t="shared" si="1657"/>
        <v>0</v>
      </c>
      <c r="BC274" s="197">
        <f t="shared" si="1657"/>
        <v>7229.9</v>
      </c>
      <c r="BD274" s="197">
        <f t="shared" si="1657"/>
        <v>7230.5</v>
      </c>
      <c r="BE274" s="154" t="str">
        <f t="shared" ref="BE274:BF274" si="1658">TEXTJOIN(", ",TRUE,BE268:BE273)</f>
        <v/>
      </c>
      <c r="BF274" s="154" t="str">
        <f t="shared" si="1658"/>
        <v/>
      </c>
    </row>
    <row r="275" ht="15.75" customHeight="1">
      <c r="A275" s="67">
        <f t="shared" si="1537"/>
        <v>46263</v>
      </c>
      <c r="B275" s="124" t="s">
        <v>49</v>
      </c>
      <c r="C275" s="174">
        <f t="shared" si="1538"/>
        <v>4</v>
      </c>
      <c r="D275" s="175">
        <f t="shared" ref="D275:L275" si="1659">RANDBETWEEN(0,2)</f>
        <v>2</v>
      </c>
      <c r="E275" s="175">
        <f t="shared" si="1659"/>
        <v>0</v>
      </c>
      <c r="F275" s="175">
        <f t="shared" si="1659"/>
        <v>2</v>
      </c>
      <c r="G275" s="175">
        <f t="shared" si="1659"/>
        <v>2</v>
      </c>
      <c r="H275" s="176">
        <f t="shared" si="1659"/>
        <v>0</v>
      </c>
      <c r="I275" s="177">
        <f t="shared" si="1659"/>
        <v>2</v>
      </c>
      <c r="J275" s="178">
        <f t="shared" si="1659"/>
        <v>1</v>
      </c>
      <c r="K275" s="179">
        <f t="shared" si="1659"/>
        <v>1</v>
      </c>
      <c r="L275" s="179">
        <f t="shared" si="1659"/>
        <v>2</v>
      </c>
      <c r="M275" s="180">
        <f t="shared" ref="M275:M280" si="1666">SUM(N275:T275)</f>
        <v>37</v>
      </c>
      <c r="N275" s="175">
        <f t="shared" ref="N275:T275" si="1660">RANDBETWEEN(0,10)</f>
        <v>1</v>
      </c>
      <c r="O275" s="175">
        <f t="shared" si="1660"/>
        <v>0</v>
      </c>
      <c r="P275" s="175">
        <f t="shared" si="1660"/>
        <v>10</v>
      </c>
      <c r="Q275" s="175">
        <f t="shared" si="1660"/>
        <v>2</v>
      </c>
      <c r="R275" s="175">
        <f t="shared" si="1660"/>
        <v>7</v>
      </c>
      <c r="S275" s="175">
        <f t="shared" si="1660"/>
        <v>8</v>
      </c>
      <c r="T275" s="175">
        <f t="shared" si="1660"/>
        <v>9</v>
      </c>
      <c r="U275" s="181">
        <f t="shared" ref="U275:U279" si="1668">RANDBETWEEN(10,30)</f>
        <v>11</v>
      </c>
      <c r="V275" s="182">
        <f t="shared" si="1577"/>
        <v>3</v>
      </c>
      <c r="W275" s="175">
        <f t="shared" ref="W275:Y275" si="1661">RANDBETWEEN(0,2)</f>
        <v>2</v>
      </c>
      <c r="X275" s="175">
        <f t="shared" si="1661"/>
        <v>1</v>
      </c>
      <c r="Y275" s="175">
        <f t="shared" si="1661"/>
        <v>0</v>
      </c>
      <c r="Z275" s="183">
        <f t="shared" si="1586"/>
        <v>0</v>
      </c>
      <c r="AA275" s="198">
        <f t="shared" ref="AA275:AF275" si="1662">RANDBETWEEN(0,2)</f>
        <v>0</v>
      </c>
      <c r="AB275" s="198">
        <f t="shared" si="1662"/>
        <v>0</v>
      </c>
      <c r="AC275" s="199">
        <f t="shared" si="1662"/>
        <v>1</v>
      </c>
      <c r="AD275" s="200">
        <f t="shared" si="1662"/>
        <v>1</v>
      </c>
      <c r="AE275" s="200">
        <f t="shared" si="1662"/>
        <v>0</v>
      </c>
      <c r="AF275" s="200">
        <f t="shared" si="1662"/>
        <v>2</v>
      </c>
      <c r="AG275" s="187">
        <f t="shared" si="1547"/>
        <v>4</v>
      </c>
      <c r="AH275" s="199">
        <f t="shared" ref="AH275:AJ275" si="1663">RANDBETWEEN(1,10)</f>
        <v>4</v>
      </c>
      <c r="AI275" s="200">
        <f t="shared" si="1663"/>
        <v>2</v>
      </c>
      <c r="AJ275" s="200">
        <f t="shared" si="1663"/>
        <v>4</v>
      </c>
      <c r="AK275" s="188">
        <f t="shared" si="1549"/>
        <v>10</v>
      </c>
      <c r="AL275" s="199"/>
      <c r="AM275" s="200"/>
      <c r="AN275" s="200"/>
      <c r="AO275" s="200"/>
      <c r="AP275" s="189"/>
      <c r="AQ275" s="199"/>
      <c r="AR275" s="200"/>
      <c r="AS275" s="200"/>
      <c r="AT275" s="190"/>
      <c r="AU275" s="199"/>
      <c r="AV275" s="200"/>
      <c r="AW275" s="200"/>
      <c r="AX275" s="191"/>
      <c r="AY275" s="92">
        <f t="shared" ref="AY275:AZ275" si="1664">RANDBETWEEN(1,10)/10</f>
        <v>0.4</v>
      </c>
      <c r="AZ275" s="92">
        <f t="shared" si="1664"/>
        <v>0.1</v>
      </c>
      <c r="BA275" s="93">
        <v>0.0</v>
      </c>
      <c r="BB275" s="93">
        <v>0.0</v>
      </c>
      <c r="BC275" s="94">
        <f>SUM(BC247,'ГОЧ'!$AY275)</f>
        <v>1204.9</v>
      </c>
      <c r="BD275" s="94">
        <f>SUM(BD247,'ГОЧ'!$AZ275)</f>
        <v>1204.2</v>
      </c>
      <c r="BE275" s="186"/>
      <c r="BF275" s="186"/>
    </row>
    <row r="276" ht="15.75" customHeight="1">
      <c r="A276" s="67">
        <f t="shared" si="1537"/>
        <v>46263</v>
      </c>
      <c r="B276" s="195" t="s">
        <v>53</v>
      </c>
      <c r="C276" s="157">
        <f t="shared" si="1538"/>
        <v>3</v>
      </c>
      <c r="D276" s="97">
        <f t="shared" ref="D276:L276" si="1665">RANDBETWEEN(0,2)</f>
        <v>2</v>
      </c>
      <c r="E276" s="97">
        <f t="shared" si="1665"/>
        <v>0</v>
      </c>
      <c r="F276" s="97">
        <f t="shared" si="1665"/>
        <v>1</v>
      </c>
      <c r="G276" s="97">
        <f t="shared" si="1665"/>
        <v>0</v>
      </c>
      <c r="H276" s="98">
        <f t="shared" si="1665"/>
        <v>2</v>
      </c>
      <c r="I276" s="99">
        <f t="shared" si="1665"/>
        <v>2</v>
      </c>
      <c r="J276" s="100">
        <f t="shared" si="1665"/>
        <v>1</v>
      </c>
      <c r="K276" s="101">
        <f t="shared" si="1665"/>
        <v>2</v>
      </c>
      <c r="L276" s="101">
        <f t="shared" si="1665"/>
        <v>1</v>
      </c>
      <c r="M276" s="140">
        <f t="shared" si="1666"/>
        <v>37</v>
      </c>
      <c r="N276" s="97">
        <f t="shared" ref="N276:T276" si="1667">RANDBETWEEN(0,10)</f>
        <v>10</v>
      </c>
      <c r="O276" s="97">
        <f t="shared" si="1667"/>
        <v>0</v>
      </c>
      <c r="P276" s="97">
        <f t="shared" si="1667"/>
        <v>4</v>
      </c>
      <c r="Q276" s="97">
        <f t="shared" si="1667"/>
        <v>0</v>
      </c>
      <c r="R276" s="97">
        <f t="shared" si="1667"/>
        <v>8</v>
      </c>
      <c r="S276" s="97">
        <f t="shared" si="1667"/>
        <v>6</v>
      </c>
      <c r="T276" s="97">
        <f t="shared" si="1667"/>
        <v>9</v>
      </c>
      <c r="U276" s="103">
        <f t="shared" si="1668"/>
        <v>30</v>
      </c>
      <c r="V276" s="158">
        <f t="shared" si="1577"/>
        <v>6</v>
      </c>
      <c r="W276" s="97">
        <f t="shared" ref="W276:Y276" si="1669">RANDBETWEEN(0,2)</f>
        <v>2</v>
      </c>
      <c r="X276" s="97">
        <f t="shared" si="1669"/>
        <v>2</v>
      </c>
      <c r="Y276" s="97">
        <f t="shared" si="1669"/>
        <v>2</v>
      </c>
      <c r="Z276" s="105">
        <f t="shared" si="1586"/>
        <v>0</v>
      </c>
      <c r="AA276" s="106">
        <f t="shared" ref="AA276:AF276" si="1670">RANDBETWEEN(0,2)</f>
        <v>0</v>
      </c>
      <c r="AB276" s="106">
        <f t="shared" si="1670"/>
        <v>0</v>
      </c>
      <c r="AC276" s="107">
        <f t="shared" si="1670"/>
        <v>1</v>
      </c>
      <c r="AD276" s="108">
        <f t="shared" si="1670"/>
        <v>2</v>
      </c>
      <c r="AE276" s="108">
        <f t="shared" si="1670"/>
        <v>1</v>
      </c>
      <c r="AF276" s="108">
        <f t="shared" si="1670"/>
        <v>1</v>
      </c>
      <c r="AG276" s="86">
        <f t="shared" si="1547"/>
        <v>5</v>
      </c>
      <c r="AH276" s="107">
        <f t="shared" ref="AH276:AJ276" si="1671">RANDBETWEEN(1,10)</f>
        <v>4</v>
      </c>
      <c r="AI276" s="108">
        <f t="shared" si="1671"/>
        <v>9</v>
      </c>
      <c r="AJ276" s="108">
        <f t="shared" si="1671"/>
        <v>1</v>
      </c>
      <c r="AK276" s="192">
        <f t="shared" si="1549"/>
        <v>14</v>
      </c>
      <c r="AL276" s="107"/>
      <c r="AM276" s="108"/>
      <c r="AN276" s="108"/>
      <c r="AO276" s="108"/>
      <c r="AP276" s="89"/>
      <c r="AQ276" s="107"/>
      <c r="AR276" s="108"/>
      <c r="AS276" s="108"/>
      <c r="AT276" s="193"/>
      <c r="AU276" s="107"/>
      <c r="AV276" s="108"/>
      <c r="AW276" s="108"/>
      <c r="AX276" s="194"/>
      <c r="AY276" s="92">
        <f t="shared" ref="AY276:AZ276" si="1672">RANDBETWEEN(1,10)/10</f>
        <v>0.1</v>
      </c>
      <c r="AZ276" s="92">
        <f t="shared" si="1672"/>
        <v>0.3</v>
      </c>
      <c r="BA276" s="93">
        <v>0.0</v>
      </c>
      <c r="BB276" s="93">
        <v>0.0</v>
      </c>
      <c r="BC276" s="94">
        <f>SUM(BC248,'ГОЧ'!$AY276)</f>
        <v>1204.5</v>
      </c>
      <c r="BD276" s="94">
        <f>SUM(BD248,'ГОЧ'!$AZ276)</f>
        <v>1204.5</v>
      </c>
      <c r="BE276" s="108"/>
      <c r="BF276" s="108"/>
    </row>
    <row r="277" ht="15.75" customHeight="1">
      <c r="A277" s="67">
        <f t="shared" si="1537"/>
        <v>46263</v>
      </c>
      <c r="B277" s="138" t="s">
        <v>57</v>
      </c>
      <c r="C277" s="157">
        <f t="shared" si="1538"/>
        <v>2</v>
      </c>
      <c r="D277" s="97">
        <f t="shared" ref="D277:L277" si="1673">RANDBETWEEN(0,2)</f>
        <v>1</v>
      </c>
      <c r="E277" s="97">
        <f t="shared" si="1673"/>
        <v>2</v>
      </c>
      <c r="F277" s="97">
        <f t="shared" si="1673"/>
        <v>1</v>
      </c>
      <c r="G277" s="97">
        <f t="shared" si="1673"/>
        <v>1</v>
      </c>
      <c r="H277" s="98">
        <f t="shared" si="1673"/>
        <v>1</v>
      </c>
      <c r="I277" s="99">
        <f t="shared" si="1673"/>
        <v>0</v>
      </c>
      <c r="J277" s="100">
        <f t="shared" si="1673"/>
        <v>0</v>
      </c>
      <c r="K277" s="101">
        <f t="shared" si="1673"/>
        <v>0</v>
      </c>
      <c r="L277" s="101">
        <f t="shared" si="1673"/>
        <v>1</v>
      </c>
      <c r="M277" s="140">
        <f t="shared" si="1666"/>
        <v>41</v>
      </c>
      <c r="N277" s="97">
        <f t="shared" ref="N277:T277" si="1674">RANDBETWEEN(0,10)</f>
        <v>5</v>
      </c>
      <c r="O277" s="97">
        <f t="shared" si="1674"/>
        <v>2</v>
      </c>
      <c r="P277" s="97">
        <f t="shared" si="1674"/>
        <v>10</v>
      </c>
      <c r="Q277" s="97">
        <f t="shared" si="1674"/>
        <v>0</v>
      </c>
      <c r="R277" s="97">
        <f t="shared" si="1674"/>
        <v>8</v>
      </c>
      <c r="S277" s="97">
        <f t="shared" si="1674"/>
        <v>10</v>
      </c>
      <c r="T277" s="97">
        <f t="shared" si="1674"/>
        <v>6</v>
      </c>
      <c r="U277" s="103">
        <f t="shared" si="1668"/>
        <v>21</v>
      </c>
      <c r="V277" s="158">
        <f t="shared" si="1577"/>
        <v>3</v>
      </c>
      <c r="W277" s="97">
        <f t="shared" ref="W277:Y277" si="1675">RANDBETWEEN(0,2)</f>
        <v>0</v>
      </c>
      <c r="X277" s="97">
        <f t="shared" si="1675"/>
        <v>2</v>
      </c>
      <c r="Y277" s="97">
        <f t="shared" si="1675"/>
        <v>1</v>
      </c>
      <c r="Z277" s="105">
        <f t="shared" si="1586"/>
        <v>1</v>
      </c>
      <c r="AA277" s="143">
        <f t="shared" ref="AA277:AF277" si="1676">RANDBETWEEN(0,2)</f>
        <v>1</v>
      </c>
      <c r="AB277" s="143">
        <f t="shared" si="1676"/>
        <v>0</v>
      </c>
      <c r="AC277" s="144">
        <f t="shared" si="1676"/>
        <v>1</v>
      </c>
      <c r="AD277" s="145">
        <f t="shared" si="1676"/>
        <v>0</v>
      </c>
      <c r="AE277" s="145">
        <f t="shared" si="1676"/>
        <v>2</v>
      </c>
      <c r="AF277" s="145">
        <f t="shared" si="1676"/>
        <v>2</v>
      </c>
      <c r="AG277" s="86">
        <f t="shared" si="1547"/>
        <v>5</v>
      </c>
      <c r="AH277" s="144">
        <f t="shared" ref="AH277:AJ277" si="1677">RANDBETWEEN(1,10)</f>
        <v>7</v>
      </c>
      <c r="AI277" s="145">
        <f t="shared" si="1677"/>
        <v>1</v>
      </c>
      <c r="AJ277" s="145">
        <f t="shared" si="1677"/>
        <v>2</v>
      </c>
      <c r="AK277" s="192">
        <f t="shared" si="1549"/>
        <v>10</v>
      </c>
      <c r="AL277" s="144"/>
      <c r="AM277" s="145"/>
      <c r="AN277" s="145"/>
      <c r="AO277" s="145"/>
      <c r="AP277" s="89"/>
      <c r="AQ277" s="144"/>
      <c r="AR277" s="145"/>
      <c r="AS277" s="145"/>
      <c r="AT277" s="193"/>
      <c r="AU277" s="144"/>
      <c r="AV277" s="145"/>
      <c r="AW277" s="145"/>
      <c r="AX277" s="194"/>
      <c r="AY277" s="92">
        <f t="shared" ref="AY277:AZ277" si="1678">RANDBETWEEN(1,10)/10</f>
        <v>1</v>
      </c>
      <c r="AZ277" s="92">
        <f t="shared" si="1678"/>
        <v>0.9</v>
      </c>
      <c r="BA277" s="93">
        <v>0.0</v>
      </c>
      <c r="BB277" s="93">
        <v>0.0</v>
      </c>
      <c r="BC277" s="94">
        <f>SUM(BC249,'ГОЧ'!$AY277)</f>
        <v>1205</v>
      </c>
      <c r="BD277" s="94">
        <f>SUM(BD249,'ГОЧ'!$AZ277)</f>
        <v>1205.9</v>
      </c>
      <c r="BE277" s="108"/>
      <c r="BF277" s="108"/>
    </row>
    <row r="278" ht="15.75" customHeight="1">
      <c r="A278" s="67">
        <f t="shared" si="1537"/>
        <v>46263</v>
      </c>
      <c r="B278" s="138" t="s">
        <v>60</v>
      </c>
      <c r="C278" s="157">
        <f t="shared" si="1538"/>
        <v>0</v>
      </c>
      <c r="D278" s="97">
        <f t="shared" ref="D278:L278" si="1679">RANDBETWEEN(0,2)</f>
        <v>0</v>
      </c>
      <c r="E278" s="97">
        <f t="shared" si="1679"/>
        <v>2</v>
      </c>
      <c r="F278" s="97">
        <f t="shared" si="1679"/>
        <v>0</v>
      </c>
      <c r="G278" s="97">
        <f t="shared" si="1679"/>
        <v>2</v>
      </c>
      <c r="H278" s="98">
        <f t="shared" si="1679"/>
        <v>0</v>
      </c>
      <c r="I278" s="99">
        <f t="shared" si="1679"/>
        <v>0</v>
      </c>
      <c r="J278" s="100">
        <f t="shared" si="1679"/>
        <v>0</v>
      </c>
      <c r="K278" s="101">
        <f t="shared" si="1679"/>
        <v>2</v>
      </c>
      <c r="L278" s="101">
        <f t="shared" si="1679"/>
        <v>0</v>
      </c>
      <c r="M278" s="140">
        <f t="shared" si="1666"/>
        <v>38</v>
      </c>
      <c r="N278" s="97">
        <f t="shared" ref="N278:T278" si="1680">RANDBETWEEN(0,10)</f>
        <v>7</v>
      </c>
      <c r="O278" s="97">
        <f t="shared" si="1680"/>
        <v>7</v>
      </c>
      <c r="P278" s="97">
        <f t="shared" si="1680"/>
        <v>2</v>
      </c>
      <c r="Q278" s="97">
        <f t="shared" si="1680"/>
        <v>6</v>
      </c>
      <c r="R278" s="97">
        <f t="shared" si="1680"/>
        <v>6</v>
      </c>
      <c r="S278" s="97">
        <f t="shared" si="1680"/>
        <v>7</v>
      </c>
      <c r="T278" s="97">
        <f t="shared" si="1680"/>
        <v>3</v>
      </c>
      <c r="U278" s="103">
        <f t="shared" si="1668"/>
        <v>13</v>
      </c>
      <c r="V278" s="158">
        <f t="shared" si="1577"/>
        <v>3</v>
      </c>
      <c r="W278" s="97">
        <f t="shared" ref="W278:Y278" si="1681">RANDBETWEEN(0,2)</f>
        <v>1</v>
      </c>
      <c r="X278" s="97">
        <f t="shared" si="1681"/>
        <v>0</v>
      </c>
      <c r="Y278" s="97">
        <f t="shared" si="1681"/>
        <v>2</v>
      </c>
      <c r="Z278" s="105">
        <f t="shared" si="1586"/>
        <v>1</v>
      </c>
      <c r="AA278" s="106">
        <f t="shared" ref="AA278:AF278" si="1682">RANDBETWEEN(0,2)</f>
        <v>0</v>
      </c>
      <c r="AB278" s="106">
        <f t="shared" si="1682"/>
        <v>1</v>
      </c>
      <c r="AC278" s="107">
        <f t="shared" si="1682"/>
        <v>0</v>
      </c>
      <c r="AD278" s="108">
        <f t="shared" si="1682"/>
        <v>0</v>
      </c>
      <c r="AE278" s="108">
        <f t="shared" si="1682"/>
        <v>0</v>
      </c>
      <c r="AF278" s="108">
        <f t="shared" si="1682"/>
        <v>0</v>
      </c>
      <c r="AG278" s="86">
        <f t="shared" si="1547"/>
        <v>0</v>
      </c>
      <c r="AH278" s="107">
        <f t="shared" ref="AH278:AJ278" si="1683">RANDBETWEEN(1,10)</f>
        <v>3</v>
      </c>
      <c r="AI278" s="108">
        <f t="shared" si="1683"/>
        <v>5</v>
      </c>
      <c r="AJ278" s="108">
        <f t="shared" si="1683"/>
        <v>5</v>
      </c>
      <c r="AK278" s="192">
        <f t="shared" si="1549"/>
        <v>13</v>
      </c>
      <c r="AL278" s="107"/>
      <c r="AM278" s="108"/>
      <c r="AN278" s="108"/>
      <c r="AO278" s="108"/>
      <c r="AP278" s="89"/>
      <c r="AQ278" s="107"/>
      <c r="AR278" s="108"/>
      <c r="AS278" s="108"/>
      <c r="AT278" s="193"/>
      <c r="AU278" s="107"/>
      <c r="AV278" s="108"/>
      <c r="AW278" s="108"/>
      <c r="AX278" s="194"/>
      <c r="AY278" s="92">
        <f t="shared" ref="AY278:AZ278" si="1684">RANDBETWEEN(1,10)/10</f>
        <v>0.1</v>
      </c>
      <c r="AZ278" s="92">
        <f t="shared" si="1684"/>
        <v>0.5</v>
      </c>
      <c r="BA278" s="93">
        <v>0.0</v>
      </c>
      <c r="BB278" s="93">
        <v>0.0</v>
      </c>
      <c r="BC278" s="94">
        <f>SUM(BC250,'ГОЧ'!$AY278)</f>
        <v>1203.5</v>
      </c>
      <c r="BD278" s="94">
        <f>SUM(BD250,'ГОЧ'!$AZ278)</f>
        <v>1204.5</v>
      </c>
      <c r="BE278" s="108"/>
      <c r="BF278" s="108"/>
    </row>
    <row r="279" ht="15.75" customHeight="1">
      <c r="A279" s="67">
        <f t="shared" si="1537"/>
        <v>46263</v>
      </c>
      <c r="B279" s="195" t="s">
        <v>64</v>
      </c>
      <c r="C279" s="157">
        <f t="shared" si="1538"/>
        <v>4</v>
      </c>
      <c r="D279" s="97">
        <f t="shared" ref="D279:L279" si="1685">RANDBETWEEN(0,2)</f>
        <v>2</v>
      </c>
      <c r="E279" s="97">
        <f t="shared" si="1685"/>
        <v>0</v>
      </c>
      <c r="F279" s="97">
        <f t="shared" si="1685"/>
        <v>2</v>
      </c>
      <c r="G279" s="97">
        <f t="shared" si="1685"/>
        <v>0</v>
      </c>
      <c r="H279" s="98">
        <f t="shared" si="1685"/>
        <v>2</v>
      </c>
      <c r="I279" s="99">
        <f t="shared" si="1685"/>
        <v>2</v>
      </c>
      <c r="J279" s="100">
        <f t="shared" si="1685"/>
        <v>1</v>
      </c>
      <c r="K279" s="101">
        <f t="shared" si="1685"/>
        <v>0</v>
      </c>
      <c r="L279" s="101">
        <f t="shared" si="1685"/>
        <v>0</v>
      </c>
      <c r="M279" s="140">
        <f t="shared" si="1666"/>
        <v>38</v>
      </c>
      <c r="N279" s="97">
        <f t="shared" ref="N279:T279" si="1686">RANDBETWEEN(0,10)</f>
        <v>8</v>
      </c>
      <c r="O279" s="97">
        <f t="shared" si="1686"/>
        <v>4</v>
      </c>
      <c r="P279" s="97">
        <f t="shared" si="1686"/>
        <v>8</v>
      </c>
      <c r="Q279" s="97">
        <f t="shared" si="1686"/>
        <v>7</v>
      </c>
      <c r="R279" s="97">
        <f t="shared" si="1686"/>
        <v>2</v>
      </c>
      <c r="S279" s="97">
        <f t="shared" si="1686"/>
        <v>2</v>
      </c>
      <c r="T279" s="97">
        <f t="shared" si="1686"/>
        <v>7</v>
      </c>
      <c r="U279" s="103">
        <f t="shared" si="1668"/>
        <v>22</v>
      </c>
      <c r="V279" s="158">
        <f t="shared" si="1577"/>
        <v>3</v>
      </c>
      <c r="W279" s="97">
        <f t="shared" ref="W279:Y279" si="1687">RANDBETWEEN(0,2)</f>
        <v>0</v>
      </c>
      <c r="X279" s="97">
        <f t="shared" si="1687"/>
        <v>1</v>
      </c>
      <c r="Y279" s="97">
        <f t="shared" si="1687"/>
        <v>2</v>
      </c>
      <c r="Z279" s="105">
        <f t="shared" si="1586"/>
        <v>2</v>
      </c>
      <c r="AA279" s="143">
        <f t="shared" ref="AA279:AF279" si="1688">RANDBETWEEN(0,2)</f>
        <v>1</v>
      </c>
      <c r="AB279" s="143">
        <f t="shared" si="1688"/>
        <v>1</v>
      </c>
      <c r="AC279" s="144">
        <f t="shared" si="1688"/>
        <v>2</v>
      </c>
      <c r="AD279" s="145">
        <f t="shared" si="1688"/>
        <v>2</v>
      </c>
      <c r="AE279" s="145">
        <f t="shared" si="1688"/>
        <v>2</v>
      </c>
      <c r="AF279" s="145">
        <f t="shared" si="1688"/>
        <v>1</v>
      </c>
      <c r="AG279" s="86">
        <f t="shared" si="1547"/>
        <v>7</v>
      </c>
      <c r="AH279" s="144">
        <f t="shared" ref="AH279:AJ279" si="1689">RANDBETWEEN(1,10)</f>
        <v>4</v>
      </c>
      <c r="AI279" s="145">
        <f t="shared" si="1689"/>
        <v>10</v>
      </c>
      <c r="AJ279" s="145">
        <f t="shared" si="1689"/>
        <v>2</v>
      </c>
      <c r="AK279" s="192">
        <f t="shared" si="1549"/>
        <v>16</v>
      </c>
      <c r="AL279" s="144"/>
      <c r="AM279" s="145"/>
      <c r="AN279" s="145"/>
      <c r="AO279" s="145"/>
      <c r="AP279" s="89"/>
      <c r="AQ279" s="144"/>
      <c r="AR279" s="145"/>
      <c r="AS279" s="145"/>
      <c r="AT279" s="193"/>
      <c r="AU279" s="144"/>
      <c r="AV279" s="145"/>
      <c r="AW279" s="145"/>
      <c r="AX279" s="194"/>
      <c r="AY279" s="92">
        <f t="shared" ref="AY279:AZ279" si="1690">RANDBETWEEN(1,10)/10</f>
        <v>1</v>
      </c>
      <c r="AZ279" s="92">
        <f t="shared" si="1690"/>
        <v>0.3</v>
      </c>
      <c r="BA279" s="93">
        <v>0.0</v>
      </c>
      <c r="BB279" s="93">
        <v>0.0</v>
      </c>
      <c r="BC279" s="94">
        <f>SUM(BC251,'ГОЧ'!$AY279)</f>
        <v>1203.8</v>
      </c>
      <c r="BD279" s="94">
        <f>SUM(BD251,'ГОЧ'!$AZ279)</f>
        <v>1204.1</v>
      </c>
      <c r="BE279" s="108"/>
      <c r="BF279" s="108"/>
    </row>
    <row r="280" ht="15.75" customHeight="1">
      <c r="A280" s="67">
        <f t="shared" si="1537"/>
        <v>46263</v>
      </c>
      <c r="B280" s="201" t="s">
        <v>67</v>
      </c>
      <c r="C280" s="164">
        <f t="shared" si="1538"/>
        <v>13</v>
      </c>
      <c r="D280" s="164">
        <f t="shared" ref="D280:L280" si="1691">SUM(D275:D279)</f>
        <v>7</v>
      </c>
      <c r="E280" s="165">
        <f t="shared" si="1691"/>
        <v>4</v>
      </c>
      <c r="F280" s="165">
        <f t="shared" si="1691"/>
        <v>6</v>
      </c>
      <c r="G280" s="165">
        <f t="shared" si="1691"/>
        <v>5</v>
      </c>
      <c r="H280" s="165">
        <f t="shared" si="1691"/>
        <v>5</v>
      </c>
      <c r="I280" s="165">
        <f t="shared" si="1691"/>
        <v>6</v>
      </c>
      <c r="J280" s="165">
        <f t="shared" si="1691"/>
        <v>3</v>
      </c>
      <c r="K280" s="165">
        <f t="shared" si="1691"/>
        <v>5</v>
      </c>
      <c r="L280" s="165">
        <f t="shared" si="1691"/>
        <v>4</v>
      </c>
      <c r="M280" s="164">
        <f t="shared" si="1666"/>
        <v>191</v>
      </c>
      <c r="N280" s="164">
        <f t="shared" ref="N280:U280" si="1692">SUM(N275:N279)</f>
        <v>31</v>
      </c>
      <c r="O280" s="165">
        <f t="shared" si="1692"/>
        <v>13</v>
      </c>
      <c r="P280" s="165">
        <f t="shared" si="1692"/>
        <v>34</v>
      </c>
      <c r="Q280" s="165">
        <f t="shared" si="1692"/>
        <v>15</v>
      </c>
      <c r="R280" s="165">
        <f t="shared" si="1692"/>
        <v>31</v>
      </c>
      <c r="S280" s="165">
        <f t="shared" si="1692"/>
        <v>33</v>
      </c>
      <c r="T280" s="165">
        <f t="shared" si="1692"/>
        <v>34</v>
      </c>
      <c r="U280" s="164">
        <f t="shared" si="1692"/>
        <v>97</v>
      </c>
      <c r="V280" s="164">
        <f t="shared" si="1577"/>
        <v>18</v>
      </c>
      <c r="W280" s="165">
        <f t="shared" ref="W280:Y280" si="1693">SUM(W275:W279)</f>
        <v>5</v>
      </c>
      <c r="X280" s="165">
        <f t="shared" si="1693"/>
        <v>6</v>
      </c>
      <c r="Y280" s="165">
        <f t="shared" si="1693"/>
        <v>7</v>
      </c>
      <c r="Z280" s="164">
        <f>SUM(AA280:AB280)</f>
        <v>4</v>
      </c>
      <c r="AA280" s="164">
        <f t="shared" ref="AA280:AF280" si="1694">SUM(AA275:AA279)</f>
        <v>2</v>
      </c>
      <c r="AB280" s="165">
        <f t="shared" si="1694"/>
        <v>2</v>
      </c>
      <c r="AC280" s="166">
        <f t="shared" si="1694"/>
        <v>5</v>
      </c>
      <c r="AD280" s="166">
        <f t="shared" si="1694"/>
        <v>5</v>
      </c>
      <c r="AE280" s="166">
        <f t="shared" si="1694"/>
        <v>5</v>
      </c>
      <c r="AF280" s="166">
        <f t="shared" si="1694"/>
        <v>6</v>
      </c>
      <c r="AG280" s="168">
        <f t="shared" si="1547"/>
        <v>21</v>
      </c>
      <c r="AH280" s="166">
        <f t="shared" ref="AH280:AJ280" si="1695">SUM(AH275:AH279)</f>
        <v>22</v>
      </c>
      <c r="AI280" s="167">
        <f t="shared" si="1695"/>
        <v>27</v>
      </c>
      <c r="AJ280" s="167">
        <f t="shared" si="1695"/>
        <v>14</v>
      </c>
      <c r="AK280" s="168">
        <f t="shared" si="1549"/>
        <v>63</v>
      </c>
      <c r="AL280" s="166"/>
      <c r="AM280" s="166"/>
      <c r="AN280" s="166"/>
      <c r="AO280" s="166"/>
      <c r="AP280" s="169"/>
      <c r="AQ280" s="166"/>
      <c r="AR280" s="167"/>
      <c r="AS280" s="167"/>
      <c r="AT280" s="170"/>
      <c r="AU280" s="166"/>
      <c r="AV280" s="167"/>
      <c r="AW280" s="167"/>
      <c r="AX280" s="171"/>
      <c r="AY280" s="196">
        <f t="shared" ref="AY280:BD280" si="1696">SUM(AY275:AY279)</f>
        <v>2.6</v>
      </c>
      <c r="AZ280" s="196">
        <f t="shared" si="1696"/>
        <v>2.1</v>
      </c>
      <c r="BA280" s="167">
        <f t="shared" si="1696"/>
        <v>0</v>
      </c>
      <c r="BB280" s="167">
        <f t="shared" si="1696"/>
        <v>0</v>
      </c>
      <c r="BC280" s="197">
        <f t="shared" si="1696"/>
        <v>6021.7</v>
      </c>
      <c r="BD280" s="197">
        <f t="shared" si="1696"/>
        <v>6023.2</v>
      </c>
      <c r="BE280" s="154" t="str">
        <f t="shared" ref="BE280:BF280" si="1697">TEXTJOIN(", ",TRUE,BE275:BE279)</f>
        <v/>
      </c>
      <c r="BF280" s="154" t="str">
        <f t="shared" si="1697"/>
        <v/>
      </c>
    </row>
    <row r="281" ht="15.75" customHeight="1">
      <c r="A281" s="67">
        <f t="shared" si="1537"/>
        <v>46263</v>
      </c>
      <c r="B281" s="202" t="s">
        <v>72</v>
      </c>
      <c r="C281" s="203">
        <f t="shared" ref="C281:AK281" si="1698">SUM(C255+C256+C257+C261,C260,C267,C274,C280)</f>
        <v>44</v>
      </c>
      <c r="D281" s="203">
        <f t="shared" si="1698"/>
        <v>23</v>
      </c>
      <c r="E281" s="203">
        <f t="shared" si="1698"/>
        <v>17</v>
      </c>
      <c r="F281" s="203">
        <f t="shared" si="1698"/>
        <v>21</v>
      </c>
      <c r="G281" s="203">
        <f t="shared" si="1698"/>
        <v>25</v>
      </c>
      <c r="H281" s="203">
        <f t="shared" si="1698"/>
        <v>21</v>
      </c>
      <c r="I281" s="203">
        <f t="shared" si="1698"/>
        <v>25</v>
      </c>
      <c r="J281" s="203">
        <f t="shared" si="1698"/>
        <v>19</v>
      </c>
      <c r="K281" s="203">
        <f t="shared" si="1698"/>
        <v>19</v>
      </c>
      <c r="L281" s="203">
        <f t="shared" si="1698"/>
        <v>16</v>
      </c>
      <c r="M281" s="203">
        <f t="shared" si="1698"/>
        <v>762</v>
      </c>
      <c r="N281" s="203">
        <f t="shared" si="1698"/>
        <v>111</v>
      </c>
      <c r="O281" s="203">
        <f t="shared" si="1698"/>
        <v>96</v>
      </c>
      <c r="P281" s="203">
        <f t="shared" si="1698"/>
        <v>100</v>
      </c>
      <c r="Q281" s="203">
        <f t="shared" si="1698"/>
        <v>89</v>
      </c>
      <c r="R281" s="203">
        <f t="shared" si="1698"/>
        <v>100</v>
      </c>
      <c r="S281" s="203">
        <f t="shared" si="1698"/>
        <v>117</v>
      </c>
      <c r="T281" s="203">
        <f t="shared" si="1698"/>
        <v>149</v>
      </c>
      <c r="U281" s="203">
        <f t="shared" si="1698"/>
        <v>416</v>
      </c>
      <c r="V281" s="203">
        <f t="shared" si="1698"/>
        <v>67</v>
      </c>
      <c r="W281" s="203">
        <f t="shared" si="1698"/>
        <v>24</v>
      </c>
      <c r="X281" s="203">
        <f t="shared" si="1698"/>
        <v>21</v>
      </c>
      <c r="Y281" s="203">
        <f t="shared" si="1698"/>
        <v>22</v>
      </c>
      <c r="Z281" s="203">
        <f t="shared" si="1698"/>
        <v>41</v>
      </c>
      <c r="AA281" s="203">
        <f t="shared" si="1698"/>
        <v>18</v>
      </c>
      <c r="AB281" s="203">
        <f t="shared" si="1698"/>
        <v>23</v>
      </c>
      <c r="AC281" s="204">
        <f t="shared" si="1698"/>
        <v>18</v>
      </c>
      <c r="AD281" s="204">
        <f t="shared" si="1698"/>
        <v>23</v>
      </c>
      <c r="AE281" s="204">
        <f t="shared" si="1698"/>
        <v>21</v>
      </c>
      <c r="AF281" s="204">
        <f t="shared" si="1698"/>
        <v>23</v>
      </c>
      <c r="AG281" s="204">
        <f t="shared" si="1698"/>
        <v>85</v>
      </c>
      <c r="AH281" s="204">
        <f t="shared" si="1698"/>
        <v>97</v>
      </c>
      <c r="AI281" s="204">
        <f t="shared" si="1698"/>
        <v>107</v>
      </c>
      <c r="AJ281" s="204">
        <f t="shared" si="1698"/>
        <v>110</v>
      </c>
      <c r="AK281" s="204">
        <f t="shared" si="1698"/>
        <v>314</v>
      </c>
      <c r="AL281" s="204"/>
      <c r="AM281" s="204"/>
      <c r="AN281" s="204"/>
      <c r="AO281" s="204"/>
      <c r="AP281" s="151"/>
      <c r="AQ281" s="204"/>
      <c r="AR281" s="204"/>
      <c r="AS281" s="204"/>
      <c r="AT281" s="152"/>
      <c r="AU281" s="204"/>
      <c r="AV281" s="204"/>
      <c r="AW281" s="204"/>
      <c r="AX281" s="153"/>
      <c r="AY281" s="205">
        <f t="shared" ref="AY281:BD281" si="1699">SUM(AY255+AY256+AY257+AY261,AY260,AY267,AY274,AY280)</f>
        <v>16.4</v>
      </c>
      <c r="AZ281" s="205">
        <f t="shared" si="1699"/>
        <v>14.2</v>
      </c>
      <c r="BA281" s="206">
        <f t="shared" si="1699"/>
        <v>5</v>
      </c>
      <c r="BB281" s="206">
        <f t="shared" si="1699"/>
        <v>3</v>
      </c>
      <c r="BC281" s="207">
        <f t="shared" si="1699"/>
        <v>26511.3</v>
      </c>
      <c r="BD281" s="207">
        <f t="shared" si="1699"/>
        <v>26515.7</v>
      </c>
      <c r="BE281" s="154" t="str">
        <f t="shared" ref="BE281:BF281" si="1700">TEXTJOIN(", ",TRUE,BE280,BE274,BE267,BE261,BE260,BE257,BE256,BE255)</f>
        <v>Олександівка, Пантелеймонівка, Миколаївка, Курськ, Рильск</v>
      </c>
      <c r="BF281" s="154" t="str">
        <f t="shared" si="1700"/>
        <v>Загреблі, Верхні води, Ступочки</v>
      </c>
    </row>
    <row r="282" ht="15.75" customHeight="1">
      <c r="A282" s="55">
        <f>A281+1</f>
        <v>46264</v>
      </c>
      <c r="B282" s="56"/>
      <c r="C282" s="57"/>
      <c r="D282" s="58"/>
      <c r="E282" s="59"/>
      <c r="F282" s="58"/>
      <c r="G282" s="59"/>
      <c r="H282" s="57"/>
      <c r="I282" s="60"/>
      <c r="J282" s="57"/>
      <c r="K282" s="57"/>
      <c r="L282" s="57"/>
      <c r="M282" s="57"/>
      <c r="N282" s="60"/>
      <c r="O282" s="60"/>
      <c r="P282" s="60"/>
      <c r="Q282" s="60"/>
      <c r="R282" s="60"/>
      <c r="S282" s="60"/>
      <c r="T282" s="60"/>
      <c r="U282" s="57"/>
      <c r="V282" s="58"/>
      <c r="W282" s="61"/>
      <c r="X282" s="61"/>
      <c r="Y282" s="61"/>
      <c r="Z282" s="57"/>
      <c r="AA282" s="60"/>
      <c r="AB282" s="60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4"/>
      <c r="AQ282" s="62"/>
      <c r="AR282" s="62"/>
      <c r="AS282" s="62"/>
      <c r="AT282" s="65"/>
      <c r="AU282" s="62"/>
      <c r="AV282" s="62"/>
      <c r="AW282" s="62"/>
      <c r="AX282" s="66"/>
      <c r="AY282" s="208"/>
      <c r="AZ282" s="208"/>
      <c r="BA282" s="62"/>
      <c r="BB282" s="62"/>
      <c r="BC282" s="209"/>
      <c r="BD282" s="209"/>
      <c r="BE282" s="62"/>
      <c r="BF282" s="62"/>
    </row>
    <row r="283" ht="15.75" customHeight="1">
      <c r="A283" s="67">
        <f t="shared" ref="A283:A309" si="1707">A282</f>
        <v>46264</v>
      </c>
      <c r="B283" s="70" t="s">
        <v>8</v>
      </c>
      <c r="C283" s="72">
        <f t="shared" ref="C283:C308" si="1708">SUM(D283,F283)</f>
        <v>4</v>
      </c>
      <c r="D283" s="74">
        <f t="shared" ref="D283:L283" si="1701">RANDBETWEEN(0,2)</f>
        <v>2</v>
      </c>
      <c r="E283" s="74">
        <f t="shared" si="1701"/>
        <v>0</v>
      </c>
      <c r="F283" s="74">
        <f t="shared" si="1701"/>
        <v>2</v>
      </c>
      <c r="G283" s="74">
        <f t="shared" si="1701"/>
        <v>0</v>
      </c>
      <c r="H283" s="75">
        <f t="shared" si="1701"/>
        <v>1</v>
      </c>
      <c r="I283" s="76">
        <f t="shared" si="1701"/>
        <v>0</v>
      </c>
      <c r="J283" s="77">
        <f t="shared" si="1701"/>
        <v>0</v>
      </c>
      <c r="K283" s="78">
        <f t="shared" si="1701"/>
        <v>0</v>
      </c>
      <c r="L283" s="78">
        <f t="shared" si="1701"/>
        <v>0</v>
      </c>
      <c r="M283" s="79">
        <f t="shared" ref="M283:M301" si="1710">SUM(N283:T283)</f>
        <v>36</v>
      </c>
      <c r="N283" s="74">
        <f t="shared" ref="N283:T283" si="1702">RANDBETWEEN(0,10)</f>
        <v>2</v>
      </c>
      <c r="O283" s="74">
        <f t="shared" si="1702"/>
        <v>5</v>
      </c>
      <c r="P283" s="74">
        <f t="shared" si="1702"/>
        <v>7</v>
      </c>
      <c r="Q283" s="74">
        <f t="shared" si="1702"/>
        <v>10</v>
      </c>
      <c r="R283" s="74">
        <f t="shared" si="1702"/>
        <v>7</v>
      </c>
      <c r="S283" s="74">
        <f t="shared" si="1702"/>
        <v>0</v>
      </c>
      <c r="T283" s="74">
        <f t="shared" si="1702"/>
        <v>5</v>
      </c>
      <c r="U283" s="81">
        <f t="shared" ref="U283:U284" si="1712">RANDBETWEEN(10,30)</f>
        <v>29</v>
      </c>
      <c r="V283" s="82">
        <f t="shared" ref="V283:V288" si="1713">SUM(W283:Y283)</f>
        <v>4</v>
      </c>
      <c r="W283" s="74">
        <f t="shared" ref="W283:Y283" si="1703">RANDBETWEEN(0,2)</f>
        <v>0</v>
      </c>
      <c r="X283" s="74">
        <f t="shared" si="1703"/>
        <v>2</v>
      </c>
      <c r="Y283" s="74">
        <f t="shared" si="1703"/>
        <v>2</v>
      </c>
      <c r="Z283" s="83">
        <f t="shared" ref="Z283:Z285" si="1715">AA283+AB283</f>
        <v>1</v>
      </c>
      <c r="AA283" s="84">
        <f t="shared" ref="AA283:AF283" si="1704">RANDBETWEEN(0,2)</f>
        <v>1</v>
      </c>
      <c r="AB283" s="84">
        <f t="shared" si="1704"/>
        <v>0</v>
      </c>
      <c r="AC283" s="85">
        <f t="shared" si="1704"/>
        <v>1</v>
      </c>
      <c r="AD283" s="85">
        <f t="shared" si="1704"/>
        <v>1</v>
      </c>
      <c r="AE283" s="85">
        <f t="shared" si="1704"/>
        <v>0</v>
      </c>
      <c r="AF283" s="85">
        <f t="shared" si="1704"/>
        <v>0</v>
      </c>
      <c r="AG283" s="86">
        <f t="shared" ref="AG283:AG308" si="1717">SUM(AC283:AF283)</f>
        <v>2</v>
      </c>
      <c r="AH283" s="87">
        <f t="shared" ref="AH283:AJ283" si="1705">RANDBETWEEN(1,10)</f>
        <v>3</v>
      </c>
      <c r="AI283" s="85">
        <f t="shared" si="1705"/>
        <v>6</v>
      </c>
      <c r="AJ283" s="85">
        <f t="shared" si="1705"/>
        <v>1</v>
      </c>
      <c r="AK283" s="88">
        <f t="shared" ref="AK283:AK308" si="1719">SUM(AH283:AJ283)</f>
        <v>10</v>
      </c>
      <c r="AL283" s="85"/>
      <c r="AM283" s="85"/>
      <c r="AN283" s="85"/>
      <c r="AO283" s="85"/>
      <c r="AP283" s="89"/>
      <c r="AQ283" s="87"/>
      <c r="AR283" s="85"/>
      <c r="AS283" s="85"/>
      <c r="AT283" s="90"/>
      <c r="AU283" s="87"/>
      <c r="AV283" s="85"/>
      <c r="AW283" s="85"/>
      <c r="AX283" s="91"/>
      <c r="AY283" s="92">
        <f t="shared" ref="AY283:AZ283" si="1706">RANDBETWEEN(1,10)/10</f>
        <v>0.9</v>
      </c>
      <c r="AZ283" s="92">
        <f t="shared" si="1706"/>
        <v>0.5</v>
      </c>
      <c r="BA283" s="93">
        <v>0.0</v>
      </c>
      <c r="BB283" s="93">
        <v>0.0</v>
      </c>
      <c r="BC283" s="94">
        <f>SUM(BC255,'ГОЧ'!$AY283)</f>
        <v>1207.5</v>
      </c>
      <c r="BD283" s="94">
        <f>SUM(BD255,'ГОЧ'!$AZ283)</f>
        <v>1207.7</v>
      </c>
      <c r="BE283" s="85"/>
      <c r="BF283" s="85"/>
    </row>
    <row r="284" ht="15.75" customHeight="1">
      <c r="A284" s="67">
        <f t="shared" si="1707"/>
        <v>46264</v>
      </c>
      <c r="B284" s="95" t="s">
        <v>10</v>
      </c>
      <c r="C284" s="96">
        <f t="shared" si="1708"/>
        <v>1</v>
      </c>
      <c r="D284" s="97">
        <f t="shared" ref="D284:L284" si="1709">RANDBETWEEN(0,2)</f>
        <v>1</v>
      </c>
      <c r="E284" s="97">
        <f t="shared" si="1709"/>
        <v>2</v>
      </c>
      <c r="F284" s="97">
        <f t="shared" si="1709"/>
        <v>0</v>
      </c>
      <c r="G284" s="97">
        <f t="shared" si="1709"/>
        <v>0</v>
      </c>
      <c r="H284" s="98">
        <f t="shared" si="1709"/>
        <v>1</v>
      </c>
      <c r="I284" s="99">
        <f t="shared" si="1709"/>
        <v>1</v>
      </c>
      <c r="J284" s="100">
        <f t="shared" si="1709"/>
        <v>0</v>
      </c>
      <c r="K284" s="101">
        <f t="shared" si="1709"/>
        <v>1</v>
      </c>
      <c r="L284" s="101">
        <f t="shared" si="1709"/>
        <v>2</v>
      </c>
      <c r="M284" s="102">
        <f t="shared" si="1710"/>
        <v>32</v>
      </c>
      <c r="N284" s="97">
        <f t="shared" ref="N284:T284" si="1711">RANDBETWEEN(0,10)</f>
        <v>0</v>
      </c>
      <c r="O284" s="97">
        <f t="shared" si="1711"/>
        <v>7</v>
      </c>
      <c r="P284" s="97">
        <f t="shared" si="1711"/>
        <v>2</v>
      </c>
      <c r="Q284" s="97">
        <f t="shared" si="1711"/>
        <v>9</v>
      </c>
      <c r="R284" s="97">
        <f t="shared" si="1711"/>
        <v>2</v>
      </c>
      <c r="S284" s="97">
        <f t="shared" si="1711"/>
        <v>8</v>
      </c>
      <c r="T284" s="97">
        <f t="shared" si="1711"/>
        <v>4</v>
      </c>
      <c r="U284" s="103">
        <f t="shared" si="1712"/>
        <v>10</v>
      </c>
      <c r="V284" s="104">
        <f t="shared" si="1713"/>
        <v>4</v>
      </c>
      <c r="W284" s="97">
        <f t="shared" ref="W284:Y284" si="1714">RANDBETWEEN(0,2)</f>
        <v>2</v>
      </c>
      <c r="X284" s="97">
        <f t="shared" si="1714"/>
        <v>2</v>
      </c>
      <c r="Y284" s="97">
        <f t="shared" si="1714"/>
        <v>0</v>
      </c>
      <c r="Z284" s="105">
        <f t="shared" si="1715"/>
        <v>4</v>
      </c>
      <c r="AA284" s="106">
        <f t="shared" ref="AA284:AF284" si="1716">RANDBETWEEN(0,2)</f>
        <v>2</v>
      </c>
      <c r="AB284" s="106">
        <f t="shared" si="1716"/>
        <v>2</v>
      </c>
      <c r="AC284" s="107">
        <f t="shared" si="1716"/>
        <v>0</v>
      </c>
      <c r="AD284" s="108">
        <f t="shared" si="1716"/>
        <v>0</v>
      </c>
      <c r="AE284" s="108">
        <f t="shared" si="1716"/>
        <v>1</v>
      </c>
      <c r="AF284" s="108">
        <f t="shared" si="1716"/>
        <v>1</v>
      </c>
      <c r="AG284" s="109">
        <f t="shared" si="1717"/>
        <v>2</v>
      </c>
      <c r="AH284" s="107">
        <f t="shared" ref="AH284:AJ284" si="1718">RANDBETWEEN(1,10)</f>
        <v>10</v>
      </c>
      <c r="AI284" s="108">
        <f t="shared" si="1718"/>
        <v>7</v>
      </c>
      <c r="AJ284" s="108">
        <f t="shared" si="1718"/>
        <v>6</v>
      </c>
      <c r="AK284" s="110">
        <f t="shared" si="1719"/>
        <v>23</v>
      </c>
      <c r="AL284" s="107"/>
      <c r="AM284" s="108"/>
      <c r="AN284" s="108"/>
      <c r="AO284" s="108"/>
      <c r="AP284" s="111"/>
      <c r="AQ284" s="107"/>
      <c r="AR284" s="108"/>
      <c r="AS284" s="108"/>
      <c r="AT284" s="112"/>
      <c r="AU284" s="107"/>
      <c r="AV284" s="108"/>
      <c r="AW284" s="108"/>
      <c r="AX284" s="113"/>
      <c r="AY284" s="92">
        <f t="shared" ref="AY284:AZ284" si="1720">RANDBETWEEN(1,10)/10</f>
        <v>0.6</v>
      </c>
      <c r="AZ284" s="92">
        <f t="shared" si="1720"/>
        <v>0.1</v>
      </c>
      <c r="BA284" s="93">
        <v>0.0</v>
      </c>
      <c r="BB284" s="93">
        <v>0.0</v>
      </c>
      <c r="BC284" s="94">
        <f>SUM(BC256,'ГОЧ'!$AY284)</f>
        <v>1205</v>
      </c>
      <c r="BD284" s="94">
        <f>SUM(BD256,'ГОЧ'!$AZ284)</f>
        <v>1205.3</v>
      </c>
      <c r="BE284" s="108"/>
      <c r="BF284" s="108"/>
    </row>
    <row r="285" ht="15.75" customHeight="1">
      <c r="A285" s="67">
        <f t="shared" si="1707"/>
        <v>46264</v>
      </c>
      <c r="B285" s="114" t="s">
        <v>12</v>
      </c>
      <c r="C285" s="115">
        <f t="shared" si="1708"/>
        <v>0</v>
      </c>
      <c r="D285" s="115">
        <v>0.0</v>
      </c>
      <c r="E285" s="116">
        <v>0.0</v>
      </c>
      <c r="F285" s="116">
        <v>0.0</v>
      </c>
      <c r="G285" s="116">
        <v>0.0</v>
      </c>
      <c r="H285" s="115">
        <v>0.0</v>
      </c>
      <c r="I285" s="116">
        <v>0.0</v>
      </c>
      <c r="J285" s="115">
        <v>0.0</v>
      </c>
      <c r="K285" s="116">
        <v>0.0</v>
      </c>
      <c r="L285" s="116">
        <v>0.0</v>
      </c>
      <c r="M285" s="115">
        <f t="shared" si="1710"/>
        <v>0</v>
      </c>
      <c r="N285" s="115">
        <v>0.0</v>
      </c>
      <c r="O285" s="116">
        <v>0.0</v>
      </c>
      <c r="P285" s="116">
        <v>0.0</v>
      </c>
      <c r="Q285" s="116">
        <v>0.0</v>
      </c>
      <c r="R285" s="116">
        <v>0.0</v>
      </c>
      <c r="S285" s="116">
        <v>0.0</v>
      </c>
      <c r="T285" s="116">
        <v>0.0</v>
      </c>
      <c r="U285" s="115">
        <v>0.0</v>
      </c>
      <c r="V285" s="115">
        <f t="shared" si="1713"/>
        <v>0</v>
      </c>
      <c r="W285" s="116">
        <v>0.0</v>
      </c>
      <c r="X285" s="116">
        <v>0.0</v>
      </c>
      <c r="Y285" s="116">
        <v>0.0</v>
      </c>
      <c r="Z285" s="116">
        <f t="shared" si="1715"/>
        <v>0</v>
      </c>
      <c r="AA285" s="116">
        <v>0.0</v>
      </c>
      <c r="AB285" s="116">
        <v>0.0</v>
      </c>
      <c r="AC285" s="117">
        <v>0.0</v>
      </c>
      <c r="AD285" s="118">
        <v>0.0</v>
      </c>
      <c r="AE285" s="118">
        <v>0.0</v>
      </c>
      <c r="AF285" s="118">
        <v>0.0</v>
      </c>
      <c r="AG285" s="119">
        <f t="shared" si="1717"/>
        <v>0</v>
      </c>
      <c r="AH285" s="117">
        <v>0.0</v>
      </c>
      <c r="AI285" s="118">
        <v>0.0</v>
      </c>
      <c r="AJ285" s="118">
        <v>0.0</v>
      </c>
      <c r="AK285" s="119">
        <f t="shared" si="1719"/>
        <v>0</v>
      </c>
      <c r="AL285" s="117"/>
      <c r="AM285" s="118"/>
      <c r="AN285" s="118"/>
      <c r="AO285" s="118"/>
      <c r="AP285" s="111"/>
      <c r="AQ285" s="117"/>
      <c r="AR285" s="118"/>
      <c r="AS285" s="118"/>
      <c r="AT285" s="120"/>
      <c r="AU285" s="117"/>
      <c r="AV285" s="118"/>
      <c r="AW285" s="118"/>
      <c r="AX285" s="121"/>
      <c r="AY285" s="122">
        <f t="shared" ref="AY285:BD285" si="1721">SUM(AY283:AY284)</f>
        <v>1.5</v>
      </c>
      <c r="AZ285" s="122">
        <f t="shared" si="1721"/>
        <v>0.6</v>
      </c>
      <c r="BA285" s="118">
        <f t="shared" si="1721"/>
        <v>0</v>
      </c>
      <c r="BB285" s="118">
        <f t="shared" si="1721"/>
        <v>0</v>
      </c>
      <c r="BC285" s="123">
        <f t="shared" si="1721"/>
        <v>2412.5</v>
      </c>
      <c r="BD285" s="123">
        <f t="shared" si="1721"/>
        <v>2413</v>
      </c>
      <c r="BE285" s="118"/>
      <c r="BF285" s="118"/>
    </row>
    <row r="286" ht="15.75" customHeight="1">
      <c r="A286" s="67">
        <f t="shared" si="1707"/>
        <v>46264</v>
      </c>
      <c r="B286" s="124" t="s">
        <v>14</v>
      </c>
      <c r="C286" s="96">
        <f t="shared" si="1708"/>
        <v>1</v>
      </c>
      <c r="D286" s="125">
        <f t="shared" ref="D286:L286" si="1722">RANDBETWEEN(0,2)</f>
        <v>0</v>
      </c>
      <c r="E286" s="125">
        <f t="shared" si="1722"/>
        <v>2</v>
      </c>
      <c r="F286" s="125">
        <f t="shared" si="1722"/>
        <v>1</v>
      </c>
      <c r="G286" s="125">
        <f t="shared" si="1722"/>
        <v>0</v>
      </c>
      <c r="H286" s="126">
        <f t="shared" si="1722"/>
        <v>0</v>
      </c>
      <c r="I286" s="127">
        <f t="shared" si="1722"/>
        <v>0</v>
      </c>
      <c r="J286" s="128">
        <f t="shared" si="1722"/>
        <v>1</v>
      </c>
      <c r="K286" s="130">
        <f t="shared" si="1722"/>
        <v>0</v>
      </c>
      <c r="L286" s="130">
        <f t="shared" si="1722"/>
        <v>0</v>
      </c>
      <c r="M286" s="102">
        <f t="shared" si="1710"/>
        <v>37</v>
      </c>
      <c r="N286" s="125">
        <f t="shared" ref="N286:T286" si="1723">RANDBETWEEN(0,10)</f>
        <v>0</v>
      </c>
      <c r="O286" s="125">
        <f t="shared" si="1723"/>
        <v>3</v>
      </c>
      <c r="P286" s="125">
        <f t="shared" si="1723"/>
        <v>8</v>
      </c>
      <c r="Q286" s="125">
        <f t="shared" si="1723"/>
        <v>7</v>
      </c>
      <c r="R286" s="125">
        <f t="shared" si="1723"/>
        <v>2</v>
      </c>
      <c r="S286" s="125">
        <f t="shared" si="1723"/>
        <v>9</v>
      </c>
      <c r="T286" s="125">
        <f t="shared" si="1723"/>
        <v>8</v>
      </c>
      <c r="U286" s="103">
        <f t="shared" ref="U286:U287" si="1730">RANDBETWEEN(10,30)</f>
        <v>26</v>
      </c>
      <c r="V286" s="131">
        <f t="shared" si="1713"/>
        <v>2</v>
      </c>
      <c r="W286" s="125">
        <f t="shared" ref="W286:Y286" si="1724">RANDBETWEEN(0,2)</f>
        <v>0</v>
      </c>
      <c r="X286" s="125">
        <f t="shared" si="1724"/>
        <v>2</v>
      </c>
      <c r="Y286" s="125">
        <f t="shared" si="1724"/>
        <v>0</v>
      </c>
      <c r="Z286" s="132">
        <f t="shared" ref="Z286:Z289" si="1732">SUM(AA286:AB286)</f>
        <v>0</v>
      </c>
      <c r="AA286" s="133">
        <f t="shared" ref="AA286:AF286" si="1725">RANDBETWEEN(0,2)</f>
        <v>0</v>
      </c>
      <c r="AB286" s="133">
        <f t="shared" si="1725"/>
        <v>0</v>
      </c>
      <c r="AC286" s="134">
        <f t="shared" si="1725"/>
        <v>0</v>
      </c>
      <c r="AD286" s="134">
        <f t="shared" si="1725"/>
        <v>2</v>
      </c>
      <c r="AE286" s="134">
        <f t="shared" si="1725"/>
        <v>1</v>
      </c>
      <c r="AF286" s="134">
        <f t="shared" si="1725"/>
        <v>1</v>
      </c>
      <c r="AG286" s="135">
        <f t="shared" si="1717"/>
        <v>4</v>
      </c>
      <c r="AH286" s="136">
        <f t="shared" ref="AH286:AJ286" si="1726">RANDBETWEEN(1,10)</f>
        <v>1</v>
      </c>
      <c r="AI286" s="134">
        <f t="shared" si="1726"/>
        <v>8</v>
      </c>
      <c r="AJ286" s="134">
        <f t="shared" si="1726"/>
        <v>8</v>
      </c>
      <c r="AK286" s="137">
        <f t="shared" si="1719"/>
        <v>17</v>
      </c>
      <c r="AL286" s="134"/>
      <c r="AM286" s="134"/>
      <c r="AN286" s="134"/>
      <c r="AO286" s="134"/>
      <c r="AP286" s="111"/>
      <c r="AQ286" s="136"/>
      <c r="AR286" s="134"/>
      <c r="AS286" s="134"/>
      <c r="AT286" s="120"/>
      <c r="AU286" s="136"/>
      <c r="AV286" s="134"/>
      <c r="AW286" s="134"/>
      <c r="AX286" s="121"/>
      <c r="AY286" s="92">
        <f t="shared" ref="AY286:AZ286" si="1727">RANDBETWEEN(1,10)/10</f>
        <v>0.6</v>
      </c>
      <c r="AZ286" s="92">
        <f t="shared" si="1727"/>
        <v>0.3</v>
      </c>
      <c r="BA286" s="93">
        <v>0.0</v>
      </c>
      <c r="BB286" s="93">
        <v>0.0</v>
      </c>
      <c r="BC286" s="94">
        <f>SUM(BC258,'ГОЧ'!$AY286)</f>
        <v>1204.7</v>
      </c>
      <c r="BD286" s="94">
        <f>SUM(BD258,'ГОЧ'!$AZ286)</f>
        <v>1205</v>
      </c>
      <c r="BE286" s="108"/>
      <c r="BF286" s="108"/>
    </row>
    <row r="287" ht="15.75" customHeight="1">
      <c r="A287" s="67">
        <f t="shared" si="1707"/>
        <v>46264</v>
      </c>
      <c r="B287" s="138" t="s">
        <v>16</v>
      </c>
      <c r="C287" s="139">
        <f t="shared" si="1708"/>
        <v>4</v>
      </c>
      <c r="D287" s="97">
        <f t="shared" ref="D287:L287" si="1728">RANDBETWEEN(0,2)</f>
        <v>2</v>
      </c>
      <c r="E287" s="97">
        <f t="shared" si="1728"/>
        <v>0</v>
      </c>
      <c r="F287" s="97">
        <f t="shared" si="1728"/>
        <v>2</v>
      </c>
      <c r="G287" s="97">
        <f t="shared" si="1728"/>
        <v>1</v>
      </c>
      <c r="H287" s="98">
        <f t="shared" si="1728"/>
        <v>2</v>
      </c>
      <c r="I287" s="99">
        <f t="shared" si="1728"/>
        <v>2</v>
      </c>
      <c r="J287" s="100">
        <f t="shared" si="1728"/>
        <v>0</v>
      </c>
      <c r="K287" s="101">
        <f t="shared" si="1728"/>
        <v>2</v>
      </c>
      <c r="L287" s="101">
        <f t="shared" si="1728"/>
        <v>1</v>
      </c>
      <c r="M287" s="140">
        <f t="shared" si="1710"/>
        <v>32</v>
      </c>
      <c r="N287" s="97">
        <f t="shared" ref="N287:T287" si="1729">RANDBETWEEN(0,10)</f>
        <v>8</v>
      </c>
      <c r="O287" s="97">
        <f t="shared" si="1729"/>
        <v>9</v>
      </c>
      <c r="P287" s="97">
        <f t="shared" si="1729"/>
        <v>3</v>
      </c>
      <c r="Q287" s="97">
        <f t="shared" si="1729"/>
        <v>2</v>
      </c>
      <c r="R287" s="97">
        <f t="shared" si="1729"/>
        <v>0</v>
      </c>
      <c r="S287" s="97">
        <f t="shared" si="1729"/>
        <v>2</v>
      </c>
      <c r="T287" s="97">
        <f t="shared" si="1729"/>
        <v>8</v>
      </c>
      <c r="U287" s="103">
        <f t="shared" si="1730"/>
        <v>27</v>
      </c>
      <c r="V287" s="141">
        <f t="shared" si="1713"/>
        <v>2</v>
      </c>
      <c r="W287" s="97">
        <f t="shared" ref="W287:Y287" si="1731">RANDBETWEEN(0,2)</f>
        <v>1</v>
      </c>
      <c r="X287" s="97">
        <f t="shared" si="1731"/>
        <v>1</v>
      </c>
      <c r="Y287" s="97">
        <f t="shared" si="1731"/>
        <v>0</v>
      </c>
      <c r="Z287" s="142">
        <f t="shared" si="1732"/>
        <v>2</v>
      </c>
      <c r="AA287" s="143">
        <f t="shared" ref="AA287:AF287" si="1733">RANDBETWEEN(0,2)</f>
        <v>0</v>
      </c>
      <c r="AB287" s="143">
        <f t="shared" si="1733"/>
        <v>2</v>
      </c>
      <c r="AC287" s="144">
        <f t="shared" si="1733"/>
        <v>1</v>
      </c>
      <c r="AD287" s="145">
        <f t="shared" si="1733"/>
        <v>0</v>
      </c>
      <c r="AE287" s="145">
        <f t="shared" si="1733"/>
        <v>0</v>
      </c>
      <c r="AF287" s="145">
        <f t="shared" si="1733"/>
        <v>0</v>
      </c>
      <c r="AG287" s="146">
        <f t="shared" si="1717"/>
        <v>1</v>
      </c>
      <c r="AH287" s="144">
        <f t="shared" ref="AH287:AJ287" si="1734">RANDBETWEEN(1,10)</f>
        <v>7</v>
      </c>
      <c r="AI287" s="145">
        <f t="shared" si="1734"/>
        <v>7</v>
      </c>
      <c r="AJ287" s="145">
        <f t="shared" si="1734"/>
        <v>4</v>
      </c>
      <c r="AK287" s="147">
        <f t="shared" si="1719"/>
        <v>18</v>
      </c>
      <c r="AL287" s="144"/>
      <c r="AM287" s="145"/>
      <c r="AN287" s="145"/>
      <c r="AO287" s="145"/>
      <c r="AP287" s="148"/>
      <c r="AQ287" s="144"/>
      <c r="AR287" s="145"/>
      <c r="AS287" s="145"/>
      <c r="AT287" s="149"/>
      <c r="AU287" s="144"/>
      <c r="AV287" s="145"/>
      <c r="AW287" s="145"/>
      <c r="AX287" s="150"/>
      <c r="AY287" s="92">
        <f t="shared" ref="AY287:AZ287" si="1735">RANDBETWEEN(1,10)/10</f>
        <v>0.7</v>
      </c>
      <c r="AZ287" s="92">
        <f t="shared" si="1735"/>
        <v>0.2</v>
      </c>
      <c r="BA287" s="93">
        <v>0.0</v>
      </c>
      <c r="BB287" s="93">
        <v>0.0</v>
      </c>
      <c r="BC287" s="94">
        <f>SUM(BC259,'ГОЧ'!$AY287)</f>
        <v>1204.9</v>
      </c>
      <c r="BD287" s="94">
        <f>SUM(BD259,'ГОЧ'!$AZ287)</f>
        <v>1205.1</v>
      </c>
      <c r="BE287" s="108"/>
      <c r="BF287" s="108"/>
    </row>
    <row r="288" ht="15.75" customHeight="1">
      <c r="A288" s="67">
        <f t="shared" si="1707"/>
        <v>46264</v>
      </c>
      <c r="B288" s="114" t="s">
        <v>18</v>
      </c>
      <c r="C288" s="115">
        <f t="shared" si="1708"/>
        <v>5</v>
      </c>
      <c r="D288" s="115">
        <f t="shared" ref="D288:L288" si="1736">SUM(D286:D287)</f>
        <v>2</v>
      </c>
      <c r="E288" s="116">
        <f t="shared" si="1736"/>
        <v>2</v>
      </c>
      <c r="F288" s="116">
        <f t="shared" si="1736"/>
        <v>3</v>
      </c>
      <c r="G288" s="116">
        <f t="shared" si="1736"/>
        <v>1</v>
      </c>
      <c r="H288" s="115">
        <f t="shared" si="1736"/>
        <v>2</v>
      </c>
      <c r="I288" s="116">
        <f t="shared" si="1736"/>
        <v>2</v>
      </c>
      <c r="J288" s="115">
        <f t="shared" si="1736"/>
        <v>1</v>
      </c>
      <c r="K288" s="116">
        <f t="shared" si="1736"/>
        <v>2</v>
      </c>
      <c r="L288" s="116">
        <f t="shared" si="1736"/>
        <v>1</v>
      </c>
      <c r="M288" s="115">
        <f t="shared" si="1710"/>
        <v>67</v>
      </c>
      <c r="N288" s="115">
        <f t="shared" ref="N288:Q288" si="1737">SUM(N286:N287)</f>
        <v>8</v>
      </c>
      <c r="O288" s="116">
        <f t="shared" si="1737"/>
        <v>12</v>
      </c>
      <c r="P288" s="116">
        <f t="shared" si="1737"/>
        <v>11</v>
      </c>
      <c r="Q288" s="116">
        <f t="shared" si="1737"/>
        <v>9</v>
      </c>
      <c r="R288" s="116">
        <v>0.0</v>
      </c>
      <c r="S288" s="116">
        <f t="shared" ref="S288:U288" si="1738">SUM(S286:S287)</f>
        <v>11</v>
      </c>
      <c r="T288" s="116">
        <f t="shared" si="1738"/>
        <v>16</v>
      </c>
      <c r="U288" s="115">
        <f t="shared" si="1738"/>
        <v>53</v>
      </c>
      <c r="V288" s="115">
        <f t="shared" si="1713"/>
        <v>4</v>
      </c>
      <c r="W288" s="116">
        <f t="shared" ref="W288:Y288" si="1739">SUM(W286:W287)</f>
        <v>1</v>
      </c>
      <c r="X288" s="116">
        <f t="shared" si="1739"/>
        <v>3</v>
      </c>
      <c r="Y288" s="116">
        <f t="shared" si="1739"/>
        <v>0</v>
      </c>
      <c r="Z288" s="116">
        <f t="shared" si="1732"/>
        <v>2</v>
      </c>
      <c r="AA288" s="116">
        <f t="shared" ref="AA288:AF288" si="1740">SUM(AA286:AA287)</f>
        <v>0</v>
      </c>
      <c r="AB288" s="116">
        <f t="shared" si="1740"/>
        <v>2</v>
      </c>
      <c r="AC288" s="118">
        <f t="shared" si="1740"/>
        <v>1</v>
      </c>
      <c r="AD288" s="118">
        <f t="shared" si="1740"/>
        <v>2</v>
      </c>
      <c r="AE288" s="118">
        <f t="shared" si="1740"/>
        <v>1</v>
      </c>
      <c r="AF288" s="118">
        <f t="shared" si="1740"/>
        <v>1</v>
      </c>
      <c r="AG288" s="117">
        <f t="shared" si="1717"/>
        <v>5</v>
      </c>
      <c r="AH288" s="117">
        <f t="shared" ref="AH288:AJ288" si="1741">SUM(AH286:AH287)</f>
        <v>8</v>
      </c>
      <c r="AI288" s="118">
        <f t="shared" si="1741"/>
        <v>15</v>
      </c>
      <c r="AJ288" s="118">
        <f t="shared" si="1741"/>
        <v>12</v>
      </c>
      <c r="AK288" s="117">
        <f t="shared" si="1719"/>
        <v>35</v>
      </c>
      <c r="AL288" s="118"/>
      <c r="AM288" s="118"/>
      <c r="AN288" s="118"/>
      <c r="AO288" s="118"/>
      <c r="AP288" s="151"/>
      <c r="AQ288" s="117"/>
      <c r="AR288" s="118"/>
      <c r="AS288" s="118"/>
      <c r="AT288" s="152"/>
      <c r="AU288" s="117"/>
      <c r="AV288" s="118"/>
      <c r="AW288" s="118"/>
      <c r="AX288" s="153"/>
      <c r="AY288" s="122">
        <f t="shared" ref="AY288:BD288" si="1742">SUM(AY286:AY287)</f>
        <v>1.3</v>
      </c>
      <c r="AZ288" s="122">
        <f t="shared" si="1742"/>
        <v>0.5</v>
      </c>
      <c r="BA288" s="118">
        <f t="shared" si="1742"/>
        <v>0</v>
      </c>
      <c r="BB288" s="118">
        <f t="shared" si="1742"/>
        <v>0</v>
      </c>
      <c r="BC288" s="123">
        <f t="shared" si="1742"/>
        <v>2409.6</v>
      </c>
      <c r="BD288" s="123">
        <f t="shared" si="1742"/>
        <v>2410.1</v>
      </c>
      <c r="BE288" s="154" t="str">
        <f t="shared" ref="BE288:BF288" si="1743">TEXTJOIN(", ",TRUE,BE286:BE287)</f>
        <v/>
      </c>
      <c r="BF288" s="154" t="str">
        <f t="shared" si="1743"/>
        <v/>
      </c>
    </row>
    <row r="289" ht="15.75" customHeight="1">
      <c r="A289" s="67">
        <f t="shared" si="1707"/>
        <v>46264</v>
      </c>
      <c r="B289" s="114" t="s">
        <v>20</v>
      </c>
      <c r="C289" s="115">
        <f t="shared" si="1708"/>
        <v>5</v>
      </c>
      <c r="D289" s="115">
        <v>3.0</v>
      </c>
      <c r="E289" s="116">
        <v>0.0</v>
      </c>
      <c r="F289" s="116">
        <v>2.0</v>
      </c>
      <c r="G289" s="116">
        <v>2.0</v>
      </c>
      <c r="H289" s="115">
        <v>0.0</v>
      </c>
      <c r="I289" s="116">
        <v>0.0</v>
      </c>
      <c r="J289" s="115">
        <v>1.0</v>
      </c>
      <c r="K289" s="116">
        <v>1.0</v>
      </c>
      <c r="L289" s="116">
        <v>0.0</v>
      </c>
      <c r="M289" s="115">
        <f t="shared" si="1710"/>
        <v>38</v>
      </c>
      <c r="N289" s="115">
        <v>0.0</v>
      </c>
      <c r="O289" s="116">
        <v>0.0</v>
      </c>
      <c r="P289" s="116">
        <v>0.0</v>
      </c>
      <c r="Q289" s="116">
        <v>9.0</v>
      </c>
      <c r="R289" s="116">
        <v>0.0</v>
      </c>
      <c r="S289" s="116">
        <v>0.0</v>
      </c>
      <c r="T289" s="116">
        <v>29.0</v>
      </c>
      <c r="U289" s="115">
        <v>7.0</v>
      </c>
      <c r="V289" s="115">
        <f t="shared" ref="V289:V308" si="1747">W289+X289+Y289</f>
        <v>0</v>
      </c>
      <c r="W289" s="116">
        <v>0.0</v>
      </c>
      <c r="X289" s="116">
        <v>0.0</v>
      </c>
      <c r="Y289" s="116">
        <v>0.0</v>
      </c>
      <c r="Z289" s="116">
        <f t="shared" si="1732"/>
        <v>0</v>
      </c>
      <c r="AA289" s="116">
        <v>0.0</v>
      </c>
      <c r="AB289" s="116">
        <v>0.0</v>
      </c>
      <c r="AC289" s="117">
        <v>0.0</v>
      </c>
      <c r="AD289" s="118">
        <v>1.0</v>
      </c>
      <c r="AE289" s="118">
        <v>0.0</v>
      </c>
      <c r="AF289" s="118">
        <v>0.0</v>
      </c>
      <c r="AG289" s="119">
        <f t="shared" si="1717"/>
        <v>1</v>
      </c>
      <c r="AH289" s="117">
        <v>6.0</v>
      </c>
      <c r="AI289" s="118">
        <v>5.0</v>
      </c>
      <c r="AJ289" s="118">
        <v>0.0</v>
      </c>
      <c r="AK289" s="119">
        <f t="shared" si="1719"/>
        <v>11</v>
      </c>
      <c r="AL289" s="117"/>
      <c r="AM289" s="118"/>
      <c r="AN289" s="118"/>
      <c r="AO289" s="118"/>
      <c r="AP289" s="111"/>
      <c r="AQ289" s="117"/>
      <c r="AR289" s="118"/>
      <c r="AS289" s="118"/>
      <c r="AT289" s="120"/>
      <c r="AU289" s="117"/>
      <c r="AV289" s="118"/>
      <c r="AW289" s="118"/>
      <c r="AX289" s="121"/>
      <c r="AY289" s="122">
        <f t="shared" ref="AY289:AZ289" si="1744">RANDBETWEEN(1,10)</f>
        <v>3</v>
      </c>
      <c r="AZ289" s="122">
        <f t="shared" si="1744"/>
        <v>3</v>
      </c>
      <c r="BA289" s="118">
        <v>2.0</v>
      </c>
      <c r="BB289" s="118">
        <v>0.0</v>
      </c>
      <c r="BC289" s="123">
        <v>1.0</v>
      </c>
      <c r="BD289" s="123">
        <v>2.0</v>
      </c>
      <c r="BE289" s="118" t="s">
        <v>157</v>
      </c>
      <c r="BF289" s="118"/>
    </row>
    <row r="290" ht="15.75" customHeight="1">
      <c r="A290" s="67">
        <f t="shared" si="1707"/>
        <v>46264</v>
      </c>
      <c r="B290" s="124" t="s">
        <v>21</v>
      </c>
      <c r="C290" s="155">
        <f t="shared" si="1708"/>
        <v>1</v>
      </c>
      <c r="D290" s="125">
        <f t="shared" ref="D290:L290" si="1745">RANDBETWEEN(0,2)</f>
        <v>1</v>
      </c>
      <c r="E290" s="125">
        <f t="shared" si="1745"/>
        <v>2</v>
      </c>
      <c r="F290" s="125">
        <f t="shared" si="1745"/>
        <v>0</v>
      </c>
      <c r="G290" s="125">
        <f t="shared" si="1745"/>
        <v>2</v>
      </c>
      <c r="H290" s="126">
        <f t="shared" si="1745"/>
        <v>0</v>
      </c>
      <c r="I290" s="127">
        <f t="shared" si="1745"/>
        <v>2</v>
      </c>
      <c r="J290" s="128">
        <f t="shared" si="1745"/>
        <v>2</v>
      </c>
      <c r="K290" s="130">
        <f t="shared" si="1745"/>
        <v>1</v>
      </c>
      <c r="L290" s="130">
        <f t="shared" si="1745"/>
        <v>0</v>
      </c>
      <c r="M290" s="102">
        <f t="shared" si="1710"/>
        <v>38</v>
      </c>
      <c r="N290" s="125">
        <f t="shared" ref="N290:T290" si="1746">RANDBETWEEN(0,10)</f>
        <v>10</v>
      </c>
      <c r="O290" s="125">
        <f t="shared" si="1746"/>
        <v>7</v>
      </c>
      <c r="P290" s="125">
        <f t="shared" si="1746"/>
        <v>7</v>
      </c>
      <c r="Q290" s="125">
        <f t="shared" si="1746"/>
        <v>6</v>
      </c>
      <c r="R290" s="125">
        <f t="shared" si="1746"/>
        <v>3</v>
      </c>
      <c r="S290" s="125">
        <f t="shared" si="1746"/>
        <v>5</v>
      </c>
      <c r="T290" s="125">
        <f t="shared" si="1746"/>
        <v>0</v>
      </c>
      <c r="U290" s="103">
        <f t="shared" ref="U290:U294" si="1754">RANDBETWEEN(10,30)</f>
        <v>15</v>
      </c>
      <c r="V290" s="104">
        <f t="shared" si="1747"/>
        <v>3</v>
      </c>
      <c r="W290" s="125">
        <f t="shared" ref="W290:Y290" si="1748">RANDBETWEEN(0,2)</f>
        <v>1</v>
      </c>
      <c r="X290" s="125">
        <f t="shared" si="1748"/>
        <v>1</v>
      </c>
      <c r="Y290" s="125">
        <f t="shared" si="1748"/>
        <v>1</v>
      </c>
      <c r="Z290" s="105">
        <f t="shared" ref="Z290:Z307" si="1756">AA290+AB290</f>
        <v>2</v>
      </c>
      <c r="AA290" s="133">
        <f t="shared" ref="AA290:AF290" si="1749">RANDBETWEEN(0,2)</f>
        <v>0</v>
      </c>
      <c r="AB290" s="133">
        <f t="shared" si="1749"/>
        <v>2</v>
      </c>
      <c r="AC290" s="136">
        <f t="shared" si="1749"/>
        <v>2</v>
      </c>
      <c r="AD290" s="134">
        <f t="shared" si="1749"/>
        <v>1</v>
      </c>
      <c r="AE290" s="134">
        <f t="shared" si="1749"/>
        <v>2</v>
      </c>
      <c r="AF290" s="134">
        <f t="shared" si="1749"/>
        <v>1</v>
      </c>
      <c r="AG290" s="156">
        <f t="shared" si="1717"/>
        <v>6</v>
      </c>
      <c r="AH290" s="136">
        <f t="shared" ref="AH290:AJ290" si="1750">RANDBETWEEN(1,10)</f>
        <v>1</v>
      </c>
      <c r="AI290" s="134">
        <f t="shared" si="1750"/>
        <v>6</v>
      </c>
      <c r="AJ290" s="134">
        <f t="shared" si="1750"/>
        <v>1</v>
      </c>
      <c r="AK290" s="137">
        <f t="shared" si="1719"/>
        <v>8</v>
      </c>
      <c r="AL290" s="136"/>
      <c r="AM290" s="134"/>
      <c r="AN290" s="134"/>
      <c r="AO290" s="134"/>
      <c r="AP290" s="111"/>
      <c r="AQ290" s="136"/>
      <c r="AR290" s="134"/>
      <c r="AS290" s="134"/>
      <c r="AT290" s="120"/>
      <c r="AU290" s="136"/>
      <c r="AV290" s="134"/>
      <c r="AW290" s="134"/>
      <c r="AX290" s="121"/>
      <c r="AY290" s="92">
        <f t="shared" ref="AY290:AZ290" si="1751">RANDBETWEEN(1,10)/10</f>
        <v>0.6</v>
      </c>
      <c r="AZ290" s="92">
        <f t="shared" si="1751"/>
        <v>0.4</v>
      </c>
      <c r="BA290" s="93">
        <v>1.0</v>
      </c>
      <c r="BB290" s="93">
        <v>0.0</v>
      </c>
      <c r="BC290" s="94">
        <f>SUM(BC262,'ГОЧ'!$AY290)</f>
        <v>1206.8</v>
      </c>
      <c r="BD290" s="94">
        <f>SUM(BD262,'ГОЧ'!$AZ290)</f>
        <v>1205.3</v>
      </c>
      <c r="BE290" s="108" t="s">
        <v>162</v>
      </c>
      <c r="BF290" s="108"/>
    </row>
    <row r="291" ht="15.75" customHeight="1">
      <c r="A291" s="67">
        <f t="shared" si="1707"/>
        <v>46264</v>
      </c>
      <c r="B291" s="138" t="s">
        <v>23</v>
      </c>
      <c r="C291" s="157">
        <f t="shared" si="1708"/>
        <v>2</v>
      </c>
      <c r="D291" s="97">
        <f t="shared" ref="D291:L291" si="1752">RANDBETWEEN(0,2)</f>
        <v>2</v>
      </c>
      <c r="E291" s="97">
        <f t="shared" si="1752"/>
        <v>0</v>
      </c>
      <c r="F291" s="97">
        <f t="shared" si="1752"/>
        <v>0</v>
      </c>
      <c r="G291" s="97">
        <f t="shared" si="1752"/>
        <v>0</v>
      </c>
      <c r="H291" s="98">
        <f t="shared" si="1752"/>
        <v>0</v>
      </c>
      <c r="I291" s="99">
        <f t="shared" si="1752"/>
        <v>1</v>
      </c>
      <c r="J291" s="100">
        <f t="shared" si="1752"/>
        <v>0</v>
      </c>
      <c r="K291" s="101">
        <f t="shared" si="1752"/>
        <v>1</v>
      </c>
      <c r="L291" s="101">
        <f t="shared" si="1752"/>
        <v>1</v>
      </c>
      <c r="M291" s="140">
        <f t="shared" si="1710"/>
        <v>37</v>
      </c>
      <c r="N291" s="97">
        <f t="shared" ref="N291:T291" si="1753">RANDBETWEEN(0,10)</f>
        <v>9</v>
      </c>
      <c r="O291" s="97">
        <f t="shared" si="1753"/>
        <v>9</v>
      </c>
      <c r="P291" s="97">
        <f t="shared" si="1753"/>
        <v>1</v>
      </c>
      <c r="Q291" s="97">
        <f t="shared" si="1753"/>
        <v>7</v>
      </c>
      <c r="R291" s="97">
        <f t="shared" si="1753"/>
        <v>4</v>
      </c>
      <c r="S291" s="97">
        <f t="shared" si="1753"/>
        <v>3</v>
      </c>
      <c r="T291" s="97">
        <f t="shared" si="1753"/>
        <v>4</v>
      </c>
      <c r="U291" s="103">
        <f t="shared" si="1754"/>
        <v>26</v>
      </c>
      <c r="V291" s="158">
        <f t="shared" si="1747"/>
        <v>1</v>
      </c>
      <c r="W291" s="97">
        <f t="shared" ref="W291:Y291" si="1755">RANDBETWEEN(0,2)</f>
        <v>0</v>
      </c>
      <c r="X291" s="97">
        <f t="shared" si="1755"/>
        <v>0</v>
      </c>
      <c r="Y291" s="97">
        <f t="shared" si="1755"/>
        <v>1</v>
      </c>
      <c r="Z291" s="159">
        <f t="shared" si="1756"/>
        <v>4</v>
      </c>
      <c r="AA291" s="143">
        <f t="shared" ref="AA291:AF291" si="1757">RANDBETWEEN(0,2)</f>
        <v>2</v>
      </c>
      <c r="AB291" s="143">
        <f t="shared" si="1757"/>
        <v>2</v>
      </c>
      <c r="AC291" s="144">
        <f t="shared" si="1757"/>
        <v>2</v>
      </c>
      <c r="AD291" s="145">
        <f t="shared" si="1757"/>
        <v>2</v>
      </c>
      <c r="AE291" s="145">
        <f t="shared" si="1757"/>
        <v>0</v>
      </c>
      <c r="AF291" s="145">
        <f t="shared" si="1757"/>
        <v>1</v>
      </c>
      <c r="AG291" s="160">
        <f t="shared" si="1717"/>
        <v>5</v>
      </c>
      <c r="AH291" s="144">
        <f t="shared" ref="AH291:AJ291" si="1758">RANDBETWEEN(1,10)</f>
        <v>1</v>
      </c>
      <c r="AI291" s="145">
        <f t="shared" si="1758"/>
        <v>8</v>
      </c>
      <c r="AJ291" s="145">
        <f t="shared" si="1758"/>
        <v>1</v>
      </c>
      <c r="AK291" s="147">
        <f t="shared" si="1719"/>
        <v>10</v>
      </c>
      <c r="AL291" s="144"/>
      <c r="AM291" s="145"/>
      <c r="AN291" s="145"/>
      <c r="AO291" s="145"/>
      <c r="AP291" s="148"/>
      <c r="AQ291" s="144"/>
      <c r="AR291" s="145"/>
      <c r="AS291" s="145"/>
      <c r="AT291" s="149"/>
      <c r="AU291" s="144"/>
      <c r="AV291" s="145"/>
      <c r="AW291" s="145"/>
      <c r="AX291" s="150"/>
      <c r="AY291" s="92">
        <f t="shared" ref="AY291:AZ291" si="1759">RANDBETWEEN(1,10)/10</f>
        <v>0.9</v>
      </c>
      <c r="AZ291" s="92">
        <f t="shared" si="1759"/>
        <v>0.9</v>
      </c>
      <c r="BA291" s="93">
        <v>1.0</v>
      </c>
      <c r="BB291" s="93">
        <v>2.0</v>
      </c>
      <c r="BC291" s="94">
        <f>SUM(BC263,'ГОЧ'!$AY291)</f>
        <v>1207</v>
      </c>
      <c r="BD291" s="94">
        <f>SUM(BD263,'ГОЧ'!$AZ291)</f>
        <v>1206.3</v>
      </c>
      <c r="BE291" s="108" t="s">
        <v>165</v>
      </c>
      <c r="BF291" s="108" t="s">
        <v>166</v>
      </c>
    </row>
    <row r="292" ht="15.75" customHeight="1">
      <c r="A292" s="67">
        <f t="shared" si="1707"/>
        <v>46264</v>
      </c>
      <c r="B292" s="138" t="s">
        <v>25</v>
      </c>
      <c r="C292" s="157">
        <f t="shared" si="1708"/>
        <v>2</v>
      </c>
      <c r="D292" s="97">
        <f t="shared" ref="D292:L292" si="1760">RANDBETWEEN(0,2)</f>
        <v>2</v>
      </c>
      <c r="E292" s="97">
        <f t="shared" si="1760"/>
        <v>1</v>
      </c>
      <c r="F292" s="97">
        <f t="shared" si="1760"/>
        <v>0</v>
      </c>
      <c r="G292" s="97">
        <f t="shared" si="1760"/>
        <v>0</v>
      </c>
      <c r="H292" s="98">
        <f t="shared" si="1760"/>
        <v>1</v>
      </c>
      <c r="I292" s="99">
        <f t="shared" si="1760"/>
        <v>1</v>
      </c>
      <c r="J292" s="100">
        <f t="shared" si="1760"/>
        <v>2</v>
      </c>
      <c r="K292" s="101">
        <f t="shared" si="1760"/>
        <v>0</v>
      </c>
      <c r="L292" s="101">
        <f t="shared" si="1760"/>
        <v>0</v>
      </c>
      <c r="M292" s="140">
        <f t="shared" si="1710"/>
        <v>45</v>
      </c>
      <c r="N292" s="97">
        <f t="shared" ref="N292:T292" si="1761">RANDBETWEEN(0,10)</f>
        <v>8</v>
      </c>
      <c r="O292" s="97">
        <f t="shared" si="1761"/>
        <v>3</v>
      </c>
      <c r="P292" s="97">
        <f t="shared" si="1761"/>
        <v>9</v>
      </c>
      <c r="Q292" s="97">
        <f t="shared" si="1761"/>
        <v>10</v>
      </c>
      <c r="R292" s="97">
        <f t="shared" si="1761"/>
        <v>2</v>
      </c>
      <c r="S292" s="97">
        <f t="shared" si="1761"/>
        <v>4</v>
      </c>
      <c r="T292" s="97">
        <f t="shared" si="1761"/>
        <v>9</v>
      </c>
      <c r="U292" s="103">
        <f t="shared" si="1754"/>
        <v>21</v>
      </c>
      <c r="V292" s="158">
        <f t="shared" si="1747"/>
        <v>4</v>
      </c>
      <c r="W292" s="97">
        <f t="shared" ref="W292:Y292" si="1762">RANDBETWEEN(0,2)</f>
        <v>2</v>
      </c>
      <c r="X292" s="97">
        <f t="shared" si="1762"/>
        <v>0</v>
      </c>
      <c r="Y292" s="97">
        <f t="shared" si="1762"/>
        <v>2</v>
      </c>
      <c r="Z292" s="159">
        <f t="shared" si="1756"/>
        <v>1</v>
      </c>
      <c r="AA292" s="106">
        <f t="shared" ref="AA292:AF292" si="1763">RANDBETWEEN(0,2)</f>
        <v>0</v>
      </c>
      <c r="AB292" s="106">
        <f t="shared" si="1763"/>
        <v>1</v>
      </c>
      <c r="AC292" s="107">
        <f t="shared" si="1763"/>
        <v>1</v>
      </c>
      <c r="AD292" s="108">
        <f t="shared" si="1763"/>
        <v>0</v>
      </c>
      <c r="AE292" s="108">
        <f t="shared" si="1763"/>
        <v>1</v>
      </c>
      <c r="AF292" s="108">
        <f t="shared" si="1763"/>
        <v>0</v>
      </c>
      <c r="AG292" s="160">
        <f t="shared" si="1717"/>
        <v>2</v>
      </c>
      <c r="AH292" s="107">
        <f t="shared" ref="AH292:AJ292" si="1764">RANDBETWEEN(1,10)</f>
        <v>6</v>
      </c>
      <c r="AI292" s="108">
        <f t="shared" si="1764"/>
        <v>2</v>
      </c>
      <c r="AJ292" s="108">
        <f t="shared" si="1764"/>
        <v>7</v>
      </c>
      <c r="AK292" s="147">
        <f t="shared" si="1719"/>
        <v>15</v>
      </c>
      <c r="AL292" s="107"/>
      <c r="AM292" s="108"/>
      <c r="AN292" s="108"/>
      <c r="AO292" s="108"/>
      <c r="AP292" s="148"/>
      <c r="AQ292" s="107"/>
      <c r="AR292" s="108"/>
      <c r="AS292" s="108"/>
      <c r="AT292" s="149"/>
      <c r="AU292" s="107"/>
      <c r="AV292" s="108"/>
      <c r="AW292" s="108"/>
      <c r="AX292" s="150"/>
      <c r="AY292" s="92">
        <f t="shared" ref="AY292:AZ292" si="1765">RANDBETWEEN(1,10)/10</f>
        <v>0.3</v>
      </c>
      <c r="AZ292" s="92">
        <f t="shared" si="1765"/>
        <v>0.1</v>
      </c>
      <c r="BA292" s="93">
        <v>0.0</v>
      </c>
      <c r="BB292" s="93">
        <v>0.0</v>
      </c>
      <c r="BC292" s="94">
        <f>SUM(BC264,'ГОЧ'!$AY292)</f>
        <v>1205.8</v>
      </c>
      <c r="BD292" s="94">
        <f>SUM(BD264,'ГОЧ'!$AZ292)</f>
        <v>1204.7</v>
      </c>
      <c r="BE292" s="108"/>
      <c r="BF292" s="108"/>
    </row>
    <row r="293" ht="15.75" customHeight="1">
      <c r="A293" s="67">
        <f t="shared" si="1707"/>
        <v>46264</v>
      </c>
      <c r="B293" s="138" t="s">
        <v>26</v>
      </c>
      <c r="C293" s="157">
        <f t="shared" si="1708"/>
        <v>0</v>
      </c>
      <c r="D293" s="97">
        <f t="shared" ref="D293:L293" si="1766">RANDBETWEEN(0,2)</f>
        <v>0</v>
      </c>
      <c r="E293" s="97">
        <f t="shared" si="1766"/>
        <v>2</v>
      </c>
      <c r="F293" s="97">
        <f t="shared" si="1766"/>
        <v>0</v>
      </c>
      <c r="G293" s="97">
        <f t="shared" si="1766"/>
        <v>1</v>
      </c>
      <c r="H293" s="98">
        <f t="shared" si="1766"/>
        <v>1</v>
      </c>
      <c r="I293" s="99">
        <f t="shared" si="1766"/>
        <v>2</v>
      </c>
      <c r="J293" s="100">
        <f t="shared" si="1766"/>
        <v>1</v>
      </c>
      <c r="K293" s="101">
        <f t="shared" si="1766"/>
        <v>0</v>
      </c>
      <c r="L293" s="101">
        <f t="shared" si="1766"/>
        <v>1</v>
      </c>
      <c r="M293" s="140">
        <f t="shared" si="1710"/>
        <v>46</v>
      </c>
      <c r="N293" s="97">
        <f t="shared" ref="N293:T293" si="1767">RANDBETWEEN(0,10)</f>
        <v>6</v>
      </c>
      <c r="O293" s="97">
        <f t="shared" si="1767"/>
        <v>7</v>
      </c>
      <c r="P293" s="97">
        <f t="shared" si="1767"/>
        <v>2</v>
      </c>
      <c r="Q293" s="97">
        <f t="shared" si="1767"/>
        <v>10</v>
      </c>
      <c r="R293" s="97">
        <f t="shared" si="1767"/>
        <v>3</v>
      </c>
      <c r="S293" s="97">
        <f t="shared" si="1767"/>
        <v>8</v>
      </c>
      <c r="T293" s="97">
        <f t="shared" si="1767"/>
        <v>10</v>
      </c>
      <c r="U293" s="103">
        <f t="shared" si="1754"/>
        <v>10</v>
      </c>
      <c r="V293" s="158">
        <f t="shared" si="1747"/>
        <v>4</v>
      </c>
      <c r="W293" s="97">
        <f t="shared" ref="W293:Y293" si="1768">RANDBETWEEN(0,2)</f>
        <v>1</v>
      </c>
      <c r="X293" s="97">
        <f t="shared" si="1768"/>
        <v>1</v>
      </c>
      <c r="Y293" s="97">
        <f t="shared" si="1768"/>
        <v>2</v>
      </c>
      <c r="Z293" s="159">
        <f t="shared" si="1756"/>
        <v>2</v>
      </c>
      <c r="AA293" s="143">
        <f t="shared" ref="AA293:AF293" si="1769">RANDBETWEEN(0,2)</f>
        <v>0</v>
      </c>
      <c r="AB293" s="143">
        <f t="shared" si="1769"/>
        <v>2</v>
      </c>
      <c r="AC293" s="144">
        <f t="shared" si="1769"/>
        <v>0</v>
      </c>
      <c r="AD293" s="145">
        <f t="shared" si="1769"/>
        <v>2</v>
      </c>
      <c r="AE293" s="145">
        <f t="shared" si="1769"/>
        <v>0</v>
      </c>
      <c r="AF293" s="145">
        <f t="shared" si="1769"/>
        <v>0</v>
      </c>
      <c r="AG293" s="160">
        <f t="shared" si="1717"/>
        <v>2</v>
      </c>
      <c r="AH293" s="144">
        <f t="shared" ref="AH293:AJ293" si="1770">RANDBETWEEN(1,10)</f>
        <v>4</v>
      </c>
      <c r="AI293" s="145">
        <f t="shared" si="1770"/>
        <v>4</v>
      </c>
      <c r="AJ293" s="145">
        <f t="shared" si="1770"/>
        <v>6</v>
      </c>
      <c r="AK293" s="147">
        <f t="shared" si="1719"/>
        <v>14</v>
      </c>
      <c r="AL293" s="144"/>
      <c r="AM293" s="145"/>
      <c r="AN293" s="145"/>
      <c r="AO293" s="145"/>
      <c r="AP293" s="148"/>
      <c r="AQ293" s="144"/>
      <c r="AR293" s="145"/>
      <c r="AS293" s="145"/>
      <c r="AT293" s="149"/>
      <c r="AU293" s="144"/>
      <c r="AV293" s="145"/>
      <c r="AW293" s="145"/>
      <c r="AX293" s="150"/>
      <c r="AY293" s="92">
        <f t="shared" ref="AY293:AZ293" si="1771">RANDBETWEEN(1,10)/10</f>
        <v>0.1</v>
      </c>
      <c r="AZ293" s="92">
        <f t="shared" si="1771"/>
        <v>0.2</v>
      </c>
      <c r="BA293" s="93">
        <v>1.0</v>
      </c>
      <c r="BB293" s="93">
        <v>0.0</v>
      </c>
      <c r="BC293" s="94">
        <f>SUM(BC265,'ГОЧ'!$AY293)</f>
        <v>1204.9</v>
      </c>
      <c r="BD293" s="94">
        <f>SUM(BD265,'ГОЧ'!$AZ293)</f>
        <v>1205.6</v>
      </c>
      <c r="BE293" s="108" t="s">
        <v>167</v>
      </c>
      <c r="BF293" s="108"/>
    </row>
    <row r="294" ht="15.75" customHeight="1">
      <c r="A294" s="67">
        <f t="shared" si="1707"/>
        <v>46264</v>
      </c>
      <c r="B294" s="138" t="s">
        <v>28</v>
      </c>
      <c r="C294" s="157">
        <f t="shared" si="1708"/>
        <v>4</v>
      </c>
      <c r="D294" s="97">
        <f t="shared" ref="D294:L294" si="1772">RANDBETWEEN(0,2)</f>
        <v>2</v>
      </c>
      <c r="E294" s="97">
        <f t="shared" si="1772"/>
        <v>2</v>
      </c>
      <c r="F294" s="97">
        <f t="shared" si="1772"/>
        <v>2</v>
      </c>
      <c r="G294" s="97">
        <f t="shared" si="1772"/>
        <v>2</v>
      </c>
      <c r="H294" s="98">
        <f t="shared" si="1772"/>
        <v>2</v>
      </c>
      <c r="I294" s="99">
        <f t="shared" si="1772"/>
        <v>0</v>
      </c>
      <c r="J294" s="100">
        <f t="shared" si="1772"/>
        <v>1</v>
      </c>
      <c r="K294" s="101">
        <f t="shared" si="1772"/>
        <v>0</v>
      </c>
      <c r="L294" s="101">
        <f t="shared" si="1772"/>
        <v>0</v>
      </c>
      <c r="M294" s="140">
        <f t="shared" si="1710"/>
        <v>35</v>
      </c>
      <c r="N294" s="97">
        <f t="shared" ref="N294:T294" si="1773">RANDBETWEEN(0,10)</f>
        <v>4</v>
      </c>
      <c r="O294" s="97">
        <f t="shared" si="1773"/>
        <v>8</v>
      </c>
      <c r="P294" s="97">
        <f t="shared" si="1773"/>
        <v>0</v>
      </c>
      <c r="Q294" s="97">
        <f t="shared" si="1773"/>
        <v>4</v>
      </c>
      <c r="R294" s="97">
        <f t="shared" si="1773"/>
        <v>9</v>
      </c>
      <c r="S294" s="97">
        <f t="shared" si="1773"/>
        <v>10</v>
      </c>
      <c r="T294" s="97">
        <f t="shared" si="1773"/>
        <v>0</v>
      </c>
      <c r="U294" s="103">
        <f t="shared" si="1754"/>
        <v>15</v>
      </c>
      <c r="V294" s="158">
        <f t="shared" si="1747"/>
        <v>4</v>
      </c>
      <c r="W294" s="97">
        <f t="shared" ref="W294:Y294" si="1774">RANDBETWEEN(0,2)</f>
        <v>0</v>
      </c>
      <c r="X294" s="97">
        <f t="shared" si="1774"/>
        <v>2</v>
      </c>
      <c r="Y294" s="97">
        <f t="shared" si="1774"/>
        <v>2</v>
      </c>
      <c r="Z294" s="159">
        <f t="shared" si="1756"/>
        <v>2</v>
      </c>
      <c r="AA294" s="106">
        <f t="shared" ref="AA294:AF294" si="1775">RANDBETWEEN(0,2)</f>
        <v>2</v>
      </c>
      <c r="AB294" s="106">
        <f t="shared" si="1775"/>
        <v>0</v>
      </c>
      <c r="AC294" s="107">
        <f t="shared" si="1775"/>
        <v>2</v>
      </c>
      <c r="AD294" s="108">
        <f t="shared" si="1775"/>
        <v>0</v>
      </c>
      <c r="AE294" s="108">
        <f t="shared" si="1775"/>
        <v>1</v>
      </c>
      <c r="AF294" s="108">
        <f t="shared" si="1775"/>
        <v>2</v>
      </c>
      <c r="AG294" s="160">
        <f t="shared" si="1717"/>
        <v>5</v>
      </c>
      <c r="AH294" s="107">
        <f t="shared" ref="AH294:AJ294" si="1776">RANDBETWEEN(1,10)</f>
        <v>6</v>
      </c>
      <c r="AI294" s="108">
        <f t="shared" si="1776"/>
        <v>4</v>
      </c>
      <c r="AJ294" s="108">
        <f t="shared" si="1776"/>
        <v>7</v>
      </c>
      <c r="AK294" s="147">
        <f t="shared" si="1719"/>
        <v>17</v>
      </c>
      <c r="AL294" s="107"/>
      <c r="AM294" s="108"/>
      <c r="AN294" s="108"/>
      <c r="AO294" s="108"/>
      <c r="AP294" s="148"/>
      <c r="AQ294" s="107"/>
      <c r="AR294" s="108"/>
      <c r="AS294" s="108"/>
      <c r="AT294" s="149"/>
      <c r="AU294" s="107"/>
      <c r="AV294" s="108"/>
      <c r="AW294" s="108"/>
      <c r="AX294" s="150"/>
      <c r="AY294" s="92">
        <f t="shared" ref="AY294:AZ294" si="1777">RANDBETWEEN(1,10)/10</f>
        <v>0.1</v>
      </c>
      <c r="AZ294" s="92">
        <f t="shared" si="1777"/>
        <v>1</v>
      </c>
      <c r="BA294" s="93">
        <v>0.0</v>
      </c>
      <c r="BB294" s="93">
        <v>1.0</v>
      </c>
      <c r="BC294" s="94">
        <f>SUM(BC266,'ГОЧ'!$AY294)</f>
        <v>1205.9</v>
      </c>
      <c r="BD294" s="94">
        <f>SUM(BD266,'ГОЧ'!$AZ294)</f>
        <v>1206.3</v>
      </c>
      <c r="BE294" s="108"/>
      <c r="BF294" s="108" t="s">
        <v>168</v>
      </c>
    </row>
    <row r="295" ht="15.75" customHeight="1">
      <c r="A295" s="67">
        <f t="shared" si="1707"/>
        <v>46264</v>
      </c>
      <c r="B295" s="114" t="s">
        <v>29</v>
      </c>
      <c r="C295" s="164">
        <f t="shared" si="1708"/>
        <v>9</v>
      </c>
      <c r="D295" s="165">
        <f t="shared" ref="D295:L295" si="1778">D290+D291+D292+D293+D294</f>
        <v>7</v>
      </c>
      <c r="E295" s="165">
        <f t="shared" si="1778"/>
        <v>7</v>
      </c>
      <c r="F295" s="165">
        <f t="shared" si="1778"/>
        <v>2</v>
      </c>
      <c r="G295" s="165">
        <f t="shared" si="1778"/>
        <v>5</v>
      </c>
      <c r="H295" s="164">
        <f t="shared" si="1778"/>
        <v>4</v>
      </c>
      <c r="I295" s="165">
        <f t="shared" si="1778"/>
        <v>6</v>
      </c>
      <c r="J295" s="164">
        <f t="shared" si="1778"/>
        <v>6</v>
      </c>
      <c r="K295" s="165">
        <f t="shared" si="1778"/>
        <v>2</v>
      </c>
      <c r="L295" s="165">
        <f t="shared" si="1778"/>
        <v>2</v>
      </c>
      <c r="M295" s="164">
        <f t="shared" si="1710"/>
        <v>201</v>
      </c>
      <c r="N295" s="164">
        <f t="shared" ref="N295:U295" si="1779">N290+N291+N292+N293+N294</f>
        <v>37</v>
      </c>
      <c r="O295" s="165">
        <f t="shared" si="1779"/>
        <v>34</v>
      </c>
      <c r="P295" s="165">
        <f t="shared" si="1779"/>
        <v>19</v>
      </c>
      <c r="Q295" s="165">
        <f t="shared" si="1779"/>
        <v>37</v>
      </c>
      <c r="R295" s="165">
        <f t="shared" si="1779"/>
        <v>21</v>
      </c>
      <c r="S295" s="165">
        <f t="shared" si="1779"/>
        <v>30</v>
      </c>
      <c r="T295" s="165">
        <f t="shared" si="1779"/>
        <v>23</v>
      </c>
      <c r="U295" s="164">
        <f t="shared" si="1779"/>
        <v>87</v>
      </c>
      <c r="V295" s="164">
        <f t="shared" si="1747"/>
        <v>16</v>
      </c>
      <c r="W295" s="165">
        <f t="shared" ref="W295:Y295" si="1780">W290+W291+W292+W293+W294</f>
        <v>4</v>
      </c>
      <c r="X295" s="165">
        <f t="shared" si="1780"/>
        <v>4</v>
      </c>
      <c r="Y295" s="165">
        <f t="shared" si="1780"/>
        <v>8</v>
      </c>
      <c r="Z295" s="165">
        <f t="shared" si="1756"/>
        <v>11</v>
      </c>
      <c r="AA295" s="165">
        <f t="shared" ref="AA295:AC295" si="1781">AA290+AA291+AA292+AA293+AA294</f>
        <v>4</v>
      </c>
      <c r="AB295" s="165">
        <f t="shared" si="1781"/>
        <v>7</v>
      </c>
      <c r="AC295" s="166">
        <f t="shared" si="1781"/>
        <v>7</v>
      </c>
      <c r="AD295" s="167">
        <f>AE290+AD291+AD292+AD293+AD294</f>
        <v>6</v>
      </c>
      <c r="AE295" s="167">
        <f t="shared" ref="AE295:AF295" si="1782">AE290+AE291+AE292+AE293+AE294</f>
        <v>4</v>
      </c>
      <c r="AF295" s="167">
        <f t="shared" si="1782"/>
        <v>4</v>
      </c>
      <c r="AG295" s="168">
        <f t="shared" si="1717"/>
        <v>21</v>
      </c>
      <c r="AH295" s="166">
        <f t="shared" ref="AH295:AJ295" si="1783">AH290+AH291+AH292+AH293+AH294</f>
        <v>18</v>
      </c>
      <c r="AI295" s="166">
        <f t="shared" si="1783"/>
        <v>24</v>
      </c>
      <c r="AJ295" s="166">
        <f t="shared" si="1783"/>
        <v>22</v>
      </c>
      <c r="AK295" s="168">
        <f t="shared" si="1719"/>
        <v>64</v>
      </c>
      <c r="AL295" s="166"/>
      <c r="AM295" s="167"/>
      <c r="AN295" s="167"/>
      <c r="AO295" s="167"/>
      <c r="AP295" s="169"/>
      <c r="AQ295" s="166"/>
      <c r="AR295" s="166"/>
      <c r="AS295" s="166"/>
      <c r="AT295" s="170"/>
      <c r="AU295" s="166"/>
      <c r="AV295" s="166"/>
      <c r="AW295" s="166"/>
      <c r="AX295" s="171"/>
      <c r="AY295" s="172">
        <f t="shared" ref="AY295:BD295" si="1784">AY290+AY291+AY292+AY293+AY294</f>
        <v>2</v>
      </c>
      <c r="AZ295" s="172">
        <f t="shared" si="1784"/>
        <v>2.6</v>
      </c>
      <c r="BA295" s="166">
        <f t="shared" si="1784"/>
        <v>3</v>
      </c>
      <c r="BB295" s="166">
        <f t="shared" si="1784"/>
        <v>3</v>
      </c>
      <c r="BC295" s="173">
        <f t="shared" si="1784"/>
        <v>6030.4</v>
      </c>
      <c r="BD295" s="173">
        <f t="shared" si="1784"/>
        <v>6028.2</v>
      </c>
      <c r="BE295" s="154" t="str">
        <f t="shared" ref="BE295:BF295" si="1785">TEXTJOIN(", ",TRUE,BE290:BE294)</f>
        <v>Олександівка, Пантелеймонівка, Миколаївка</v>
      </c>
      <c r="BF295" s="154" t="str">
        <f t="shared" si="1785"/>
        <v>Загреблі, Верхні води, Ступочки</v>
      </c>
    </row>
    <row r="296" ht="15.75" customHeight="1">
      <c r="A296" s="67">
        <f t="shared" si="1707"/>
        <v>46264</v>
      </c>
      <c r="B296" s="124" t="s">
        <v>31</v>
      </c>
      <c r="C296" s="174">
        <f t="shared" si="1708"/>
        <v>2</v>
      </c>
      <c r="D296" s="175">
        <f t="shared" ref="D296:L296" si="1786">RANDBETWEEN(0,2)</f>
        <v>1</v>
      </c>
      <c r="E296" s="175">
        <f t="shared" si="1786"/>
        <v>1</v>
      </c>
      <c r="F296" s="175">
        <f t="shared" si="1786"/>
        <v>1</v>
      </c>
      <c r="G296" s="175">
        <f t="shared" si="1786"/>
        <v>0</v>
      </c>
      <c r="H296" s="176">
        <f t="shared" si="1786"/>
        <v>0</v>
      </c>
      <c r="I296" s="177">
        <f t="shared" si="1786"/>
        <v>0</v>
      </c>
      <c r="J296" s="178">
        <f t="shared" si="1786"/>
        <v>0</v>
      </c>
      <c r="K296" s="179">
        <f t="shared" si="1786"/>
        <v>0</v>
      </c>
      <c r="L296" s="179">
        <f t="shared" si="1786"/>
        <v>1</v>
      </c>
      <c r="M296" s="180">
        <f t="shared" si="1710"/>
        <v>46</v>
      </c>
      <c r="N296" s="175">
        <f t="shared" ref="N296:T296" si="1787">RANDBETWEEN(0,10)</f>
        <v>9</v>
      </c>
      <c r="O296" s="175">
        <f t="shared" si="1787"/>
        <v>10</v>
      </c>
      <c r="P296" s="175">
        <f t="shared" si="1787"/>
        <v>10</v>
      </c>
      <c r="Q296" s="175">
        <f t="shared" si="1787"/>
        <v>9</v>
      </c>
      <c r="R296" s="175">
        <f t="shared" si="1787"/>
        <v>2</v>
      </c>
      <c r="S296" s="175">
        <f t="shared" si="1787"/>
        <v>2</v>
      </c>
      <c r="T296" s="175">
        <f t="shared" si="1787"/>
        <v>4</v>
      </c>
      <c r="U296" s="181">
        <f t="shared" ref="U296:U301" si="1794">RANDBETWEEN(10,30)</f>
        <v>14</v>
      </c>
      <c r="V296" s="182">
        <f t="shared" si="1747"/>
        <v>4</v>
      </c>
      <c r="W296" s="175">
        <f t="shared" ref="W296:Y296" si="1788">RANDBETWEEN(0,2)</f>
        <v>2</v>
      </c>
      <c r="X296" s="175">
        <f t="shared" si="1788"/>
        <v>2</v>
      </c>
      <c r="Y296" s="175">
        <f t="shared" si="1788"/>
        <v>0</v>
      </c>
      <c r="Z296" s="183">
        <f t="shared" si="1756"/>
        <v>4</v>
      </c>
      <c r="AA296" s="184">
        <f t="shared" ref="AA296:AF296" si="1789">RANDBETWEEN(0,2)</f>
        <v>2</v>
      </c>
      <c r="AB296" s="184">
        <f t="shared" si="1789"/>
        <v>2</v>
      </c>
      <c r="AC296" s="185">
        <f t="shared" si="1789"/>
        <v>2</v>
      </c>
      <c r="AD296" s="186">
        <f t="shared" si="1789"/>
        <v>1</v>
      </c>
      <c r="AE296" s="186">
        <f t="shared" si="1789"/>
        <v>2</v>
      </c>
      <c r="AF296" s="186">
        <f t="shared" si="1789"/>
        <v>2</v>
      </c>
      <c r="AG296" s="187">
        <f t="shared" si="1717"/>
        <v>7</v>
      </c>
      <c r="AH296" s="185">
        <f t="shared" ref="AH296:AJ296" si="1790">RANDBETWEEN(1,10)</f>
        <v>6</v>
      </c>
      <c r="AI296" s="186">
        <f t="shared" si="1790"/>
        <v>9</v>
      </c>
      <c r="AJ296" s="186">
        <f t="shared" si="1790"/>
        <v>9</v>
      </c>
      <c r="AK296" s="188">
        <f t="shared" si="1719"/>
        <v>24</v>
      </c>
      <c r="AL296" s="185"/>
      <c r="AM296" s="186"/>
      <c r="AN296" s="186"/>
      <c r="AO296" s="186"/>
      <c r="AP296" s="189"/>
      <c r="AQ296" s="185"/>
      <c r="AR296" s="186"/>
      <c r="AS296" s="186"/>
      <c r="AT296" s="190"/>
      <c r="AU296" s="185"/>
      <c r="AV296" s="186"/>
      <c r="AW296" s="186"/>
      <c r="AX296" s="191"/>
      <c r="AY296" s="92">
        <f t="shared" ref="AY296:AZ296" si="1791">RANDBETWEEN(1,10)/10</f>
        <v>0.9</v>
      </c>
      <c r="AZ296" s="92">
        <f t="shared" si="1791"/>
        <v>0.1</v>
      </c>
      <c r="BA296" s="93">
        <v>0.0</v>
      </c>
      <c r="BB296" s="93">
        <v>0.0</v>
      </c>
      <c r="BC296" s="94">
        <f>SUM(BC268,'ГОЧ'!$AY296)</f>
        <v>1205.9</v>
      </c>
      <c r="BD296" s="94">
        <f>SUM(BD268,'ГОЧ'!$AZ296)</f>
        <v>1206</v>
      </c>
      <c r="BE296" s="186"/>
      <c r="BF296" s="186"/>
    </row>
    <row r="297" ht="15.75" customHeight="1">
      <c r="A297" s="67">
        <f t="shared" si="1707"/>
        <v>46264</v>
      </c>
      <c r="B297" s="138" t="s">
        <v>33</v>
      </c>
      <c r="C297" s="157">
        <f t="shared" si="1708"/>
        <v>2</v>
      </c>
      <c r="D297" s="97">
        <f t="shared" ref="D297:L297" si="1792">RANDBETWEEN(0,2)</f>
        <v>2</v>
      </c>
      <c r="E297" s="97">
        <f t="shared" si="1792"/>
        <v>1</v>
      </c>
      <c r="F297" s="97">
        <f t="shared" si="1792"/>
        <v>0</v>
      </c>
      <c r="G297" s="97">
        <f t="shared" si="1792"/>
        <v>1</v>
      </c>
      <c r="H297" s="98">
        <f t="shared" si="1792"/>
        <v>1</v>
      </c>
      <c r="I297" s="99">
        <f t="shared" si="1792"/>
        <v>0</v>
      </c>
      <c r="J297" s="100">
        <f t="shared" si="1792"/>
        <v>1</v>
      </c>
      <c r="K297" s="101">
        <f t="shared" si="1792"/>
        <v>1</v>
      </c>
      <c r="L297" s="101">
        <f t="shared" si="1792"/>
        <v>2</v>
      </c>
      <c r="M297" s="140">
        <f t="shared" si="1710"/>
        <v>35</v>
      </c>
      <c r="N297" s="97">
        <f t="shared" ref="N297:T297" si="1793">RANDBETWEEN(0,10)</f>
        <v>10</v>
      </c>
      <c r="O297" s="97">
        <f t="shared" si="1793"/>
        <v>9</v>
      </c>
      <c r="P297" s="97">
        <f t="shared" si="1793"/>
        <v>2</v>
      </c>
      <c r="Q297" s="97">
        <f t="shared" si="1793"/>
        <v>4</v>
      </c>
      <c r="R297" s="97">
        <f t="shared" si="1793"/>
        <v>5</v>
      </c>
      <c r="S297" s="97">
        <f t="shared" si="1793"/>
        <v>1</v>
      </c>
      <c r="T297" s="97">
        <f t="shared" si="1793"/>
        <v>4</v>
      </c>
      <c r="U297" s="103">
        <f t="shared" si="1794"/>
        <v>27</v>
      </c>
      <c r="V297" s="158">
        <f t="shared" si="1747"/>
        <v>2</v>
      </c>
      <c r="W297" s="97">
        <f t="shared" ref="W297:Y297" si="1795">RANDBETWEEN(0,2)</f>
        <v>2</v>
      </c>
      <c r="X297" s="97">
        <f t="shared" si="1795"/>
        <v>0</v>
      </c>
      <c r="Y297" s="97">
        <f t="shared" si="1795"/>
        <v>0</v>
      </c>
      <c r="Z297" s="105">
        <f t="shared" si="1756"/>
        <v>2</v>
      </c>
      <c r="AA297" s="143">
        <f t="shared" ref="AA297:AF297" si="1796">RANDBETWEEN(0,2)</f>
        <v>1</v>
      </c>
      <c r="AB297" s="143">
        <f t="shared" si="1796"/>
        <v>1</v>
      </c>
      <c r="AC297" s="144">
        <f t="shared" si="1796"/>
        <v>1</v>
      </c>
      <c r="AD297" s="145">
        <f t="shared" si="1796"/>
        <v>0</v>
      </c>
      <c r="AE297" s="145">
        <f t="shared" si="1796"/>
        <v>1</v>
      </c>
      <c r="AF297" s="145">
        <f t="shared" si="1796"/>
        <v>1</v>
      </c>
      <c r="AG297" s="86">
        <f t="shared" si="1717"/>
        <v>3</v>
      </c>
      <c r="AH297" s="144">
        <f t="shared" ref="AH297:AJ297" si="1797">RANDBETWEEN(1,10)</f>
        <v>8</v>
      </c>
      <c r="AI297" s="145">
        <f t="shared" si="1797"/>
        <v>6</v>
      </c>
      <c r="AJ297" s="145">
        <f t="shared" si="1797"/>
        <v>9</v>
      </c>
      <c r="AK297" s="192">
        <f t="shared" si="1719"/>
        <v>23</v>
      </c>
      <c r="AL297" s="144"/>
      <c r="AM297" s="145"/>
      <c r="AN297" s="145"/>
      <c r="AO297" s="145"/>
      <c r="AP297" s="89"/>
      <c r="AQ297" s="144"/>
      <c r="AR297" s="145"/>
      <c r="AS297" s="145"/>
      <c r="AT297" s="193"/>
      <c r="AU297" s="144"/>
      <c r="AV297" s="145"/>
      <c r="AW297" s="145"/>
      <c r="AX297" s="194"/>
      <c r="AY297" s="92">
        <f t="shared" ref="AY297:AZ297" si="1798">RANDBETWEEN(1,10)/10</f>
        <v>0.1</v>
      </c>
      <c r="AZ297" s="92">
        <f t="shared" si="1798"/>
        <v>0.7</v>
      </c>
      <c r="BA297" s="93">
        <v>0.0</v>
      </c>
      <c r="BB297" s="93">
        <v>0.0</v>
      </c>
      <c r="BC297" s="94">
        <f>SUM(BC269,'ГОЧ'!$AY297)</f>
        <v>1205.5</v>
      </c>
      <c r="BD297" s="94">
        <f>SUM(BD269,'ГОЧ'!$AZ297)</f>
        <v>1204.8</v>
      </c>
      <c r="BE297" s="108"/>
      <c r="BF297" s="108"/>
    </row>
    <row r="298" ht="15.75" customHeight="1">
      <c r="A298" s="67">
        <f t="shared" si="1707"/>
        <v>46264</v>
      </c>
      <c r="B298" s="138" t="s">
        <v>35</v>
      </c>
      <c r="C298" s="157">
        <f t="shared" si="1708"/>
        <v>2</v>
      </c>
      <c r="D298" s="97">
        <f t="shared" ref="D298:L298" si="1799">RANDBETWEEN(0,2)</f>
        <v>1</v>
      </c>
      <c r="E298" s="97">
        <f t="shared" si="1799"/>
        <v>1</v>
      </c>
      <c r="F298" s="97">
        <f t="shared" si="1799"/>
        <v>1</v>
      </c>
      <c r="G298" s="97">
        <f t="shared" si="1799"/>
        <v>0</v>
      </c>
      <c r="H298" s="98">
        <f t="shared" si="1799"/>
        <v>2</v>
      </c>
      <c r="I298" s="99">
        <f t="shared" si="1799"/>
        <v>1</v>
      </c>
      <c r="J298" s="100">
        <f t="shared" si="1799"/>
        <v>1</v>
      </c>
      <c r="K298" s="101">
        <f t="shared" si="1799"/>
        <v>1</v>
      </c>
      <c r="L298" s="101">
        <f t="shared" si="1799"/>
        <v>0</v>
      </c>
      <c r="M298" s="140">
        <f t="shared" si="1710"/>
        <v>55</v>
      </c>
      <c r="N298" s="97">
        <f t="shared" ref="N298:T298" si="1800">RANDBETWEEN(0,10)</f>
        <v>7</v>
      </c>
      <c r="O298" s="97">
        <f t="shared" si="1800"/>
        <v>9</v>
      </c>
      <c r="P298" s="97">
        <f t="shared" si="1800"/>
        <v>9</v>
      </c>
      <c r="Q298" s="97">
        <f t="shared" si="1800"/>
        <v>7</v>
      </c>
      <c r="R298" s="97">
        <f t="shared" si="1800"/>
        <v>4</v>
      </c>
      <c r="S298" s="97">
        <f t="shared" si="1800"/>
        <v>10</v>
      </c>
      <c r="T298" s="97">
        <f t="shared" si="1800"/>
        <v>9</v>
      </c>
      <c r="U298" s="103">
        <f t="shared" si="1794"/>
        <v>23</v>
      </c>
      <c r="V298" s="158">
        <f t="shared" si="1747"/>
        <v>3</v>
      </c>
      <c r="W298" s="97">
        <f t="shared" ref="W298:Y298" si="1801">RANDBETWEEN(0,2)</f>
        <v>1</v>
      </c>
      <c r="X298" s="97">
        <f t="shared" si="1801"/>
        <v>2</v>
      </c>
      <c r="Y298" s="97">
        <f t="shared" si="1801"/>
        <v>0</v>
      </c>
      <c r="Z298" s="105">
        <f t="shared" si="1756"/>
        <v>3</v>
      </c>
      <c r="AA298" s="106">
        <f t="shared" ref="AA298:AF298" si="1802">RANDBETWEEN(0,2)</f>
        <v>2</v>
      </c>
      <c r="AB298" s="106">
        <f t="shared" si="1802"/>
        <v>1</v>
      </c>
      <c r="AC298" s="107">
        <f t="shared" si="1802"/>
        <v>0</v>
      </c>
      <c r="AD298" s="108">
        <f t="shared" si="1802"/>
        <v>0</v>
      </c>
      <c r="AE298" s="108">
        <f t="shared" si="1802"/>
        <v>1</v>
      </c>
      <c r="AF298" s="108">
        <f t="shared" si="1802"/>
        <v>2</v>
      </c>
      <c r="AG298" s="86">
        <f t="shared" si="1717"/>
        <v>3</v>
      </c>
      <c r="AH298" s="107">
        <f t="shared" ref="AH298:AJ298" si="1803">RANDBETWEEN(1,10)</f>
        <v>5</v>
      </c>
      <c r="AI298" s="108">
        <f t="shared" si="1803"/>
        <v>4</v>
      </c>
      <c r="AJ298" s="108">
        <f t="shared" si="1803"/>
        <v>6</v>
      </c>
      <c r="AK298" s="192">
        <f t="shared" si="1719"/>
        <v>15</v>
      </c>
      <c r="AL298" s="107"/>
      <c r="AM298" s="108"/>
      <c r="AN298" s="108"/>
      <c r="AO298" s="108"/>
      <c r="AP298" s="89"/>
      <c r="AQ298" s="107"/>
      <c r="AR298" s="108"/>
      <c r="AS298" s="108"/>
      <c r="AT298" s="193"/>
      <c r="AU298" s="107"/>
      <c r="AV298" s="108"/>
      <c r="AW298" s="108"/>
      <c r="AX298" s="194"/>
      <c r="AY298" s="92">
        <f t="shared" ref="AY298:AZ298" si="1804">RANDBETWEEN(1,10)/10</f>
        <v>0.2</v>
      </c>
      <c r="AZ298" s="92">
        <f t="shared" si="1804"/>
        <v>0.8</v>
      </c>
      <c r="BA298" s="93">
        <v>0.0</v>
      </c>
      <c r="BB298" s="93">
        <v>0.0</v>
      </c>
      <c r="BC298" s="94">
        <f>SUM(BC270,'ГОЧ'!$AY298)</f>
        <v>1205.3</v>
      </c>
      <c r="BD298" s="94">
        <f>SUM(BD270,'ГОЧ'!$AZ298)</f>
        <v>1206.1</v>
      </c>
      <c r="BE298" s="108"/>
      <c r="BF298" s="108"/>
    </row>
    <row r="299" ht="15.75" customHeight="1">
      <c r="A299" s="67">
        <f t="shared" si="1707"/>
        <v>46264</v>
      </c>
      <c r="B299" s="138" t="s">
        <v>36</v>
      </c>
      <c r="C299" s="157">
        <f t="shared" si="1708"/>
        <v>2</v>
      </c>
      <c r="D299" s="97">
        <f t="shared" ref="D299:L299" si="1805">RANDBETWEEN(0,2)</f>
        <v>2</v>
      </c>
      <c r="E299" s="97">
        <f t="shared" si="1805"/>
        <v>1</v>
      </c>
      <c r="F299" s="97">
        <f t="shared" si="1805"/>
        <v>0</v>
      </c>
      <c r="G299" s="97">
        <f t="shared" si="1805"/>
        <v>2</v>
      </c>
      <c r="H299" s="98">
        <f t="shared" si="1805"/>
        <v>0</v>
      </c>
      <c r="I299" s="99">
        <f t="shared" si="1805"/>
        <v>1</v>
      </c>
      <c r="J299" s="100">
        <f t="shared" si="1805"/>
        <v>2</v>
      </c>
      <c r="K299" s="101">
        <f t="shared" si="1805"/>
        <v>0</v>
      </c>
      <c r="L299" s="101">
        <f t="shared" si="1805"/>
        <v>1</v>
      </c>
      <c r="M299" s="140">
        <f t="shared" si="1710"/>
        <v>37</v>
      </c>
      <c r="N299" s="97">
        <f t="shared" ref="N299:T299" si="1806">RANDBETWEEN(0,10)</f>
        <v>6</v>
      </c>
      <c r="O299" s="97">
        <f t="shared" si="1806"/>
        <v>7</v>
      </c>
      <c r="P299" s="97">
        <f t="shared" si="1806"/>
        <v>4</v>
      </c>
      <c r="Q299" s="97">
        <f t="shared" si="1806"/>
        <v>8</v>
      </c>
      <c r="R299" s="97">
        <f t="shared" si="1806"/>
        <v>9</v>
      </c>
      <c r="S299" s="97">
        <f t="shared" si="1806"/>
        <v>3</v>
      </c>
      <c r="T299" s="97">
        <f t="shared" si="1806"/>
        <v>0</v>
      </c>
      <c r="U299" s="103">
        <f t="shared" si="1794"/>
        <v>19</v>
      </c>
      <c r="V299" s="158">
        <f t="shared" si="1747"/>
        <v>4</v>
      </c>
      <c r="W299" s="97">
        <f t="shared" ref="W299:Y299" si="1807">RANDBETWEEN(0,2)</f>
        <v>0</v>
      </c>
      <c r="X299" s="97">
        <f t="shared" si="1807"/>
        <v>2</v>
      </c>
      <c r="Y299" s="97">
        <f t="shared" si="1807"/>
        <v>2</v>
      </c>
      <c r="Z299" s="105">
        <f t="shared" si="1756"/>
        <v>1</v>
      </c>
      <c r="AA299" s="143">
        <f t="shared" ref="AA299:AF299" si="1808">RANDBETWEEN(0,2)</f>
        <v>0</v>
      </c>
      <c r="AB299" s="143">
        <f t="shared" si="1808"/>
        <v>1</v>
      </c>
      <c r="AC299" s="144">
        <f t="shared" si="1808"/>
        <v>2</v>
      </c>
      <c r="AD299" s="145">
        <f t="shared" si="1808"/>
        <v>1</v>
      </c>
      <c r="AE299" s="145">
        <f t="shared" si="1808"/>
        <v>0</v>
      </c>
      <c r="AF299" s="145">
        <f t="shared" si="1808"/>
        <v>0</v>
      </c>
      <c r="AG299" s="86">
        <f t="shared" si="1717"/>
        <v>3</v>
      </c>
      <c r="AH299" s="144">
        <f t="shared" ref="AH299:AJ299" si="1809">RANDBETWEEN(1,10)</f>
        <v>9</v>
      </c>
      <c r="AI299" s="145">
        <f t="shared" si="1809"/>
        <v>4</v>
      </c>
      <c r="AJ299" s="145">
        <f t="shared" si="1809"/>
        <v>7</v>
      </c>
      <c r="AK299" s="192">
        <f t="shared" si="1719"/>
        <v>20</v>
      </c>
      <c r="AL299" s="144"/>
      <c r="AM299" s="145"/>
      <c r="AN299" s="145"/>
      <c r="AO299" s="145"/>
      <c r="AP299" s="89"/>
      <c r="AQ299" s="144"/>
      <c r="AR299" s="145"/>
      <c r="AS299" s="145"/>
      <c r="AT299" s="193"/>
      <c r="AU299" s="144"/>
      <c r="AV299" s="145"/>
      <c r="AW299" s="145"/>
      <c r="AX299" s="194"/>
      <c r="AY299" s="92">
        <f t="shared" ref="AY299:AZ299" si="1810">RANDBETWEEN(1,10)/10</f>
        <v>0.3</v>
      </c>
      <c r="AZ299" s="92">
        <f t="shared" si="1810"/>
        <v>0.7</v>
      </c>
      <c r="BA299" s="93">
        <v>0.0</v>
      </c>
      <c r="BB299" s="93">
        <v>0.0</v>
      </c>
      <c r="BC299" s="94">
        <f>SUM(BC271,'ГОЧ'!$AY299)</f>
        <v>1205.8</v>
      </c>
      <c r="BD299" s="94">
        <f>SUM(BD271,'ГОЧ'!$AZ299)</f>
        <v>1206.2</v>
      </c>
      <c r="BE299" s="108"/>
      <c r="BF299" s="108"/>
    </row>
    <row r="300" ht="15.75" customHeight="1">
      <c r="A300" s="67">
        <f t="shared" si="1707"/>
        <v>46264</v>
      </c>
      <c r="B300" s="195" t="s">
        <v>38</v>
      </c>
      <c r="C300" s="157">
        <f t="shared" si="1708"/>
        <v>2</v>
      </c>
      <c r="D300" s="97">
        <f t="shared" ref="D300:L300" si="1811">RANDBETWEEN(0,2)</f>
        <v>1</v>
      </c>
      <c r="E300" s="97">
        <f t="shared" si="1811"/>
        <v>1</v>
      </c>
      <c r="F300" s="97">
        <f t="shared" si="1811"/>
        <v>1</v>
      </c>
      <c r="G300" s="97">
        <f t="shared" si="1811"/>
        <v>0</v>
      </c>
      <c r="H300" s="98">
        <f t="shared" si="1811"/>
        <v>0</v>
      </c>
      <c r="I300" s="99">
        <f t="shared" si="1811"/>
        <v>1</v>
      </c>
      <c r="J300" s="100">
        <f t="shared" si="1811"/>
        <v>1</v>
      </c>
      <c r="K300" s="101">
        <f t="shared" si="1811"/>
        <v>1</v>
      </c>
      <c r="L300" s="101">
        <f t="shared" si="1811"/>
        <v>1</v>
      </c>
      <c r="M300" s="140">
        <f t="shared" si="1710"/>
        <v>27</v>
      </c>
      <c r="N300" s="97">
        <f t="shared" ref="N300:T300" si="1812">RANDBETWEEN(0,10)</f>
        <v>5</v>
      </c>
      <c r="O300" s="97">
        <f t="shared" si="1812"/>
        <v>4</v>
      </c>
      <c r="P300" s="97">
        <f t="shared" si="1812"/>
        <v>2</v>
      </c>
      <c r="Q300" s="97">
        <f t="shared" si="1812"/>
        <v>2</v>
      </c>
      <c r="R300" s="97">
        <f t="shared" si="1812"/>
        <v>3</v>
      </c>
      <c r="S300" s="97">
        <f t="shared" si="1812"/>
        <v>7</v>
      </c>
      <c r="T300" s="97">
        <f t="shared" si="1812"/>
        <v>4</v>
      </c>
      <c r="U300" s="103">
        <f t="shared" si="1794"/>
        <v>22</v>
      </c>
      <c r="V300" s="158">
        <f t="shared" si="1747"/>
        <v>2</v>
      </c>
      <c r="W300" s="97">
        <f t="shared" ref="W300:Y300" si="1813">RANDBETWEEN(0,2)</f>
        <v>1</v>
      </c>
      <c r="X300" s="97">
        <f t="shared" si="1813"/>
        <v>0</v>
      </c>
      <c r="Y300" s="97">
        <f t="shared" si="1813"/>
        <v>1</v>
      </c>
      <c r="Z300" s="105">
        <f t="shared" si="1756"/>
        <v>2</v>
      </c>
      <c r="AA300" s="106">
        <f t="shared" ref="AA300:AF300" si="1814">RANDBETWEEN(0,2)</f>
        <v>2</v>
      </c>
      <c r="AB300" s="106">
        <f t="shared" si="1814"/>
        <v>0</v>
      </c>
      <c r="AC300" s="107">
        <f t="shared" si="1814"/>
        <v>0</v>
      </c>
      <c r="AD300" s="108">
        <f t="shared" si="1814"/>
        <v>0</v>
      </c>
      <c r="AE300" s="108">
        <f t="shared" si="1814"/>
        <v>1</v>
      </c>
      <c r="AF300" s="108">
        <f t="shared" si="1814"/>
        <v>2</v>
      </c>
      <c r="AG300" s="86">
        <f t="shared" si="1717"/>
        <v>3</v>
      </c>
      <c r="AH300" s="107">
        <f t="shared" ref="AH300:AJ300" si="1815">RANDBETWEEN(1,10)</f>
        <v>8</v>
      </c>
      <c r="AI300" s="108">
        <f t="shared" si="1815"/>
        <v>5</v>
      </c>
      <c r="AJ300" s="108">
        <f t="shared" si="1815"/>
        <v>5</v>
      </c>
      <c r="AK300" s="192">
        <f t="shared" si="1719"/>
        <v>18</v>
      </c>
      <c r="AL300" s="107"/>
      <c r="AM300" s="108"/>
      <c r="AN300" s="108"/>
      <c r="AO300" s="108"/>
      <c r="AP300" s="89"/>
      <c r="AQ300" s="107"/>
      <c r="AR300" s="108"/>
      <c r="AS300" s="108"/>
      <c r="AT300" s="193"/>
      <c r="AU300" s="107"/>
      <c r="AV300" s="108"/>
      <c r="AW300" s="108"/>
      <c r="AX300" s="194"/>
      <c r="AY300" s="92">
        <f t="shared" ref="AY300:AZ300" si="1816">RANDBETWEEN(1,10)/10</f>
        <v>0.3</v>
      </c>
      <c r="AZ300" s="92">
        <f t="shared" si="1816"/>
        <v>0.3</v>
      </c>
      <c r="BA300" s="93">
        <v>0.0</v>
      </c>
      <c r="BB300" s="93">
        <v>0.0</v>
      </c>
      <c r="BC300" s="94">
        <f>SUM(BC272,'ГОЧ'!$AY300)</f>
        <v>1204.4</v>
      </c>
      <c r="BD300" s="94">
        <f>SUM(BD272,'ГОЧ'!$AZ300)</f>
        <v>1204.5</v>
      </c>
      <c r="BE300" s="108"/>
      <c r="BF300" s="108"/>
    </row>
    <row r="301" ht="15.75" customHeight="1">
      <c r="A301" s="67">
        <f t="shared" si="1707"/>
        <v>46264</v>
      </c>
      <c r="B301" s="138" t="s">
        <v>41</v>
      </c>
      <c r="C301" s="157">
        <f t="shared" si="1708"/>
        <v>3</v>
      </c>
      <c r="D301" s="97">
        <f t="shared" ref="D301:L301" si="1817">RANDBETWEEN(0,2)</f>
        <v>2</v>
      </c>
      <c r="E301" s="97">
        <f t="shared" si="1817"/>
        <v>2</v>
      </c>
      <c r="F301" s="97">
        <f t="shared" si="1817"/>
        <v>1</v>
      </c>
      <c r="G301" s="97">
        <f t="shared" si="1817"/>
        <v>1</v>
      </c>
      <c r="H301" s="98">
        <f t="shared" si="1817"/>
        <v>2</v>
      </c>
      <c r="I301" s="99">
        <f t="shared" si="1817"/>
        <v>1</v>
      </c>
      <c r="J301" s="100">
        <f t="shared" si="1817"/>
        <v>1</v>
      </c>
      <c r="K301" s="101">
        <f t="shared" si="1817"/>
        <v>2</v>
      </c>
      <c r="L301" s="101">
        <f t="shared" si="1817"/>
        <v>2</v>
      </c>
      <c r="M301" s="140">
        <f t="shared" si="1710"/>
        <v>28</v>
      </c>
      <c r="N301" s="97">
        <f t="shared" ref="N301:T301" si="1818">RANDBETWEEN(0,10)</f>
        <v>6</v>
      </c>
      <c r="O301" s="97">
        <f t="shared" si="1818"/>
        <v>3</v>
      </c>
      <c r="P301" s="97">
        <f t="shared" si="1818"/>
        <v>8</v>
      </c>
      <c r="Q301" s="97">
        <f t="shared" si="1818"/>
        <v>3</v>
      </c>
      <c r="R301" s="97">
        <f t="shared" si="1818"/>
        <v>7</v>
      </c>
      <c r="S301" s="97">
        <f t="shared" si="1818"/>
        <v>1</v>
      </c>
      <c r="T301" s="97">
        <f t="shared" si="1818"/>
        <v>0</v>
      </c>
      <c r="U301" s="103">
        <f t="shared" si="1794"/>
        <v>30</v>
      </c>
      <c r="V301" s="158">
        <f t="shared" si="1747"/>
        <v>3</v>
      </c>
      <c r="W301" s="97">
        <f t="shared" ref="W301:Y301" si="1819">RANDBETWEEN(0,2)</f>
        <v>0</v>
      </c>
      <c r="X301" s="97">
        <f t="shared" si="1819"/>
        <v>2</v>
      </c>
      <c r="Y301" s="97">
        <f t="shared" si="1819"/>
        <v>1</v>
      </c>
      <c r="Z301" s="105">
        <f t="shared" si="1756"/>
        <v>2</v>
      </c>
      <c r="AA301" s="143">
        <f t="shared" ref="AA301:AF301" si="1820">RANDBETWEEN(0,2)</f>
        <v>1</v>
      </c>
      <c r="AB301" s="143">
        <f t="shared" si="1820"/>
        <v>1</v>
      </c>
      <c r="AC301" s="144">
        <f t="shared" si="1820"/>
        <v>1</v>
      </c>
      <c r="AD301" s="145">
        <f t="shared" si="1820"/>
        <v>2</v>
      </c>
      <c r="AE301" s="145">
        <f t="shared" si="1820"/>
        <v>0</v>
      </c>
      <c r="AF301" s="145">
        <f t="shared" si="1820"/>
        <v>2</v>
      </c>
      <c r="AG301" s="86">
        <f t="shared" si="1717"/>
        <v>5</v>
      </c>
      <c r="AH301" s="144">
        <f t="shared" ref="AH301:AJ301" si="1821">RANDBETWEEN(1,10)</f>
        <v>1</v>
      </c>
      <c r="AI301" s="145">
        <f t="shared" si="1821"/>
        <v>2</v>
      </c>
      <c r="AJ301" s="145">
        <f t="shared" si="1821"/>
        <v>3</v>
      </c>
      <c r="AK301" s="192">
        <f t="shared" si="1719"/>
        <v>6</v>
      </c>
      <c r="AL301" s="144"/>
      <c r="AM301" s="145"/>
      <c r="AN301" s="145"/>
      <c r="AO301" s="145"/>
      <c r="AP301" s="89"/>
      <c r="AQ301" s="144"/>
      <c r="AR301" s="145"/>
      <c r="AS301" s="145"/>
      <c r="AT301" s="193"/>
      <c r="AU301" s="144"/>
      <c r="AV301" s="145"/>
      <c r="AW301" s="145"/>
      <c r="AX301" s="194"/>
      <c r="AY301" s="92">
        <f t="shared" ref="AY301:AZ301" si="1822">RANDBETWEEN(1,10)/10</f>
        <v>0.8</v>
      </c>
      <c r="AZ301" s="92">
        <f t="shared" si="1822"/>
        <v>0.5</v>
      </c>
      <c r="BA301" s="93">
        <v>0.0</v>
      </c>
      <c r="BB301" s="93">
        <v>0.0</v>
      </c>
      <c r="BC301" s="94">
        <f>SUM(BC273,'ГОЧ'!$AY301)</f>
        <v>1205.6</v>
      </c>
      <c r="BD301" s="94">
        <f>SUM(BD273,'ГОЧ'!$AZ301)</f>
        <v>1206</v>
      </c>
      <c r="BE301" s="108"/>
      <c r="BF301" s="108"/>
    </row>
    <row r="302" ht="15.75" customHeight="1">
      <c r="A302" s="67">
        <f t="shared" si="1707"/>
        <v>46264</v>
      </c>
      <c r="B302" s="114" t="s">
        <v>45</v>
      </c>
      <c r="C302" s="164">
        <f t="shared" si="1708"/>
        <v>13</v>
      </c>
      <c r="D302" s="164">
        <f t="shared" ref="D302:U302" si="1823">SUM(D296:D301)</f>
        <v>9</v>
      </c>
      <c r="E302" s="165">
        <f t="shared" si="1823"/>
        <v>7</v>
      </c>
      <c r="F302" s="165">
        <f t="shared" si="1823"/>
        <v>4</v>
      </c>
      <c r="G302" s="165">
        <f t="shared" si="1823"/>
        <v>4</v>
      </c>
      <c r="H302" s="165">
        <f t="shared" si="1823"/>
        <v>5</v>
      </c>
      <c r="I302" s="165">
        <f t="shared" si="1823"/>
        <v>4</v>
      </c>
      <c r="J302" s="165">
        <f t="shared" si="1823"/>
        <v>6</v>
      </c>
      <c r="K302" s="165">
        <f t="shared" si="1823"/>
        <v>5</v>
      </c>
      <c r="L302" s="165">
        <f t="shared" si="1823"/>
        <v>7</v>
      </c>
      <c r="M302" s="164">
        <f t="shared" si="1823"/>
        <v>228</v>
      </c>
      <c r="N302" s="164">
        <f t="shared" si="1823"/>
        <v>43</v>
      </c>
      <c r="O302" s="165">
        <f t="shared" si="1823"/>
        <v>42</v>
      </c>
      <c r="P302" s="165">
        <f t="shared" si="1823"/>
        <v>35</v>
      </c>
      <c r="Q302" s="165">
        <f t="shared" si="1823"/>
        <v>33</v>
      </c>
      <c r="R302" s="165">
        <f t="shared" si="1823"/>
        <v>30</v>
      </c>
      <c r="S302" s="165">
        <f t="shared" si="1823"/>
        <v>24</v>
      </c>
      <c r="T302" s="165">
        <f t="shared" si="1823"/>
        <v>21</v>
      </c>
      <c r="U302" s="164">
        <f t="shared" si="1823"/>
        <v>135</v>
      </c>
      <c r="V302" s="164">
        <f t="shared" si="1747"/>
        <v>18</v>
      </c>
      <c r="W302" s="165">
        <f t="shared" ref="W302:Y302" si="1824">SUM(W296:W301)</f>
        <v>6</v>
      </c>
      <c r="X302" s="165">
        <f t="shared" si="1824"/>
        <v>8</v>
      </c>
      <c r="Y302" s="165">
        <f t="shared" si="1824"/>
        <v>4</v>
      </c>
      <c r="Z302" s="165">
        <f t="shared" si="1756"/>
        <v>14</v>
      </c>
      <c r="AA302" s="165">
        <f t="shared" ref="AA302:AF302" si="1825">SUM(AA296:AA301)</f>
        <v>8</v>
      </c>
      <c r="AB302" s="165">
        <f t="shared" si="1825"/>
        <v>6</v>
      </c>
      <c r="AC302" s="166">
        <f t="shared" si="1825"/>
        <v>6</v>
      </c>
      <c r="AD302" s="166">
        <f t="shared" si="1825"/>
        <v>4</v>
      </c>
      <c r="AE302" s="166">
        <f t="shared" si="1825"/>
        <v>5</v>
      </c>
      <c r="AF302" s="166">
        <f t="shared" si="1825"/>
        <v>9</v>
      </c>
      <c r="AG302" s="168">
        <f t="shared" si="1717"/>
        <v>24</v>
      </c>
      <c r="AH302" s="166">
        <f t="shared" ref="AH302:AJ302" si="1826">SUM(AH296:AH301)</f>
        <v>37</v>
      </c>
      <c r="AI302" s="167">
        <f t="shared" si="1826"/>
        <v>30</v>
      </c>
      <c r="AJ302" s="167">
        <f t="shared" si="1826"/>
        <v>39</v>
      </c>
      <c r="AK302" s="168">
        <f t="shared" si="1719"/>
        <v>106</v>
      </c>
      <c r="AL302" s="166"/>
      <c r="AM302" s="166"/>
      <c r="AN302" s="166"/>
      <c r="AO302" s="166"/>
      <c r="AP302" s="169"/>
      <c r="AQ302" s="166"/>
      <c r="AR302" s="167"/>
      <c r="AS302" s="167"/>
      <c r="AT302" s="170"/>
      <c r="AU302" s="166"/>
      <c r="AV302" s="167"/>
      <c r="AW302" s="167"/>
      <c r="AX302" s="171"/>
      <c r="AY302" s="196">
        <f t="shared" ref="AY302:BD302" si="1827">SUM(AY296:AY301)</f>
        <v>2.6</v>
      </c>
      <c r="AZ302" s="196">
        <f t="shared" si="1827"/>
        <v>3.1</v>
      </c>
      <c r="BA302" s="167">
        <f t="shared" si="1827"/>
        <v>0</v>
      </c>
      <c r="BB302" s="167">
        <f t="shared" si="1827"/>
        <v>0</v>
      </c>
      <c r="BC302" s="197">
        <f t="shared" si="1827"/>
        <v>7232.5</v>
      </c>
      <c r="BD302" s="197">
        <f t="shared" si="1827"/>
        <v>7233.6</v>
      </c>
      <c r="BE302" s="154" t="str">
        <f t="shared" ref="BE302:BF302" si="1828">TEXTJOIN(", ",TRUE,BE296:BE301)</f>
        <v/>
      </c>
      <c r="BF302" s="154" t="str">
        <f t="shared" si="1828"/>
        <v/>
      </c>
    </row>
    <row r="303" ht="15.75" customHeight="1">
      <c r="A303" s="67">
        <f t="shared" si="1707"/>
        <v>46264</v>
      </c>
      <c r="B303" s="124" t="s">
        <v>49</v>
      </c>
      <c r="C303" s="174">
        <f t="shared" si="1708"/>
        <v>3</v>
      </c>
      <c r="D303" s="175">
        <f t="shared" ref="D303:L303" si="1829">RANDBETWEEN(0,2)</f>
        <v>2</v>
      </c>
      <c r="E303" s="175">
        <f t="shared" si="1829"/>
        <v>2</v>
      </c>
      <c r="F303" s="175">
        <f t="shared" si="1829"/>
        <v>1</v>
      </c>
      <c r="G303" s="175">
        <f t="shared" si="1829"/>
        <v>2</v>
      </c>
      <c r="H303" s="176">
        <f t="shared" si="1829"/>
        <v>0</v>
      </c>
      <c r="I303" s="177">
        <f t="shared" si="1829"/>
        <v>0</v>
      </c>
      <c r="J303" s="178">
        <f t="shared" si="1829"/>
        <v>0</v>
      </c>
      <c r="K303" s="179">
        <f t="shared" si="1829"/>
        <v>1</v>
      </c>
      <c r="L303" s="179">
        <f t="shared" si="1829"/>
        <v>2</v>
      </c>
      <c r="M303" s="180">
        <f t="shared" ref="M303:M308" si="1836">SUM(N303:T303)</f>
        <v>49</v>
      </c>
      <c r="N303" s="175">
        <f t="shared" ref="N303:T303" si="1830">RANDBETWEEN(0,10)</f>
        <v>3</v>
      </c>
      <c r="O303" s="175">
        <f t="shared" si="1830"/>
        <v>3</v>
      </c>
      <c r="P303" s="175">
        <f t="shared" si="1830"/>
        <v>10</v>
      </c>
      <c r="Q303" s="175">
        <f t="shared" si="1830"/>
        <v>6</v>
      </c>
      <c r="R303" s="175">
        <f t="shared" si="1830"/>
        <v>9</v>
      </c>
      <c r="S303" s="175">
        <f t="shared" si="1830"/>
        <v>9</v>
      </c>
      <c r="T303" s="175">
        <f t="shared" si="1830"/>
        <v>9</v>
      </c>
      <c r="U303" s="181">
        <f t="shared" ref="U303:U307" si="1838">RANDBETWEEN(10,30)</f>
        <v>15</v>
      </c>
      <c r="V303" s="182">
        <f t="shared" si="1747"/>
        <v>2</v>
      </c>
      <c r="W303" s="175">
        <f t="shared" ref="W303:Y303" si="1831">RANDBETWEEN(0,2)</f>
        <v>0</v>
      </c>
      <c r="X303" s="175">
        <f t="shared" si="1831"/>
        <v>0</v>
      </c>
      <c r="Y303" s="175">
        <f t="shared" si="1831"/>
        <v>2</v>
      </c>
      <c r="Z303" s="183">
        <f t="shared" si="1756"/>
        <v>4</v>
      </c>
      <c r="AA303" s="198">
        <f t="shared" ref="AA303:AF303" si="1832">RANDBETWEEN(0,2)</f>
        <v>2</v>
      </c>
      <c r="AB303" s="198">
        <f t="shared" si="1832"/>
        <v>2</v>
      </c>
      <c r="AC303" s="199">
        <f t="shared" si="1832"/>
        <v>0</v>
      </c>
      <c r="AD303" s="200">
        <f t="shared" si="1832"/>
        <v>0</v>
      </c>
      <c r="AE303" s="200">
        <f t="shared" si="1832"/>
        <v>2</v>
      </c>
      <c r="AF303" s="200">
        <f t="shared" si="1832"/>
        <v>0</v>
      </c>
      <c r="AG303" s="187">
        <f t="shared" si="1717"/>
        <v>2</v>
      </c>
      <c r="AH303" s="199">
        <f t="shared" ref="AH303:AJ303" si="1833">RANDBETWEEN(1,10)</f>
        <v>5</v>
      </c>
      <c r="AI303" s="200">
        <f t="shared" si="1833"/>
        <v>2</v>
      </c>
      <c r="AJ303" s="200">
        <f t="shared" si="1833"/>
        <v>4</v>
      </c>
      <c r="AK303" s="188">
        <f t="shared" si="1719"/>
        <v>11</v>
      </c>
      <c r="AL303" s="199"/>
      <c r="AM303" s="200"/>
      <c r="AN303" s="200"/>
      <c r="AO303" s="200"/>
      <c r="AP303" s="189"/>
      <c r="AQ303" s="199"/>
      <c r="AR303" s="200"/>
      <c r="AS303" s="200"/>
      <c r="AT303" s="190"/>
      <c r="AU303" s="199"/>
      <c r="AV303" s="200"/>
      <c r="AW303" s="200"/>
      <c r="AX303" s="191"/>
      <c r="AY303" s="92">
        <f t="shared" ref="AY303:AZ303" si="1834">RANDBETWEEN(1,10)/10</f>
        <v>0.8</v>
      </c>
      <c r="AZ303" s="92">
        <f t="shared" si="1834"/>
        <v>0.4</v>
      </c>
      <c r="BA303" s="93">
        <v>0.0</v>
      </c>
      <c r="BB303" s="93">
        <v>0.0</v>
      </c>
      <c r="BC303" s="94">
        <f>SUM(BC275,'ГОЧ'!$AY303)</f>
        <v>1205.7</v>
      </c>
      <c r="BD303" s="94">
        <f>SUM(BD275,'ГОЧ'!$AZ303)</f>
        <v>1204.6</v>
      </c>
      <c r="BE303" s="186"/>
      <c r="BF303" s="186"/>
    </row>
    <row r="304" ht="15.75" customHeight="1">
      <c r="A304" s="67">
        <f t="shared" si="1707"/>
        <v>46264</v>
      </c>
      <c r="B304" s="195" t="s">
        <v>53</v>
      </c>
      <c r="C304" s="157">
        <f t="shared" si="1708"/>
        <v>3</v>
      </c>
      <c r="D304" s="97">
        <f t="shared" ref="D304:L304" si="1835">RANDBETWEEN(0,2)</f>
        <v>2</v>
      </c>
      <c r="E304" s="97">
        <f t="shared" si="1835"/>
        <v>1</v>
      </c>
      <c r="F304" s="97">
        <f t="shared" si="1835"/>
        <v>1</v>
      </c>
      <c r="G304" s="97">
        <f t="shared" si="1835"/>
        <v>1</v>
      </c>
      <c r="H304" s="98">
        <f t="shared" si="1835"/>
        <v>0</v>
      </c>
      <c r="I304" s="99">
        <f t="shared" si="1835"/>
        <v>2</v>
      </c>
      <c r="J304" s="100">
        <f t="shared" si="1835"/>
        <v>1</v>
      </c>
      <c r="K304" s="101">
        <f t="shared" si="1835"/>
        <v>2</v>
      </c>
      <c r="L304" s="101">
        <f t="shared" si="1835"/>
        <v>0</v>
      </c>
      <c r="M304" s="140">
        <f t="shared" si="1836"/>
        <v>34</v>
      </c>
      <c r="N304" s="97">
        <f t="shared" ref="N304:T304" si="1837">RANDBETWEEN(0,10)</f>
        <v>6</v>
      </c>
      <c r="O304" s="97">
        <f t="shared" si="1837"/>
        <v>7</v>
      </c>
      <c r="P304" s="97">
        <f t="shared" si="1837"/>
        <v>8</v>
      </c>
      <c r="Q304" s="97">
        <f t="shared" si="1837"/>
        <v>0</v>
      </c>
      <c r="R304" s="97">
        <f t="shared" si="1837"/>
        <v>3</v>
      </c>
      <c r="S304" s="97">
        <f t="shared" si="1837"/>
        <v>8</v>
      </c>
      <c r="T304" s="97">
        <f t="shared" si="1837"/>
        <v>2</v>
      </c>
      <c r="U304" s="103">
        <f t="shared" si="1838"/>
        <v>15</v>
      </c>
      <c r="V304" s="158">
        <f t="shared" si="1747"/>
        <v>2</v>
      </c>
      <c r="W304" s="97">
        <f t="shared" ref="W304:Y304" si="1839">RANDBETWEEN(0,2)</f>
        <v>1</v>
      </c>
      <c r="X304" s="97">
        <f t="shared" si="1839"/>
        <v>1</v>
      </c>
      <c r="Y304" s="97">
        <f t="shared" si="1839"/>
        <v>0</v>
      </c>
      <c r="Z304" s="105">
        <f t="shared" si="1756"/>
        <v>3</v>
      </c>
      <c r="AA304" s="106">
        <f t="shared" ref="AA304:AF304" si="1840">RANDBETWEEN(0,2)</f>
        <v>1</v>
      </c>
      <c r="AB304" s="106">
        <f t="shared" si="1840"/>
        <v>2</v>
      </c>
      <c r="AC304" s="107">
        <f t="shared" si="1840"/>
        <v>2</v>
      </c>
      <c r="AD304" s="108">
        <f t="shared" si="1840"/>
        <v>2</v>
      </c>
      <c r="AE304" s="108">
        <f t="shared" si="1840"/>
        <v>0</v>
      </c>
      <c r="AF304" s="108">
        <f t="shared" si="1840"/>
        <v>2</v>
      </c>
      <c r="AG304" s="86">
        <f t="shared" si="1717"/>
        <v>6</v>
      </c>
      <c r="AH304" s="107">
        <f t="shared" ref="AH304:AJ304" si="1841">RANDBETWEEN(1,10)</f>
        <v>2</v>
      </c>
      <c r="AI304" s="108">
        <f t="shared" si="1841"/>
        <v>9</v>
      </c>
      <c r="AJ304" s="108">
        <f t="shared" si="1841"/>
        <v>8</v>
      </c>
      <c r="AK304" s="192">
        <f t="shared" si="1719"/>
        <v>19</v>
      </c>
      <c r="AL304" s="107"/>
      <c r="AM304" s="108"/>
      <c r="AN304" s="108"/>
      <c r="AO304" s="108"/>
      <c r="AP304" s="89"/>
      <c r="AQ304" s="107"/>
      <c r="AR304" s="108"/>
      <c r="AS304" s="108"/>
      <c r="AT304" s="193"/>
      <c r="AU304" s="107"/>
      <c r="AV304" s="108"/>
      <c r="AW304" s="108"/>
      <c r="AX304" s="194"/>
      <c r="AY304" s="92">
        <f t="shared" ref="AY304:AZ304" si="1842">RANDBETWEEN(1,10)/10</f>
        <v>0.1</v>
      </c>
      <c r="AZ304" s="92">
        <f t="shared" si="1842"/>
        <v>0.8</v>
      </c>
      <c r="BA304" s="93">
        <v>0.0</v>
      </c>
      <c r="BB304" s="93">
        <v>0.0</v>
      </c>
      <c r="BC304" s="94">
        <f>SUM(BC276,'ГОЧ'!$AY304)</f>
        <v>1204.6</v>
      </c>
      <c r="BD304" s="94">
        <f>SUM(BD276,'ГОЧ'!$AZ304)</f>
        <v>1205.3</v>
      </c>
      <c r="BE304" s="108"/>
      <c r="BF304" s="108"/>
    </row>
    <row r="305" ht="15.75" customHeight="1">
      <c r="A305" s="67">
        <f t="shared" si="1707"/>
        <v>46264</v>
      </c>
      <c r="B305" s="138" t="s">
        <v>57</v>
      </c>
      <c r="C305" s="157">
        <f t="shared" si="1708"/>
        <v>2</v>
      </c>
      <c r="D305" s="97">
        <f t="shared" ref="D305:L305" si="1843">RANDBETWEEN(0,2)</f>
        <v>1</v>
      </c>
      <c r="E305" s="97">
        <f t="shared" si="1843"/>
        <v>0</v>
      </c>
      <c r="F305" s="97">
        <f t="shared" si="1843"/>
        <v>1</v>
      </c>
      <c r="G305" s="97">
        <f t="shared" si="1843"/>
        <v>1</v>
      </c>
      <c r="H305" s="98">
        <f t="shared" si="1843"/>
        <v>2</v>
      </c>
      <c r="I305" s="99">
        <f t="shared" si="1843"/>
        <v>2</v>
      </c>
      <c r="J305" s="100">
        <f t="shared" si="1843"/>
        <v>0</v>
      </c>
      <c r="K305" s="101">
        <f t="shared" si="1843"/>
        <v>1</v>
      </c>
      <c r="L305" s="101">
        <f t="shared" si="1843"/>
        <v>0</v>
      </c>
      <c r="M305" s="140">
        <f t="shared" si="1836"/>
        <v>42</v>
      </c>
      <c r="N305" s="97">
        <f t="shared" ref="N305:T305" si="1844">RANDBETWEEN(0,10)</f>
        <v>9</v>
      </c>
      <c r="O305" s="97">
        <f t="shared" si="1844"/>
        <v>8</v>
      </c>
      <c r="P305" s="97">
        <f t="shared" si="1844"/>
        <v>3</v>
      </c>
      <c r="Q305" s="97">
        <f t="shared" si="1844"/>
        <v>6</v>
      </c>
      <c r="R305" s="97">
        <f t="shared" si="1844"/>
        <v>2</v>
      </c>
      <c r="S305" s="97">
        <f t="shared" si="1844"/>
        <v>8</v>
      </c>
      <c r="T305" s="97">
        <f t="shared" si="1844"/>
        <v>6</v>
      </c>
      <c r="U305" s="103">
        <f t="shared" si="1838"/>
        <v>23</v>
      </c>
      <c r="V305" s="158">
        <f t="shared" si="1747"/>
        <v>4</v>
      </c>
      <c r="W305" s="97">
        <f t="shared" ref="W305:Y305" si="1845">RANDBETWEEN(0,2)</f>
        <v>0</v>
      </c>
      <c r="X305" s="97">
        <f t="shared" si="1845"/>
        <v>2</v>
      </c>
      <c r="Y305" s="97">
        <f t="shared" si="1845"/>
        <v>2</v>
      </c>
      <c r="Z305" s="105">
        <f t="shared" si="1756"/>
        <v>1</v>
      </c>
      <c r="AA305" s="143">
        <f t="shared" ref="AA305:AF305" si="1846">RANDBETWEEN(0,2)</f>
        <v>0</v>
      </c>
      <c r="AB305" s="143">
        <f t="shared" si="1846"/>
        <v>1</v>
      </c>
      <c r="AC305" s="144">
        <f t="shared" si="1846"/>
        <v>0</v>
      </c>
      <c r="AD305" s="145">
        <f t="shared" si="1846"/>
        <v>0</v>
      </c>
      <c r="AE305" s="145">
        <f t="shared" si="1846"/>
        <v>0</v>
      </c>
      <c r="AF305" s="145">
        <f t="shared" si="1846"/>
        <v>2</v>
      </c>
      <c r="AG305" s="86">
        <f t="shared" si="1717"/>
        <v>2</v>
      </c>
      <c r="AH305" s="144">
        <f t="shared" ref="AH305:AJ305" si="1847">RANDBETWEEN(1,10)</f>
        <v>4</v>
      </c>
      <c r="AI305" s="145">
        <f t="shared" si="1847"/>
        <v>9</v>
      </c>
      <c r="AJ305" s="145">
        <f t="shared" si="1847"/>
        <v>6</v>
      </c>
      <c r="AK305" s="192">
        <f t="shared" si="1719"/>
        <v>19</v>
      </c>
      <c r="AL305" s="144"/>
      <c r="AM305" s="145"/>
      <c r="AN305" s="145"/>
      <c r="AO305" s="145"/>
      <c r="AP305" s="89"/>
      <c r="AQ305" s="144"/>
      <c r="AR305" s="145"/>
      <c r="AS305" s="145"/>
      <c r="AT305" s="193"/>
      <c r="AU305" s="144"/>
      <c r="AV305" s="145"/>
      <c r="AW305" s="145"/>
      <c r="AX305" s="194"/>
      <c r="AY305" s="92">
        <f t="shared" ref="AY305:AZ305" si="1848">RANDBETWEEN(1,10)/10</f>
        <v>0.4</v>
      </c>
      <c r="AZ305" s="92">
        <f t="shared" si="1848"/>
        <v>0.5</v>
      </c>
      <c r="BA305" s="93">
        <v>0.0</v>
      </c>
      <c r="BB305" s="93">
        <v>0.0</v>
      </c>
      <c r="BC305" s="94">
        <f>SUM(BC277,'ГОЧ'!$AY305)</f>
        <v>1205.4</v>
      </c>
      <c r="BD305" s="94">
        <f>SUM(BD277,'ГОЧ'!$AZ305)</f>
        <v>1206.4</v>
      </c>
      <c r="BE305" s="108"/>
      <c r="BF305" s="108"/>
    </row>
    <row r="306" ht="15.75" customHeight="1">
      <c r="A306" s="67">
        <f t="shared" si="1707"/>
        <v>46264</v>
      </c>
      <c r="B306" s="138" t="s">
        <v>60</v>
      </c>
      <c r="C306" s="157">
        <f t="shared" si="1708"/>
        <v>1</v>
      </c>
      <c r="D306" s="97">
        <f t="shared" ref="D306:L306" si="1849">RANDBETWEEN(0,2)</f>
        <v>0</v>
      </c>
      <c r="E306" s="97">
        <f t="shared" si="1849"/>
        <v>1</v>
      </c>
      <c r="F306" s="97">
        <f t="shared" si="1849"/>
        <v>1</v>
      </c>
      <c r="G306" s="97">
        <f t="shared" si="1849"/>
        <v>1</v>
      </c>
      <c r="H306" s="98">
        <f t="shared" si="1849"/>
        <v>1</v>
      </c>
      <c r="I306" s="99">
        <f t="shared" si="1849"/>
        <v>2</v>
      </c>
      <c r="J306" s="100">
        <f t="shared" si="1849"/>
        <v>2</v>
      </c>
      <c r="K306" s="101">
        <f t="shared" si="1849"/>
        <v>1</v>
      </c>
      <c r="L306" s="101">
        <f t="shared" si="1849"/>
        <v>1</v>
      </c>
      <c r="M306" s="140">
        <f t="shared" si="1836"/>
        <v>38</v>
      </c>
      <c r="N306" s="97">
        <f t="shared" ref="N306:T306" si="1850">RANDBETWEEN(0,10)</f>
        <v>3</v>
      </c>
      <c r="O306" s="97">
        <f t="shared" si="1850"/>
        <v>3</v>
      </c>
      <c r="P306" s="97">
        <f t="shared" si="1850"/>
        <v>5</v>
      </c>
      <c r="Q306" s="97">
        <f t="shared" si="1850"/>
        <v>3</v>
      </c>
      <c r="R306" s="97">
        <f t="shared" si="1850"/>
        <v>8</v>
      </c>
      <c r="S306" s="97">
        <f t="shared" si="1850"/>
        <v>9</v>
      </c>
      <c r="T306" s="97">
        <f t="shared" si="1850"/>
        <v>7</v>
      </c>
      <c r="U306" s="103">
        <f t="shared" si="1838"/>
        <v>14</v>
      </c>
      <c r="V306" s="158">
        <f t="shared" si="1747"/>
        <v>3</v>
      </c>
      <c r="W306" s="97">
        <f t="shared" ref="W306:Y306" si="1851">RANDBETWEEN(0,2)</f>
        <v>2</v>
      </c>
      <c r="X306" s="97">
        <f t="shared" si="1851"/>
        <v>1</v>
      </c>
      <c r="Y306" s="97">
        <f t="shared" si="1851"/>
        <v>0</v>
      </c>
      <c r="Z306" s="105">
        <f t="shared" si="1756"/>
        <v>2</v>
      </c>
      <c r="AA306" s="106">
        <f t="shared" ref="AA306:AF306" si="1852">RANDBETWEEN(0,2)</f>
        <v>0</v>
      </c>
      <c r="AB306" s="106">
        <f t="shared" si="1852"/>
        <v>2</v>
      </c>
      <c r="AC306" s="107">
        <f t="shared" si="1852"/>
        <v>2</v>
      </c>
      <c r="AD306" s="108">
        <f t="shared" si="1852"/>
        <v>1</v>
      </c>
      <c r="AE306" s="108">
        <f t="shared" si="1852"/>
        <v>2</v>
      </c>
      <c r="AF306" s="108">
        <f t="shared" si="1852"/>
        <v>2</v>
      </c>
      <c r="AG306" s="86">
        <f t="shared" si="1717"/>
        <v>7</v>
      </c>
      <c r="AH306" s="107">
        <f t="shared" ref="AH306:AJ306" si="1853">RANDBETWEEN(1,10)</f>
        <v>4</v>
      </c>
      <c r="AI306" s="108">
        <f t="shared" si="1853"/>
        <v>3</v>
      </c>
      <c r="AJ306" s="108">
        <f t="shared" si="1853"/>
        <v>5</v>
      </c>
      <c r="AK306" s="192">
        <f t="shared" si="1719"/>
        <v>12</v>
      </c>
      <c r="AL306" s="107"/>
      <c r="AM306" s="108"/>
      <c r="AN306" s="108"/>
      <c r="AO306" s="108"/>
      <c r="AP306" s="89"/>
      <c r="AQ306" s="107"/>
      <c r="AR306" s="108"/>
      <c r="AS306" s="108"/>
      <c r="AT306" s="193"/>
      <c r="AU306" s="107"/>
      <c r="AV306" s="108"/>
      <c r="AW306" s="108"/>
      <c r="AX306" s="194"/>
      <c r="AY306" s="92">
        <f t="shared" ref="AY306:AZ306" si="1854">RANDBETWEEN(1,10)/10</f>
        <v>0.9</v>
      </c>
      <c r="AZ306" s="92">
        <f t="shared" si="1854"/>
        <v>0.1</v>
      </c>
      <c r="BA306" s="93">
        <v>0.0</v>
      </c>
      <c r="BB306" s="93">
        <v>0.0</v>
      </c>
      <c r="BC306" s="94">
        <f>SUM(BC278,'ГОЧ'!$AY306)</f>
        <v>1204.4</v>
      </c>
      <c r="BD306" s="94">
        <f>SUM(BD278,'ГОЧ'!$AZ306)</f>
        <v>1204.6</v>
      </c>
      <c r="BE306" s="108"/>
      <c r="BF306" s="108"/>
    </row>
    <row r="307" ht="15.75" customHeight="1">
      <c r="A307" s="67">
        <f t="shared" si="1707"/>
        <v>46264</v>
      </c>
      <c r="B307" s="195" t="s">
        <v>64</v>
      </c>
      <c r="C307" s="157">
        <f t="shared" si="1708"/>
        <v>3</v>
      </c>
      <c r="D307" s="97">
        <f t="shared" ref="D307:L307" si="1855">RANDBETWEEN(0,2)</f>
        <v>1</v>
      </c>
      <c r="E307" s="97">
        <f t="shared" si="1855"/>
        <v>2</v>
      </c>
      <c r="F307" s="97">
        <f t="shared" si="1855"/>
        <v>2</v>
      </c>
      <c r="G307" s="97">
        <f t="shared" si="1855"/>
        <v>1</v>
      </c>
      <c r="H307" s="98">
        <f t="shared" si="1855"/>
        <v>1</v>
      </c>
      <c r="I307" s="99">
        <f t="shared" si="1855"/>
        <v>0</v>
      </c>
      <c r="J307" s="100">
        <f t="shared" si="1855"/>
        <v>1</v>
      </c>
      <c r="K307" s="101">
        <f t="shared" si="1855"/>
        <v>2</v>
      </c>
      <c r="L307" s="101">
        <f t="shared" si="1855"/>
        <v>1</v>
      </c>
      <c r="M307" s="140">
        <f t="shared" si="1836"/>
        <v>28</v>
      </c>
      <c r="N307" s="97">
        <f t="shared" ref="N307:T307" si="1856">RANDBETWEEN(0,10)</f>
        <v>1</v>
      </c>
      <c r="O307" s="97">
        <f t="shared" si="1856"/>
        <v>5</v>
      </c>
      <c r="P307" s="97">
        <f t="shared" si="1856"/>
        <v>1</v>
      </c>
      <c r="Q307" s="97">
        <f t="shared" si="1856"/>
        <v>5</v>
      </c>
      <c r="R307" s="97">
        <f t="shared" si="1856"/>
        <v>5</v>
      </c>
      <c r="S307" s="97">
        <f t="shared" si="1856"/>
        <v>10</v>
      </c>
      <c r="T307" s="97">
        <f t="shared" si="1856"/>
        <v>1</v>
      </c>
      <c r="U307" s="103">
        <f t="shared" si="1838"/>
        <v>11</v>
      </c>
      <c r="V307" s="158">
        <f t="shared" si="1747"/>
        <v>4</v>
      </c>
      <c r="W307" s="97">
        <f t="shared" ref="W307:Y307" si="1857">RANDBETWEEN(0,2)</f>
        <v>0</v>
      </c>
      <c r="X307" s="97">
        <f t="shared" si="1857"/>
        <v>2</v>
      </c>
      <c r="Y307" s="97">
        <f t="shared" si="1857"/>
        <v>2</v>
      </c>
      <c r="Z307" s="105">
        <f t="shared" si="1756"/>
        <v>1</v>
      </c>
      <c r="AA307" s="143">
        <f t="shared" ref="AA307:AF307" si="1858">RANDBETWEEN(0,2)</f>
        <v>1</v>
      </c>
      <c r="AB307" s="143">
        <f t="shared" si="1858"/>
        <v>0</v>
      </c>
      <c r="AC307" s="144">
        <f t="shared" si="1858"/>
        <v>0</v>
      </c>
      <c r="AD307" s="145">
        <f t="shared" si="1858"/>
        <v>2</v>
      </c>
      <c r="AE307" s="145">
        <f t="shared" si="1858"/>
        <v>0</v>
      </c>
      <c r="AF307" s="145">
        <f t="shared" si="1858"/>
        <v>2</v>
      </c>
      <c r="AG307" s="86">
        <f t="shared" si="1717"/>
        <v>4</v>
      </c>
      <c r="AH307" s="144">
        <f t="shared" ref="AH307:AJ307" si="1859">RANDBETWEEN(1,10)</f>
        <v>4</v>
      </c>
      <c r="AI307" s="145">
        <f t="shared" si="1859"/>
        <v>8</v>
      </c>
      <c r="AJ307" s="145">
        <f t="shared" si="1859"/>
        <v>10</v>
      </c>
      <c r="AK307" s="192">
        <f t="shared" si="1719"/>
        <v>22</v>
      </c>
      <c r="AL307" s="144"/>
      <c r="AM307" s="145"/>
      <c r="AN307" s="145"/>
      <c r="AO307" s="145"/>
      <c r="AP307" s="89"/>
      <c r="AQ307" s="144"/>
      <c r="AR307" s="145"/>
      <c r="AS307" s="145"/>
      <c r="AT307" s="193"/>
      <c r="AU307" s="144"/>
      <c r="AV307" s="145"/>
      <c r="AW307" s="145"/>
      <c r="AX307" s="194"/>
      <c r="AY307" s="92">
        <f t="shared" ref="AY307:AZ307" si="1860">RANDBETWEEN(1,10)/10</f>
        <v>0.6</v>
      </c>
      <c r="AZ307" s="92">
        <f t="shared" si="1860"/>
        <v>0.9</v>
      </c>
      <c r="BA307" s="93">
        <v>0.0</v>
      </c>
      <c r="BB307" s="93">
        <v>0.0</v>
      </c>
      <c r="BC307" s="94">
        <f>SUM(BC279,'ГОЧ'!$AY307)</f>
        <v>1204.4</v>
      </c>
      <c r="BD307" s="94">
        <f>SUM(BD279,'ГОЧ'!$AZ307)</f>
        <v>1205</v>
      </c>
      <c r="BE307" s="108"/>
      <c r="BF307" s="108"/>
    </row>
    <row r="308" ht="15.75" customHeight="1">
      <c r="A308" s="67">
        <f t="shared" si="1707"/>
        <v>46264</v>
      </c>
      <c r="B308" s="201" t="s">
        <v>67</v>
      </c>
      <c r="C308" s="164">
        <f t="shared" si="1708"/>
        <v>12</v>
      </c>
      <c r="D308" s="164">
        <f t="shared" ref="D308:L308" si="1861">SUM(D303:D307)</f>
        <v>6</v>
      </c>
      <c r="E308" s="165">
        <f t="shared" si="1861"/>
        <v>6</v>
      </c>
      <c r="F308" s="165">
        <f t="shared" si="1861"/>
        <v>6</v>
      </c>
      <c r="G308" s="165">
        <f t="shared" si="1861"/>
        <v>6</v>
      </c>
      <c r="H308" s="165">
        <f t="shared" si="1861"/>
        <v>4</v>
      </c>
      <c r="I308" s="165">
        <f t="shared" si="1861"/>
        <v>6</v>
      </c>
      <c r="J308" s="165">
        <f t="shared" si="1861"/>
        <v>4</v>
      </c>
      <c r="K308" s="165">
        <f t="shared" si="1861"/>
        <v>7</v>
      </c>
      <c r="L308" s="165">
        <f t="shared" si="1861"/>
        <v>4</v>
      </c>
      <c r="M308" s="164">
        <f t="shared" si="1836"/>
        <v>191</v>
      </c>
      <c r="N308" s="164">
        <f t="shared" ref="N308:U308" si="1862">SUM(N303:N307)</f>
        <v>22</v>
      </c>
      <c r="O308" s="165">
        <f t="shared" si="1862"/>
        <v>26</v>
      </c>
      <c r="P308" s="165">
        <f t="shared" si="1862"/>
        <v>27</v>
      </c>
      <c r="Q308" s="165">
        <f t="shared" si="1862"/>
        <v>20</v>
      </c>
      <c r="R308" s="165">
        <f t="shared" si="1862"/>
        <v>27</v>
      </c>
      <c r="S308" s="165">
        <f t="shared" si="1862"/>
        <v>44</v>
      </c>
      <c r="T308" s="165">
        <f t="shared" si="1862"/>
        <v>25</v>
      </c>
      <c r="U308" s="164">
        <f t="shared" si="1862"/>
        <v>78</v>
      </c>
      <c r="V308" s="164">
        <f t="shared" si="1747"/>
        <v>15</v>
      </c>
      <c r="W308" s="165">
        <f t="shared" ref="W308:Y308" si="1863">SUM(W303:W307)</f>
        <v>3</v>
      </c>
      <c r="X308" s="165">
        <f t="shared" si="1863"/>
        <v>6</v>
      </c>
      <c r="Y308" s="165">
        <f t="shared" si="1863"/>
        <v>6</v>
      </c>
      <c r="Z308" s="164">
        <f>SUM(AA308:AB308)</f>
        <v>11</v>
      </c>
      <c r="AA308" s="164">
        <f t="shared" ref="AA308:AF308" si="1864">SUM(AA303:AA307)</f>
        <v>4</v>
      </c>
      <c r="AB308" s="165">
        <f t="shared" si="1864"/>
        <v>7</v>
      </c>
      <c r="AC308" s="166">
        <f t="shared" si="1864"/>
        <v>4</v>
      </c>
      <c r="AD308" s="166">
        <f t="shared" si="1864"/>
        <v>5</v>
      </c>
      <c r="AE308" s="166">
        <f t="shared" si="1864"/>
        <v>4</v>
      </c>
      <c r="AF308" s="166">
        <f t="shared" si="1864"/>
        <v>8</v>
      </c>
      <c r="AG308" s="168">
        <f t="shared" si="1717"/>
        <v>21</v>
      </c>
      <c r="AH308" s="166">
        <f t="shared" ref="AH308:AJ308" si="1865">SUM(AH303:AH307)</f>
        <v>19</v>
      </c>
      <c r="AI308" s="167">
        <f t="shared" si="1865"/>
        <v>31</v>
      </c>
      <c r="AJ308" s="167">
        <f t="shared" si="1865"/>
        <v>33</v>
      </c>
      <c r="AK308" s="168">
        <f t="shared" si="1719"/>
        <v>83</v>
      </c>
      <c r="AL308" s="166"/>
      <c r="AM308" s="166"/>
      <c r="AN308" s="166"/>
      <c r="AO308" s="166"/>
      <c r="AP308" s="169"/>
      <c r="AQ308" s="166"/>
      <c r="AR308" s="167"/>
      <c r="AS308" s="167"/>
      <c r="AT308" s="170"/>
      <c r="AU308" s="166"/>
      <c r="AV308" s="167"/>
      <c r="AW308" s="167"/>
      <c r="AX308" s="171"/>
      <c r="AY308" s="196">
        <f t="shared" ref="AY308:BD308" si="1866">SUM(AY303:AY307)</f>
        <v>2.8</v>
      </c>
      <c r="AZ308" s="196">
        <f t="shared" si="1866"/>
        <v>2.7</v>
      </c>
      <c r="BA308" s="167">
        <f t="shared" si="1866"/>
        <v>0</v>
      </c>
      <c r="BB308" s="167">
        <f t="shared" si="1866"/>
        <v>0</v>
      </c>
      <c r="BC308" s="197">
        <f t="shared" si="1866"/>
        <v>6024.5</v>
      </c>
      <c r="BD308" s="197">
        <f t="shared" si="1866"/>
        <v>6025.9</v>
      </c>
      <c r="BE308" s="154" t="str">
        <f t="shared" ref="BE308:BF308" si="1867">TEXTJOIN(", ",TRUE,BE303:BE307)</f>
        <v/>
      </c>
      <c r="BF308" s="154" t="str">
        <f t="shared" si="1867"/>
        <v/>
      </c>
    </row>
    <row r="309" ht="15.75" customHeight="1">
      <c r="A309" s="67">
        <f t="shared" si="1707"/>
        <v>46264</v>
      </c>
      <c r="B309" s="202" t="s">
        <v>72</v>
      </c>
      <c r="C309" s="203">
        <f t="shared" ref="C309:AK309" si="1868">SUM(C283+C284+C285+C289,C288,C295,C302,C308)</f>
        <v>49</v>
      </c>
      <c r="D309" s="203">
        <f t="shared" si="1868"/>
        <v>30</v>
      </c>
      <c r="E309" s="203">
        <f t="shared" si="1868"/>
        <v>24</v>
      </c>
      <c r="F309" s="203">
        <f t="shared" si="1868"/>
        <v>19</v>
      </c>
      <c r="G309" s="203">
        <f t="shared" si="1868"/>
        <v>18</v>
      </c>
      <c r="H309" s="203">
        <f t="shared" si="1868"/>
        <v>17</v>
      </c>
      <c r="I309" s="203">
        <f t="shared" si="1868"/>
        <v>19</v>
      </c>
      <c r="J309" s="203">
        <f t="shared" si="1868"/>
        <v>18</v>
      </c>
      <c r="K309" s="203">
        <f t="shared" si="1868"/>
        <v>18</v>
      </c>
      <c r="L309" s="203">
        <f t="shared" si="1868"/>
        <v>16</v>
      </c>
      <c r="M309" s="203">
        <f t="shared" si="1868"/>
        <v>793</v>
      </c>
      <c r="N309" s="203">
        <f t="shared" si="1868"/>
        <v>112</v>
      </c>
      <c r="O309" s="203">
        <f t="shared" si="1868"/>
        <v>126</v>
      </c>
      <c r="P309" s="203">
        <f t="shared" si="1868"/>
        <v>101</v>
      </c>
      <c r="Q309" s="203">
        <f t="shared" si="1868"/>
        <v>127</v>
      </c>
      <c r="R309" s="203">
        <f t="shared" si="1868"/>
        <v>87</v>
      </c>
      <c r="S309" s="203">
        <f t="shared" si="1868"/>
        <v>117</v>
      </c>
      <c r="T309" s="203">
        <f t="shared" si="1868"/>
        <v>123</v>
      </c>
      <c r="U309" s="203">
        <f t="shared" si="1868"/>
        <v>399</v>
      </c>
      <c r="V309" s="203">
        <f t="shared" si="1868"/>
        <v>61</v>
      </c>
      <c r="W309" s="203">
        <f t="shared" si="1868"/>
        <v>16</v>
      </c>
      <c r="X309" s="203">
        <f t="shared" si="1868"/>
        <v>25</v>
      </c>
      <c r="Y309" s="203">
        <f t="shared" si="1868"/>
        <v>20</v>
      </c>
      <c r="Z309" s="203">
        <f t="shared" si="1868"/>
        <v>43</v>
      </c>
      <c r="AA309" s="203">
        <f t="shared" si="1868"/>
        <v>19</v>
      </c>
      <c r="AB309" s="203">
        <f t="shared" si="1868"/>
        <v>24</v>
      </c>
      <c r="AC309" s="204">
        <f t="shared" si="1868"/>
        <v>19</v>
      </c>
      <c r="AD309" s="204">
        <f t="shared" si="1868"/>
        <v>19</v>
      </c>
      <c r="AE309" s="204">
        <f t="shared" si="1868"/>
        <v>15</v>
      </c>
      <c r="AF309" s="204">
        <f t="shared" si="1868"/>
        <v>23</v>
      </c>
      <c r="AG309" s="204">
        <f t="shared" si="1868"/>
        <v>76</v>
      </c>
      <c r="AH309" s="204">
        <f t="shared" si="1868"/>
        <v>101</v>
      </c>
      <c r="AI309" s="204">
        <f t="shared" si="1868"/>
        <v>118</v>
      </c>
      <c r="AJ309" s="204">
        <f t="shared" si="1868"/>
        <v>113</v>
      </c>
      <c r="AK309" s="204">
        <f t="shared" si="1868"/>
        <v>332</v>
      </c>
      <c r="AL309" s="204"/>
      <c r="AM309" s="204"/>
      <c r="AN309" s="204"/>
      <c r="AO309" s="204"/>
      <c r="AP309" s="151"/>
      <c r="AQ309" s="204"/>
      <c r="AR309" s="204"/>
      <c r="AS309" s="204"/>
      <c r="AT309" s="152"/>
      <c r="AU309" s="204"/>
      <c r="AV309" s="204"/>
      <c r="AW309" s="204"/>
      <c r="AX309" s="153"/>
      <c r="AY309" s="205">
        <f t="shared" ref="AY309:BD309" si="1869">SUM(AY283+AY284+AY285+AY289,AY288,AY295,AY302,AY308)</f>
        <v>14.7</v>
      </c>
      <c r="AZ309" s="205">
        <f t="shared" si="1869"/>
        <v>13.1</v>
      </c>
      <c r="BA309" s="206">
        <f t="shared" si="1869"/>
        <v>5</v>
      </c>
      <c r="BB309" s="206">
        <f t="shared" si="1869"/>
        <v>3</v>
      </c>
      <c r="BC309" s="207">
        <f t="shared" si="1869"/>
        <v>26523</v>
      </c>
      <c r="BD309" s="207">
        <f t="shared" si="1869"/>
        <v>26525.8</v>
      </c>
      <c r="BE309" s="154" t="str">
        <f t="shared" ref="BE309:BF309" si="1870">TEXTJOIN(", ",TRUE,BE308,BE302,BE295,BE289,BE288,BE285,BE284,BE283)</f>
        <v>Олександівка, Пантелеймонівка, Миколаївка, Курськ, Рильск</v>
      </c>
      <c r="BF309" s="154" t="str">
        <f t="shared" si="1870"/>
        <v>Загреблі, Верхні води, Ступочки</v>
      </c>
    </row>
    <row r="310" ht="15.75" customHeight="1">
      <c r="A310" s="55">
        <f>A309+1</f>
        <v>46265</v>
      </c>
      <c r="B310" s="56"/>
      <c r="C310" s="57"/>
      <c r="D310" s="58"/>
      <c r="E310" s="59"/>
      <c r="F310" s="58"/>
      <c r="G310" s="59"/>
      <c r="H310" s="57"/>
      <c r="I310" s="60"/>
      <c r="J310" s="57"/>
      <c r="K310" s="57"/>
      <c r="L310" s="57"/>
      <c r="M310" s="57"/>
      <c r="N310" s="60"/>
      <c r="O310" s="60"/>
      <c r="P310" s="60"/>
      <c r="Q310" s="60"/>
      <c r="R310" s="60"/>
      <c r="S310" s="60"/>
      <c r="T310" s="60"/>
      <c r="U310" s="57"/>
      <c r="V310" s="58"/>
      <c r="W310" s="61"/>
      <c r="X310" s="61"/>
      <c r="Y310" s="61"/>
      <c r="Z310" s="57"/>
      <c r="AA310" s="60"/>
      <c r="AB310" s="60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4"/>
      <c r="AQ310" s="62"/>
      <c r="AR310" s="62"/>
      <c r="AS310" s="62"/>
      <c r="AT310" s="65"/>
      <c r="AU310" s="62"/>
      <c r="AV310" s="62"/>
      <c r="AW310" s="62"/>
      <c r="AX310" s="66"/>
      <c r="AY310" s="208"/>
      <c r="AZ310" s="208"/>
      <c r="BA310" s="62"/>
      <c r="BB310" s="62"/>
      <c r="BC310" s="209"/>
      <c r="BD310" s="209"/>
      <c r="BE310" s="62"/>
      <c r="BF310" s="62"/>
    </row>
    <row r="311" ht="15.75" customHeight="1">
      <c r="A311" s="67">
        <f t="shared" ref="A311:A337" si="1877">A310</f>
        <v>46265</v>
      </c>
      <c r="B311" s="70" t="s">
        <v>8</v>
      </c>
      <c r="C311" s="72">
        <f t="shared" ref="C311:C336" si="1878">SUM(D311,F311)</f>
        <v>1</v>
      </c>
      <c r="D311" s="74">
        <f t="shared" ref="D311:L311" si="1871">RANDBETWEEN(0,2)</f>
        <v>0</v>
      </c>
      <c r="E311" s="74">
        <f t="shared" si="1871"/>
        <v>1</v>
      </c>
      <c r="F311" s="74">
        <f t="shared" si="1871"/>
        <v>1</v>
      </c>
      <c r="G311" s="74">
        <f t="shared" si="1871"/>
        <v>1</v>
      </c>
      <c r="H311" s="75">
        <f t="shared" si="1871"/>
        <v>1</v>
      </c>
      <c r="I311" s="76">
        <f t="shared" si="1871"/>
        <v>0</v>
      </c>
      <c r="J311" s="77">
        <f t="shared" si="1871"/>
        <v>0</v>
      </c>
      <c r="K311" s="78">
        <f t="shared" si="1871"/>
        <v>2</v>
      </c>
      <c r="L311" s="78">
        <f t="shared" si="1871"/>
        <v>0</v>
      </c>
      <c r="M311" s="79">
        <f t="shared" ref="M311:M329" si="1880">SUM(N311:T311)</f>
        <v>28</v>
      </c>
      <c r="N311" s="74">
        <f t="shared" ref="N311:T311" si="1872">RANDBETWEEN(0,10)</f>
        <v>5</v>
      </c>
      <c r="O311" s="74">
        <f t="shared" si="1872"/>
        <v>0</v>
      </c>
      <c r="P311" s="74">
        <f t="shared" si="1872"/>
        <v>3</v>
      </c>
      <c r="Q311" s="74">
        <f t="shared" si="1872"/>
        <v>6</v>
      </c>
      <c r="R311" s="74">
        <f t="shared" si="1872"/>
        <v>3</v>
      </c>
      <c r="S311" s="74">
        <f t="shared" si="1872"/>
        <v>5</v>
      </c>
      <c r="T311" s="74">
        <f t="shared" si="1872"/>
        <v>6</v>
      </c>
      <c r="U311" s="81">
        <f t="shared" ref="U311:U312" si="1882">RANDBETWEEN(10,30)</f>
        <v>30</v>
      </c>
      <c r="V311" s="82">
        <f t="shared" ref="V311:V316" si="1883">SUM(W311:Y311)</f>
        <v>1</v>
      </c>
      <c r="W311" s="74">
        <f t="shared" ref="W311:Y311" si="1873">RANDBETWEEN(0,2)</f>
        <v>1</v>
      </c>
      <c r="X311" s="74">
        <f t="shared" si="1873"/>
        <v>0</v>
      </c>
      <c r="Y311" s="74">
        <f t="shared" si="1873"/>
        <v>0</v>
      </c>
      <c r="Z311" s="83">
        <f t="shared" ref="Z311:Z313" si="1885">AA311+AB311</f>
        <v>3</v>
      </c>
      <c r="AA311" s="84">
        <f t="shared" ref="AA311:AF311" si="1874">RANDBETWEEN(0,2)</f>
        <v>2</v>
      </c>
      <c r="AB311" s="84">
        <f t="shared" si="1874"/>
        <v>1</v>
      </c>
      <c r="AC311" s="85">
        <f t="shared" si="1874"/>
        <v>1</v>
      </c>
      <c r="AD311" s="85">
        <f t="shared" si="1874"/>
        <v>0</v>
      </c>
      <c r="AE311" s="85">
        <f t="shared" si="1874"/>
        <v>2</v>
      </c>
      <c r="AF311" s="85">
        <f t="shared" si="1874"/>
        <v>0</v>
      </c>
      <c r="AG311" s="86">
        <f t="shared" ref="AG311:AG336" si="1887">SUM(AC311:AF311)</f>
        <v>3</v>
      </c>
      <c r="AH311" s="87">
        <f t="shared" ref="AH311:AJ311" si="1875">RANDBETWEEN(1,10)</f>
        <v>7</v>
      </c>
      <c r="AI311" s="85">
        <f t="shared" si="1875"/>
        <v>1</v>
      </c>
      <c r="AJ311" s="85">
        <f t="shared" si="1875"/>
        <v>1</v>
      </c>
      <c r="AK311" s="88">
        <f t="shared" ref="AK311:AK336" si="1889">SUM(AH311:AJ311)</f>
        <v>9</v>
      </c>
      <c r="AL311" s="85"/>
      <c r="AM311" s="85"/>
      <c r="AN311" s="85"/>
      <c r="AO311" s="85"/>
      <c r="AP311" s="89"/>
      <c r="AQ311" s="87"/>
      <c r="AR311" s="85"/>
      <c r="AS311" s="85"/>
      <c r="AT311" s="90"/>
      <c r="AU311" s="87"/>
      <c r="AV311" s="85"/>
      <c r="AW311" s="85"/>
      <c r="AX311" s="91"/>
      <c r="AY311" s="92">
        <f t="shared" ref="AY311:AZ311" si="1876">RANDBETWEEN(1,10)/10</f>
        <v>0.7</v>
      </c>
      <c r="AZ311" s="92">
        <f t="shared" si="1876"/>
        <v>0.5</v>
      </c>
      <c r="BA311" s="93">
        <v>0.0</v>
      </c>
      <c r="BB311" s="93">
        <v>0.0</v>
      </c>
      <c r="BC311" s="94">
        <f>SUM(BC283,'ГОЧ'!$AY311)</f>
        <v>1208.2</v>
      </c>
      <c r="BD311" s="94">
        <f>SUM(BD283,'ГОЧ'!$AZ311)</f>
        <v>1208.2</v>
      </c>
      <c r="BE311" s="85"/>
      <c r="BF311" s="85"/>
    </row>
    <row r="312" ht="15.75" customHeight="1">
      <c r="A312" s="67">
        <f t="shared" si="1877"/>
        <v>46265</v>
      </c>
      <c r="B312" s="95" t="s">
        <v>10</v>
      </c>
      <c r="C312" s="96">
        <f t="shared" si="1878"/>
        <v>1</v>
      </c>
      <c r="D312" s="97">
        <f t="shared" ref="D312:L312" si="1879">RANDBETWEEN(0,2)</f>
        <v>1</v>
      </c>
      <c r="E312" s="97">
        <f t="shared" si="1879"/>
        <v>1</v>
      </c>
      <c r="F312" s="97">
        <f t="shared" si="1879"/>
        <v>0</v>
      </c>
      <c r="G312" s="97">
        <f t="shared" si="1879"/>
        <v>1</v>
      </c>
      <c r="H312" s="98">
        <f t="shared" si="1879"/>
        <v>2</v>
      </c>
      <c r="I312" s="99">
        <f t="shared" si="1879"/>
        <v>0</v>
      </c>
      <c r="J312" s="100">
        <f t="shared" si="1879"/>
        <v>1</v>
      </c>
      <c r="K312" s="101">
        <f t="shared" si="1879"/>
        <v>0</v>
      </c>
      <c r="L312" s="101">
        <f t="shared" si="1879"/>
        <v>2</v>
      </c>
      <c r="M312" s="102">
        <f t="shared" si="1880"/>
        <v>34</v>
      </c>
      <c r="N312" s="97">
        <f t="shared" ref="N312:T312" si="1881">RANDBETWEEN(0,10)</f>
        <v>2</v>
      </c>
      <c r="O312" s="97">
        <f t="shared" si="1881"/>
        <v>4</v>
      </c>
      <c r="P312" s="97">
        <f t="shared" si="1881"/>
        <v>6</v>
      </c>
      <c r="Q312" s="97">
        <f t="shared" si="1881"/>
        <v>2</v>
      </c>
      <c r="R312" s="97">
        <f t="shared" si="1881"/>
        <v>7</v>
      </c>
      <c r="S312" s="97">
        <f t="shared" si="1881"/>
        <v>9</v>
      </c>
      <c r="T312" s="97">
        <f t="shared" si="1881"/>
        <v>4</v>
      </c>
      <c r="U312" s="103">
        <f t="shared" si="1882"/>
        <v>25</v>
      </c>
      <c r="V312" s="104">
        <f t="shared" si="1883"/>
        <v>1</v>
      </c>
      <c r="W312" s="97">
        <f t="shared" ref="W312:Y312" si="1884">RANDBETWEEN(0,2)</f>
        <v>0</v>
      </c>
      <c r="X312" s="97">
        <f t="shared" si="1884"/>
        <v>1</v>
      </c>
      <c r="Y312" s="97">
        <f t="shared" si="1884"/>
        <v>0</v>
      </c>
      <c r="Z312" s="105">
        <f t="shared" si="1885"/>
        <v>2</v>
      </c>
      <c r="AA312" s="106">
        <f t="shared" ref="AA312:AF312" si="1886">RANDBETWEEN(0,2)</f>
        <v>0</v>
      </c>
      <c r="AB312" s="106">
        <f t="shared" si="1886"/>
        <v>2</v>
      </c>
      <c r="AC312" s="107">
        <f t="shared" si="1886"/>
        <v>2</v>
      </c>
      <c r="AD312" s="108">
        <f t="shared" si="1886"/>
        <v>0</v>
      </c>
      <c r="AE312" s="108">
        <f t="shared" si="1886"/>
        <v>0</v>
      </c>
      <c r="AF312" s="108">
        <f t="shared" si="1886"/>
        <v>2</v>
      </c>
      <c r="AG312" s="109">
        <f t="shared" si="1887"/>
        <v>4</v>
      </c>
      <c r="AH312" s="107">
        <f t="shared" ref="AH312:AJ312" si="1888">RANDBETWEEN(1,10)</f>
        <v>1</v>
      </c>
      <c r="AI312" s="108">
        <f t="shared" si="1888"/>
        <v>8</v>
      </c>
      <c r="AJ312" s="108">
        <f t="shared" si="1888"/>
        <v>5</v>
      </c>
      <c r="AK312" s="110">
        <f t="shared" si="1889"/>
        <v>14</v>
      </c>
      <c r="AL312" s="107"/>
      <c r="AM312" s="108"/>
      <c r="AN312" s="108"/>
      <c r="AO312" s="108"/>
      <c r="AP312" s="111"/>
      <c r="AQ312" s="107"/>
      <c r="AR312" s="108"/>
      <c r="AS312" s="108"/>
      <c r="AT312" s="112"/>
      <c r="AU312" s="107"/>
      <c r="AV312" s="108"/>
      <c r="AW312" s="108"/>
      <c r="AX312" s="113"/>
      <c r="AY312" s="92">
        <f t="shared" ref="AY312:AZ312" si="1890">RANDBETWEEN(1,10)/10</f>
        <v>0.2</v>
      </c>
      <c r="AZ312" s="92">
        <f t="shared" si="1890"/>
        <v>1</v>
      </c>
      <c r="BA312" s="93">
        <v>0.0</v>
      </c>
      <c r="BB312" s="93">
        <v>0.0</v>
      </c>
      <c r="BC312" s="94">
        <f>SUM(BC284,'ГОЧ'!$AY312)</f>
        <v>1205.2</v>
      </c>
      <c r="BD312" s="94">
        <f>SUM(BD284,'ГОЧ'!$AZ312)</f>
        <v>1206.3</v>
      </c>
      <c r="BE312" s="108"/>
      <c r="BF312" s="108"/>
    </row>
    <row r="313" ht="15.75" customHeight="1">
      <c r="A313" s="67">
        <f t="shared" si="1877"/>
        <v>46265</v>
      </c>
      <c r="B313" s="114" t="s">
        <v>12</v>
      </c>
      <c r="C313" s="115">
        <f t="shared" si="1878"/>
        <v>0</v>
      </c>
      <c r="D313" s="115">
        <v>0.0</v>
      </c>
      <c r="E313" s="116">
        <v>0.0</v>
      </c>
      <c r="F313" s="116">
        <v>0.0</v>
      </c>
      <c r="G313" s="116">
        <v>0.0</v>
      </c>
      <c r="H313" s="115">
        <v>0.0</v>
      </c>
      <c r="I313" s="116">
        <v>0.0</v>
      </c>
      <c r="J313" s="115">
        <v>0.0</v>
      </c>
      <c r="K313" s="116">
        <v>0.0</v>
      </c>
      <c r="L313" s="116">
        <v>0.0</v>
      </c>
      <c r="M313" s="115">
        <f t="shared" si="1880"/>
        <v>0</v>
      </c>
      <c r="N313" s="115">
        <v>0.0</v>
      </c>
      <c r="O313" s="116">
        <v>0.0</v>
      </c>
      <c r="P313" s="116">
        <v>0.0</v>
      </c>
      <c r="Q313" s="116">
        <v>0.0</v>
      </c>
      <c r="R313" s="116">
        <v>0.0</v>
      </c>
      <c r="S313" s="116">
        <v>0.0</v>
      </c>
      <c r="T313" s="116">
        <v>0.0</v>
      </c>
      <c r="U313" s="115">
        <v>0.0</v>
      </c>
      <c r="V313" s="115">
        <f t="shared" si="1883"/>
        <v>0</v>
      </c>
      <c r="W313" s="116">
        <v>0.0</v>
      </c>
      <c r="X313" s="116">
        <v>0.0</v>
      </c>
      <c r="Y313" s="116">
        <v>0.0</v>
      </c>
      <c r="Z313" s="116">
        <f t="shared" si="1885"/>
        <v>0</v>
      </c>
      <c r="AA313" s="116">
        <v>0.0</v>
      </c>
      <c r="AB313" s="116">
        <v>0.0</v>
      </c>
      <c r="AC313" s="117">
        <v>0.0</v>
      </c>
      <c r="AD313" s="118">
        <v>0.0</v>
      </c>
      <c r="AE313" s="118">
        <v>0.0</v>
      </c>
      <c r="AF313" s="118">
        <v>0.0</v>
      </c>
      <c r="AG313" s="119">
        <f t="shared" si="1887"/>
        <v>0</v>
      </c>
      <c r="AH313" s="117">
        <v>0.0</v>
      </c>
      <c r="AI313" s="118">
        <v>0.0</v>
      </c>
      <c r="AJ313" s="118">
        <v>0.0</v>
      </c>
      <c r="AK313" s="119">
        <f t="shared" si="1889"/>
        <v>0</v>
      </c>
      <c r="AL313" s="117"/>
      <c r="AM313" s="118"/>
      <c r="AN313" s="118"/>
      <c r="AO313" s="118"/>
      <c r="AP313" s="111"/>
      <c r="AQ313" s="117"/>
      <c r="AR313" s="118"/>
      <c r="AS313" s="118"/>
      <c r="AT313" s="120"/>
      <c r="AU313" s="117"/>
      <c r="AV313" s="118"/>
      <c r="AW313" s="118"/>
      <c r="AX313" s="121"/>
      <c r="AY313" s="122">
        <f t="shared" ref="AY313:BD313" si="1891">SUM(AY311:AY312)</f>
        <v>0.9</v>
      </c>
      <c r="AZ313" s="122">
        <f t="shared" si="1891"/>
        <v>1.5</v>
      </c>
      <c r="BA313" s="118">
        <f t="shared" si="1891"/>
        <v>0</v>
      </c>
      <c r="BB313" s="118">
        <f t="shared" si="1891"/>
        <v>0</v>
      </c>
      <c r="BC313" s="123">
        <f t="shared" si="1891"/>
        <v>2413.4</v>
      </c>
      <c r="BD313" s="123">
        <f t="shared" si="1891"/>
        <v>2414.5</v>
      </c>
      <c r="BE313" s="118"/>
      <c r="BF313" s="118"/>
    </row>
    <row r="314" ht="15.75" customHeight="1">
      <c r="A314" s="67">
        <f t="shared" si="1877"/>
        <v>46265</v>
      </c>
      <c r="B314" s="124" t="s">
        <v>14</v>
      </c>
      <c r="C314" s="96">
        <f t="shared" si="1878"/>
        <v>3</v>
      </c>
      <c r="D314" s="125">
        <f t="shared" ref="D314:L314" si="1892">RANDBETWEEN(0,2)</f>
        <v>2</v>
      </c>
      <c r="E314" s="125">
        <f t="shared" si="1892"/>
        <v>2</v>
      </c>
      <c r="F314" s="125">
        <f t="shared" si="1892"/>
        <v>1</v>
      </c>
      <c r="G314" s="125">
        <f t="shared" si="1892"/>
        <v>0</v>
      </c>
      <c r="H314" s="126">
        <f t="shared" si="1892"/>
        <v>0</v>
      </c>
      <c r="I314" s="127">
        <f t="shared" si="1892"/>
        <v>0</v>
      </c>
      <c r="J314" s="128">
        <f t="shared" si="1892"/>
        <v>1</v>
      </c>
      <c r="K314" s="130">
        <f t="shared" si="1892"/>
        <v>1</v>
      </c>
      <c r="L314" s="130">
        <f t="shared" si="1892"/>
        <v>2</v>
      </c>
      <c r="M314" s="102">
        <f t="shared" si="1880"/>
        <v>39</v>
      </c>
      <c r="N314" s="125">
        <f t="shared" ref="N314:T314" si="1893">RANDBETWEEN(0,10)</f>
        <v>6</v>
      </c>
      <c r="O314" s="125">
        <f t="shared" si="1893"/>
        <v>3</v>
      </c>
      <c r="P314" s="125">
        <f t="shared" si="1893"/>
        <v>10</v>
      </c>
      <c r="Q314" s="125">
        <f t="shared" si="1893"/>
        <v>3</v>
      </c>
      <c r="R314" s="125">
        <f t="shared" si="1893"/>
        <v>0</v>
      </c>
      <c r="S314" s="125">
        <f t="shared" si="1893"/>
        <v>8</v>
      </c>
      <c r="T314" s="125">
        <f t="shared" si="1893"/>
        <v>9</v>
      </c>
      <c r="U314" s="103">
        <f t="shared" ref="U314:U315" si="1900">RANDBETWEEN(10,30)</f>
        <v>25</v>
      </c>
      <c r="V314" s="131">
        <f t="shared" si="1883"/>
        <v>2</v>
      </c>
      <c r="W314" s="125">
        <f t="shared" ref="W314:Y314" si="1894">RANDBETWEEN(0,2)</f>
        <v>0</v>
      </c>
      <c r="X314" s="125">
        <f t="shared" si="1894"/>
        <v>1</v>
      </c>
      <c r="Y314" s="125">
        <f t="shared" si="1894"/>
        <v>1</v>
      </c>
      <c r="Z314" s="132">
        <f t="shared" ref="Z314:Z317" si="1902">SUM(AA314:AB314)</f>
        <v>2</v>
      </c>
      <c r="AA314" s="133">
        <f t="shared" ref="AA314:AF314" si="1895">RANDBETWEEN(0,2)</f>
        <v>2</v>
      </c>
      <c r="AB314" s="133">
        <f t="shared" si="1895"/>
        <v>0</v>
      </c>
      <c r="AC314" s="134">
        <f t="shared" si="1895"/>
        <v>2</v>
      </c>
      <c r="AD314" s="134">
        <f t="shared" si="1895"/>
        <v>1</v>
      </c>
      <c r="AE314" s="134">
        <f t="shared" si="1895"/>
        <v>0</v>
      </c>
      <c r="AF314" s="134">
        <f t="shared" si="1895"/>
        <v>1</v>
      </c>
      <c r="AG314" s="135">
        <f t="shared" si="1887"/>
        <v>4</v>
      </c>
      <c r="AH314" s="136">
        <f t="shared" ref="AH314:AJ314" si="1896">RANDBETWEEN(1,10)</f>
        <v>4</v>
      </c>
      <c r="AI314" s="134">
        <f t="shared" si="1896"/>
        <v>8</v>
      </c>
      <c r="AJ314" s="134">
        <f t="shared" si="1896"/>
        <v>4</v>
      </c>
      <c r="AK314" s="137">
        <f t="shared" si="1889"/>
        <v>16</v>
      </c>
      <c r="AL314" s="134"/>
      <c r="AM314" s="134"/>
      <c r="AN314" s="134"/>
      <c r="AO314" s="134"/>
      <c r="AP314" s="111"/>
      <c r="AQ314" s="136"/>
      <c r="AR314" s="134"/>
      <c r="AS314" s="134"/>
      <c r="AT314" s="120"/>
      <c r="AU314" s="136"/>
      <c r="AV314" s="134"/>
      <c r="AW314" s="134"/>
      <c r="AX314" s="121"/>
      <c r="AY314" s="92">
        <f t="shared" ref="AY314:AZ314" si="1897">RANDBETWEEN(1,10)/10</f>
        <v>0.3</v>
      </c>
      <c r="AZ314" s="92">
        <f t="shared" si="1897"/>
        <v>0.3</v>
      </c>
      <c r="BA314" s="93">
        <v>0.0</v>
      </c>
      <c r="BB314" s="93">
        <v>0.0</v>
      </c>
      <c r="BC314" s="94">
        <f>SUM(BC286,'ГОЧ'!$AY314)</f>
        <v>1205</v>
      </c>
      <c r="BD314" s="94">
        <f>SUM(BD286,'ГОЧ'!$AZ314)</f>
        <v>1205.3</v>
      </c>
      <c r="BE314" s="108"/>
      <c r="BF314" s="108"/>
    </row>
    <row r="315" ht="15.75" customHeight="1">
      <c r="A315" s="67">
        <f t="shared" si="1877"/>
        <v>46265</v>
      </c>
      <c r="B315" s="138" t="s">
        <v>16</v>
      </c>
      <c r="C315" s="139">
        <f t="shared" si="1878"/>
        <v>3</v>
      </c>
      <c r="D315" s="97">
        <f t="shared" ref="D315:L315" si="1898">RANDBETWEEN(0,2)</f>
        <v>2</v>
      </c>
      <c r="E315" s="97">
        <f t="shared" si="1898"/>
        <v>1</v>
      </c>
      <c r="F315" s="97">
        <f t="shared" si="1898"/>
        <v>1</v>
      </c>
      <c r="G315" s="97">
        <f t="shared" si="1898"/>
        <v>2</v>
      </c>
      <c r="H315" s="98">
        <f t="shared" si="1898"/>
        <v>0</v>
      </c>
      <c r="I315" s="99">
        <f t="shared" si="1898"/>
        <v>2</v>
      </c>
      <c r="J315" s="100">
        <f t="shared" si="1898"/>
        <v>2</v>
      </c>
      <c r="K315" s="101">
        <f t="shared" si="1898"/>
        <v>0</v>
      </c>
      <c r="L315" s="101">
        <f t="shared" si="1898"/>
        <v>0</v>
      </c>
      <c r="M315" s="140">
        <f t="shared" si="1880"/>
        <v>24</v>
      </c>
      <c r="N315" s="97">
        <f t="shared" ref="N315:T315" si="1899">RANDBETWEEN(0,10)</f>
        <v>8</v>
      </c>
      <c r="O315" s="97">
        <f t="shared" si="1899"/>
        <v>2</v>
      </c>
      <c r="P315" s="97">
        <f t="shared" si="1899"/>
        <v>1</v>
      </c>
      <c r="Q315" s="97">
        <f t="shared" si="1899"/>
        <v>0</v>
      </c>
      <c r="R315" s="97">
        <f t="shared" si="1899"/>
        <v>2</v>
      </c>
      <c r="S315" s="97">
        <f t="shared" si="1899"/>
        <v>2</v>
      </c>
      <c r="T315" s="97">
        <f t="shared" si="1899"/>
        <v>9</v>
      </c>
      <c r="U315" s="103">
        <f t="shared" si="1900"/>
        <v>28</v>
      </c>
      <c r="V315" s="141">
        <f t="shared" si="1883"/>
        <v>2</v>
      </c>
      <c r="W315" s="97">
        <f t="shared" ref="W315:Y315" si="1901">RANDBETWEEN(0,2)</f>
        <v>1</v>
      </c>
      <c r="X315" s="97">
        <f t="shared" si="1901"/>
        <v>1</v>
      </c>
      <c r="Y315" s="97">
        <f t="shared" si="1901"/>
        <v>0</v>
      </c>
      <c r="Z315" s="142">
        <f t="shared" si="1902"/>
        <v>1</v>
      </c>
      <c r="AA315" s="143">
        <f t="shared" ref="AA315:AF315" si="1903">RANDBETWEEN(0,2)</f>
        <v>1</v>
      </c>
      <c r="AB315" s="143">
        <f t="shared" si="1903"/>
        <v>0</v>
      </c>
      <c r="AC315" s="144">
        <f t="shared" si="1903"/>
        <v>1</v>
      </c>
      <c r="AD315" s="145">
        <f t="shared" si="1903"/>
        <v>0</v>
      </c>
      <c r="AE315" s="145">
        <f t="shared" si="1903"/>
        <v>2</v>
      </c>
      <c r="AF315" s="145">
        <f t="shared" si="1903"/>
        <v>1</v>
      </c>
      <c r="AG315" s="146">
        <f t="shared" si="1887"/>
        <v>4</v>
      </c>
      <c r="AH315" s="144">
        <f t="shared" ref="AH315:AJ315" si="1904">RANDBETWEEN(1,10)</f>
        <v>10</v>
      </c>
      <c r="AI315" s="145">
        <f t="shared" si="1904"/>
        <v>5</v>
      </c>
      <c r="AJ315" s="145">
        <f t="shared" si="1904"/>
        <v>1</v>
      </c>
      <c r="AK315" s="147">
        <f t="shared" si="1889"/>
        <v>16</v>
      </c>
      <c r="AL315" s="144"/>
      <c r="AM315" s="145"/>
      <c r="AN315" s="145"/>
      <c r="AO315" s="145"/>
      <c r="AP315" s="148"/>
      <c r="AQ315" s="144"/>
      <c r="AR315" s="145"/>
      <c r="AS315" s="145"/>
      <c r="AT315" s="149"/>
      <c r="AU315" s="144"/>
      <c r="AV315" s="145"/>
      <c r="AW315" s="145"/>
      <c r="AX315" s="150"/>
      <c r="AY315" s="92">
        <f t="shared" ref="AY315:AZ315" si="1905">RANDBETWEEN(1,10)/10</f>
        <v>0.1</v>
      </c>
      <c r="AZ315" s="92">
        <f t="shared" si="1905"/>
        <v>0.7</v>
      </c>
      <c r="BA315" s="93">
        <v>0.0</v>
      </c>
      <c r="BB315" s="93">
        <v>0.0</v>
      </c>
      <c r="BC315" s="94">
        <f>SUM(BC287,'ГОЧ'!$AY315)</f>
        <v>1205</v>
      </c>
      <c r="BD315" s="94">
        <f>SUM(BD287,'ГОЧ'!$AZ315)</f>
        <v>1205.8</v>
      </c>
      <c r="BE315" s="108"/>
      <c r="BF315" s="108"/>
    </row>
    <row r="316" ht="15.75" customHeight="1">
      <c r="A316" s="67">
        <f t="shared" si="1877"/>
        <v>46265</v>
      </c>
      <c r="B316" s="114" t="s">
        <v>18</v>
      </c>
      <c r="C316" s="115">
        <f t="shared" si="1878"/>
        <v>6</v>
      </c>
      <c r="D316" s="115">
        <f t="shared" ref="D316:L316" si="1906">SUM(D314:D315)</f>
        <v>4</v>
      </c>
      <c r="E316" s="116">
        <f t="shared" si="1906"/>
        <v>3</v>
      </c>
      <c r="F316" s="116">
        <f t="shared" si="1906"/>
        <v>2</v>
      </c>
      <c r="G316" s="116">
        <f t="shared" si="1906"/>
        <v>2</v>
      </c>
      <c r="H316" s="115">
        <f t="shared" si="1906"/>
        <v>0</v>
      </c>
      <c r="I316" s="116">
        <f t="shared" si="1906"/>
        <v>2</v>
      </c>
      <c r="J316" s="115">
        <f t="shared" si="1906"/>
        <v>3</v>
      </c>
      <c r="K316" s="116">
        <f t="shared" si="1906"/>
        <v>1</v>
      </c>
      <c r="L316" s="116">
        <f t="shared" si="1906"/>
        <v>2</v>
      </c>
      <c r="M316" s="115">
        <f t="shared" si="1880"/>
        <v>61</v>
      </c>
      <c r="N316" s="115">
        <f t="shared" ref="N316:Q316" si="1907">SUM(N314:N315)</f>
        <v>14</v>
      </c>
      <c r="O316" s="116">
        <f t="shared" si="1907"/>
        <v>5</v>
      </c>
      <c r="P316" s="116">
        <f t="shared" si="1907"/>
        <v>11</v>
      </c>
      <c r="Q316" s="116">
        <f t="shared" si="1907"/>
        <v>3</v>
      </c>
      <c r="R316" s="116">
        <v>0.0</v>
      </c>
      <c r="S316" s="116">
        <f t="shared" ref="S316:U316" si="1908">SUM(S314:S315)</f>
        <v>10</v>
      </c>
      <c r="T316" s="116">
        <f t="shared" si="1908"/>
        <v>18</v>
      </c>
      <c r="U316" s="115">
        <f t="shared" si="1908"/>
        <v>53</v>
      </c>
      <c r="V316" s="115">
        <f t="shared" si="1883"/>
        <v>4</v>
      </c>
      <c r="W316" s="116">
        <f t="shared" ref="W316:Y316" si="1909">SUM(W314:W315)</f>
        <v>1</v>
      </c>
      <c r="X316" s="116">
        <f t="shared" si="1909"/>
        <v>2</v>
      </c>
      <c r="Y316" s="116">
        <f t="shared" si="1909"/>
        <v>1</v>
      </c>
      <c r="Z316" s="116">
        <f t="shared" si="1902"/>
        <v>3</v>
      </c>
      <c r="AA316" s="116">
        <f t="shared" ref="AA316:AF316" si="1910">SUM(AA314:AA315)</f>
        <v>3</v>
      </c>
      <c r="AB316" s="116">
        <f t="shared" si="1910"/>
        <v>0</v>
      </c>
      <c r="AC316" s="118">
        <f t="shared" si="1910"/>
        <v>3</v>
      </c>
      <c r="AD316" s="118">
        <f t="shared" si="1910"/>
        <v>1</v>
      </c>
      <c r="AE316" s="118">
        <f t="shared" si="1910"/>
        <v>2</v>
      </c>
      <c r="AF316" s="118">
        <f t="shared" si="1910"/>
        <v>2</v>
      </c>
      <c r="AG316" s="117">
        <f t="shared" si="1887"/>
        <v>8</v>
      </c>
      <c r="AH316" s="117">
        <f t="shared" ref="AH316:AJ316" si="1911">SUM(AH314:AH315)</f>
        <v>14</v>
      </c>
      <c r="AI316" s="118">
        <f t="shared" si="1911"/>
        <v>13</v>
      </c>
      <c r="AJ316" s="118">
        <f t="shared" si="1911"/>
        <v>5</v>
      </c>
      <c r="AK316" s="117">
        <f t="shared" si="1889"/>
        <v>32</v>
      </c>
      <c r="AL316" s="118"/>
      <c r="AM316" s="118"/>
      <c r="AN316" s="118"/>
      <c r="AO316" s="118"/>
      <c r="AP316" s="151"/>
      <c r="AQ316" s="117"/>
      <c r="AR316" s="118"/>
      <c r="AS316" s="118"/>
      <c r="AT316" s="152"/>
      <c r="AU316" s="117"/>
      <c r="AV316" s="118"/>
      <c r="AW316" s="118"/>
      <c r="AX316" s="153"/>
      <c r="AY316" s="122">
        <f t="shared" ref="AY316:BD316" si="1912">SUM(AY314:AY315)</f>
        <v>0.4</v>
      </c>
      <c r="AZ316" s="122">
        <f t="shared" si="1912"/>
        <v>1</v>
      </c>
      <c r="BA316" s="118">
        <f t="shared" si="1912"/>
        <v>0</v>
      </c>
      <c r="BB316" s="118">
        <f t="shared" si="1912"/>
        <v>0</v>
      </c>
      <c r="BC316" s="123">
        <f t="shared" si="1912"/>
        <v>2410</v>
      </c>
      <c r="BD316" s="123">
        <f t="shared" si="1912"/>
        <v>2411.1</v>
      </c>
      <c r="BE316" s="154" t="str">
        <f t="shared" ref="BE316:BF316" si="1913">TEXTJOIN(", ",TRUE,BE314:BE315)</f>
        <v/>
      </c>
      <c r="BF316" s="154" t="str">
        <f t="shared" si="1913"/>
        <v/>
      </c>
    </row>
    <row r="317" ht="15.75" customHeight="1">
      <c r="A317" s="67">
        <f t="shared" si="1877"/>
        <v>46265</v>
      </c>
      <c r="B317" s="114" t="s">
        <v>20</v>
      </c>
      <c r="C317" s="115">
        <f t="shared" si="1878"/>
        <v>5</v>
      </c>
      <c r="D317" s="115">
        <v>3.0</v>
      </c>
      <c r="E317" s="116">
        <v>0.0</v>
      </c>
      <c r="F317" s="116">
        <v>2.0</v>
      </c>
      <c r="G317" s="116">
        <v>2.0</v>
      </c>
      <c r="H317" s="115">
        <v>0.0</v>
      </c>
      <c r="I317" s="116">
        <v>0.0</v>
      </c>
      <c r="J317" s="115">
        <v>1.0</v>
      </c>
      <c r="K317" s="116">
        <v>1.0</v>
      </c>
      <c r="L317" s="116">
        <v>0.0</v>
      </c>
      <c r="M317" s="115">
        <f t="shared" si="1880"/>
        <v>38</v>
      </c>
      <c r="N317" s="115">
        <v>0.0</v>
      </c>
      <c r="O317" s="116">
        <v>0.0</v>
      </c>
      <c r="P317" s="116">
        <v>0.0</v>
      </c>
      <c r="Q317" s="116">
        <v>9.0</v>
      </c>
      <c r="R317" s="116">
        <v>0.0</v>
      </c>
      <c r="S317" s="116">
        <v>0.0</v>
      </c>
      <c r="T317" s="116">
        <v>29.0</v>
      </c>
      <c r="U317" s="115">
        <v>7.0</v>
      </c>
      <c r="V317" s="115">
        <f t="shared" ref="V317:V336" si="1917">W317+X317+Y317</f>
        <v>0</v>
      </c>
      <c r="W317" s="116">
        <v>0.0</v>
      </c>
      <c r="X317" s="116">
        <v>0.0</v>
      </c>
      <c r="Y317" s="116">
        <v>0.0</v>
      </c>
      <c r="Z317" s="116">
        <f t="shared" si="1902"/>
        <v>0</v>
      </c>
      <c r="AA317" s="116">
        <v>0.0</v>
      </c>
      <c r="AB317" s="116">
        <v>0.0</v>
      </c>
      <c r="AC317" s="117">
        <v>0.0</v>
      </c>
      <c r="AD317" s="118">
        <v>1.0</v>
      </c>
      <c r="AE317" s="118">
        <v>0.0</v>
      </c>
      <c r="AF317" s="118">
        <v>0.0</v>
      </c>
      <c r="AG317" s="119">
        <f t="shared" si="1887"/>
        <v>1</v>
      </c>
      <c r="AH317" s="117">
        <v>6.0</v>
      </c>
      <c r="AI317" s="118">
        <v>5.0</v>
      </c>
      <c r="AJ317" s="118">
        <v>0.0</v>
      </c>
      <c r="AK317" s="119">
        <f t="shared" si="1889"/>
        <v>11</v>
      </c>
      <c r="AL317" s="117"/>
      <c r="AM317" s="118"/>
      <c r="AN317" s="118"/>
      <c r="AO317" s="118"/>
      <c r="AP317" s="111"/>
      <c r="AQ317" s="117"/>
      <c r="AR317" s="118"/>
      <c r="AS317" s="118"/>
      <c r="AT317" s="120"/>
      <c r="AU317" s="117"/>
      <c r="AV317" s="118"/>
      <c r="AW317" s="118"/>
      <c r="AX317" s="121"/>
      <c r="AY317" s="122">
        <f t="shared" ref="AY317:AZ317" si="1914">RANDBETWEEN(1,10)</f>
        <v>10</v>
      </c>
      <c r="AZ317" s="122">
        <f t="shared" si="1914"/>
        <v>4</v>
      </c>
      <c r="BA317" s="118">
        <v>2.0</v>
      </c>
      <c r="BB317" s="118">
        <v>0.0</v>
      </c>
      <c r="BC317" s="123">
        <v>1.0</v>
      </c>
      <c r="BD317" s="123">
        <v>2.0</v>
      </c>
      <c r="BE317" s="118" t="s">
        <v>157</v>
      </c>
      <c r="BF317" s="118"/>
    </row>
    <row r="318" ht="15.75" customHeight="1">
      <c r="A318" s="67">
        <f t="shared" si="1877"/>
        <v>46265</v>
      </c>
      <c r="B318" s="124" t="s">
        <v>21</v>
      </c>
      <c r="C318" s="155">
        <f t="shared" si="1878"/>
        <v>2</v>
      </c>
      <c r="D318" s="125">
        <f t="shared" ref="D318:L318" si="1915">RANDBETWEEN(0,2)</f>
        <v>1</v>
      </c>
      <c r="E318" s="125">
        <f t="shared" si="1915"/>
        <v>2</v>
      </c>
      <c r="F318" s="125">
        <f t="shared" si="1915"/>
        <v>1</v>
      </c>
      <c r="G318" s="125">
        <f t="shared" si="1915"/>
        <v>2</v>
      </c>
      <c r="H318" s="126">
        <f t="shared" si="1915"/>
        <v>1</v>
      </c>
      <c r="I318" s="127">
        <f t="shared" si="1915"/>
        <v>1</v>
      </c>
      <c r="J318" s="128">
        <f t="shared" si="1915"/>
        <v>2</v>
      </c>
      <c r="K318" s="130">
        <f t="shared" si="1915"/>
        <v>0</v>
      </c>
      <c r="L318" s="130">
        <f t="shared" si="1915"/>
        <v>1</v>
      </c>
      <c r="M318" s="102">
        <f t="shared" si="1880"/>
        <v>44</v>
      </c>
      <c r="N318" s="125">
        <f t="shared" ref="N318:T318" si="1916">RANDBETWEEN(0,10)</f>
        <v>10</v>
      </c>
      <c r="O318" s="125">
        <f t="shared" si="1916"/>
        <v>1</v>
      </c>
      <c r="P318" s="125">
        <f t="shared" si="1916"/>
        <v>1</v>
      </c>
      <c r="Q318" s="125">
        <f t="shared" si="1916"/>
        <v>9</v>
      </c>
      <c r="R318" s="125">
        <f t="shared" si="1916"/>
        <v>10</v>
      </c>
      <c r="S318" s="125">
        <f t="shared" si="1916"/>
        <v>7</v>
      </c>
      <c r="T318" s="125">
        <f t="shared" si="1916"/>
        <v>6</v>
      </c>
      <c r="U318" s="103">
        <f t="shared" ref="U318:U322" si="1924">RANDBETWEEN(10,30)</f>
        <v>26</v>
      </c>
      <c r="V318" s="104">
        <f t="shared" si="1917"/>
        <v>3</v>
      </c>
      <c r="W318" s="125">
        <f t="shared" ref="W318:Y318" si="1918">RANDBETWEEN(0,2)</f>
        <v>1</v>
      </c>
      <c r="X318" s="125">
        <f t="shared" si="1918"/>
        <v>1</v>
      </c>
      <c r="Y318" s="125">
        <f t="shared" si="1918"/>
        <v>1</v>
      </c>
      <c r="Z318" s="105">
        <f t="shared" ref="Z318:Z335" si="1926">AA318+AB318</f>
        <v>4</v>
      </c>
      <c r="AA318" s="133">
        <f t="shared" ref="AA318:AF318" si="1919">RANDBETWEEN(0,2)</f>
        <v>2</v>
      </c>
      <c r="AB318" s="133">
        <f t="shared" si="1919"/>
        <v>2</v>
      </c>
      <c r="AC318" s="136">
        <f t="shared" si="1919"/>
        <v>0</v>
      </c>
      <c r="AD318" s="134">
        <f t="shared" si="1919"/>
        <v>2</v>
      </c>
      <c r="AE318" s="134">
        <f t="shared" si="1919"/>
        <v>2</v>
      </c>
      <c r="AF318" s="134">
        <f t="shared" si="1919"/>
        <v>2</v>
      </c>
      <c r="AG318" s="156">
        <f t="shared" si="1887"/>
        <v>6</v>
      </c>
      <c r="AH318" s="136">
        <f t="shared" ref="AH318:AJ318" si="1920">RANDBETWEEN(1,10)</f>
        <v>5</v>
      </c>
      <c r="AI318" s="134">
        <f t="shared" si="1920"/>
        <v>9</v>
      </c>
      <c r="AJ318" s="134">
        <f t="shared" si="1920"/>
        <v>6</v>
      </c>
      <c r="AK318" s="137">
        <f t="shared" si="1889"/>
        <v>20</v>
      </c>
      <c r="AL318" s="136"/>
      <c r="AM318" s="134"/>
      <c r="AN318" s="134"/>
      <c r="AO318" s="134"/>
      <c r="AP318" s="111"/>
      <c r="AQ318" s="136"/>
      <c r="AR318" s="134"/>
      <c r="AS318" s="134"/>
      <c r="AT318" s="120"/>
      <c r="AU318" s="136"/>
      <c r="AV318" s="134"/>
      <c r="AW318" s="134"/>
      <c r="AX318" s="121"/>
      <c r="AY318" s="92">
        <f t="shared" ref="AY318:AZ318" si="1921">RANDBETWEEN(1,10)/10</f>
        <v>0.4</v>
      </c>
      <c r="AZ318" s="92">
        <f t="shared" si="1921"/>
        <v>0.7</v>
      </c>
      <c r="BA318" s="93">
        <v>1.0</v>
      </c>
      <c r="BB318" s="93">
        <v>0.0</v>
      </c>
      <c r="BC318" s="94">
        <f>SUM(BC290,'ГОЧ'!$AY318)</f>
        <v>1207.2</v>
      </c>
      <c r="BD318" s="94">
        <f>SUM(BD290,'ГОЧ'!$AZ318)</f>
        <v>1206</v>
      </c>
      <c r="BE318" s="108" t="s">
        <v>162</v>
      </c>
      <c r="BF318" s="108"/>
    </row>
    <row r="319" ht="15.75" customHeight="1">
      <c r="A319" s="67">
        <f t="shared" si="1877"/>
        <v>46265</v>
      </c>
      <c r="B319" s="138" t="s">
        <v>23</v>
      </c>
      <c r="C319" s="157">
        <f t="shared" si="1878"/>
        <v>3</v>
      </c>
      <c r="D319" s="97">
        <f t="shared" ref="D319:L319" si="1922">RANDBETWEEN(0,2)</f>
        <v>1</v>
      </c>
      <c r="E319" s="97">
        <f t="shared" si="1922"/>
        <v>1</v>
      </c>
      <c r="F319" s="97">
        <f t="shared" si="1922"/>
        <v>2</v>
      </c>
      <c r="G319" s="97">
        <f t="shared" si="1922"/>
        <v>1</v>
      </c>
      <c r="H319" s="98">
        <f t="shared" si="1922"/>
        <v>0</v>
      </c>
      <c r="I319" s="99">
        <f t="shared" si="1922"/>
        <v>1</v>
      </c>
      <c r="J319" s="100">
        <f t="shared" si="1922"/>
        <v>1</v>
      </c>
      <c r="K319" s="101">
        <f t="shared" si="1922"/>
        <v>2</v>
      </c>
      <c r="L319" s="101">
        <f t="shared" si="1922"/>
        <v>1</v>
      </c>
      <c r="M319" s="140">
        <f t="shared" si="1880"/>
        <v>31</v>
      </c>
      <c r="N319" s="97">
        <f t="shared" ref="N319:T319" si="1923">RANDBETWEEN(0,10)</f>
        <v>7</v>
      </c>
      <c r="O319" s="97">
        <f t="shared" si="1923"/>
        <v>7</v>
      </c>
      <c r="P319" s="97">
        <f t="shared" si="1923"/>
        <v>2</v>
      </c>
      <c r="Q319" s="97">
        <f t="shared" si="1923"/>
        <v>3</v>
      </c>
      <c r="R319" s="97">
        <f t="shared" si="1923"/>
        <v>4</v>
      </c>
      <c r="S319" s="97">
        <f t="shared" si="1923"/>
        <v>0</v>
      </c>
      <c r="T319" s="97">
        <f t="shared" si="1923"/>
        <v>8</v>
      </c>
      <c r="U319" s="103">
        <f t="shared" si="1924"/>
        <v>26</v>
      </c>
      <c r="V319" s="158">
        <f t="shared" si="1917"/>
        <v>3</v>
      </c>
      <c r="W319" s="97">
        <f t="shared" ref="W319:Y319" si="1925">RANDBETWEEN(0,2)</f>
        <v>2</v>
      </c>
      <c r="X319" s="97">
        <f t="shared" si="1925"/>
        <v>0</v>
      </c>
      <c r="Y319" s="97">
        <f t="shared" si="1925"/>
        <v>1</v>
      </c>
      <c r="Z319" s="159">
        <f t="shared" si="1926"/>
        <v>4</v>
      </c>
      <c r="AA319" s="143">
        <f t="shared" ref="AA319:AF319" si="1927">RANDBETWEEN(0,2)</f>
        <v>2</v>
      </c>
      <c r="AB319" s="143">
        <f t="shared" si="1927"/>
        <v>2</v>
      </c>
      <c r="AC319" s="144">
        <f t="shared" si="1927"/>
        <v>2</v>
      </c>
      <c r="AD319" s="145">
        <f t="shared" si="1927"/>
        <v>2</v>
      </c>
      <c r="AE319" s="145">
        <f t="shared" si="1927"/>
        <v>1</v>
      </c>
      <c r="AF319" s="145">
        <f t="shared" si="1927"/>
        <v>2</v>
      </c>
      <c r="AG319" s="160">
        <f t="shared" si="1887"/>
        <v>7</v>
      </c>
      <c r="AH319" s="144">
        <f t="shared" ref="AH319:AJ319" si="1928">RANDBETWEEN(1,10)</f>
        <v>6</v>
      </c>
      <c r="AI319" s="145">
        <f t="shared" si="1928"/>
        <v>8</v>
      </c>
      <c r="AJ319" s="145">
        <f t="shared" si="1928"/>
        <v>2</v>
      </c>
      <c r="AK319" s="147">
        <f t="shared" si="1889"/>
        <v>16</v>
      </c>
      <c r="AL319" s="144"/>
      <c r="AM319" s="145"/>
      <c r="AN319" s="145"/>
      <c r="AO319" s="145"/>
      <c r="AP319" s="148"/>
      <c r="AQ319" s="144"/>
      <c r="AR319" s="145"/>
      <c r="AS319" s="145"/>
      <c r="AT319" s="149"/>
      <c r="AU319" s="144"/>
      <c r="AV319" s="145"/>
      <c r="AW319" s="145"/>
      <c r="AX319" s="150"/>
      <c r="AY319" s="92">
        <f t="shared" ref="AY319:AZ319" si="1929">RANDBETWEEN(1,10)/10</f>
        <v>0.9</v>
      </c>
      <c r="AZ319" s="92">
        <f t="shared" si="1929"/>
        <v>0.2</v>
      </c>
      <c r="BA319" s="93">
        <v>1.0</v>
      </c>
      <c r="BB319" s="93">
        <v>2.0</v>
      </c>
      <c r="BC319" s="94">
        <f>SUM(BC291,'ГОЧ'!$AY319)</f>
        <v>1207.9</v>
      </c>
      <c r="BD319" s="94">
        <f>SUM(BD291,'ГОЧ'!$AZ319)</f>
        <v>1206.5</v>
      </c>
      <c r="BE319" s="108" t="s">
        <v>165</v>
      </c>
      <c r="BF319" s="108" t="s">
        <v>166</v>
      </c>
    </row>
    <row r="320" ht="15.75" customHeight="1">
      <c r="A320" s="67">
        <f t="shared" si="1877"/>
        <v>46265</v>
      </c>
      <c r="B320" s="138" t="s">
        <v>25</v>
      </c>
      <c r="C320" s="157">
        <f t="shared" si="1878"/>
        <v>1</v>
      </c>
      <c r="D320" s="97">
        <f t="shared" ref="D320:L320" si="1930">RANDBETWEEN(0,2)</f>
        <v>1</v>
      </c>
      <c r="E320" s="97">
        <f t="shared" si="1930"/>
        <v>2</v>
      </c>
      <c r="F320" s="97">
        <f t="shared" si="1930"/>
        <v>0</v>
      </c>
      <c r="G320" s="97">
        <f t="shared" si="1930"/>
        <v>0</v>
      </c>
      <c r="H320" s="98">
        <f t="shared" si="1930"/>
        <v>0</v>
      </c>
      <c r="I320" s="99">
        <f t="shared" si="1930"/>
        <v>2</v>
      </c>
      <c r="J320" s="100">
        <f t="shared" si="1930"/>
        <v>2</v>
      </c>
      <c r="K320" s="101">
        <f t="shared" si="1930"/>
        <v>2</v>
      </c>
      <c r="L320" s="101">
        <f t="shared" si="1930"/>
        <v>2</v>
      </c>
      <c r="M320" s="140">
        <f t="shared" si="1880"/>
        <v>32</v>
      </c>
      <c r="N320" s="97">
        <f t="shared" ref="N320:T320" si="1931">RANDBETWEEN(0,10)</f>
        <v>1</v>
      </c>
      <c r="O320" s="97">
        <f t="shared" si="1931"/>
        <v>8</v>
      </c>
      <c r="P320" s="97">
        <f t="shared" si="1931"/>
        <v>8</v>
      </c>
      <c r="Q320" s="97">
        <f t="shared" si="1931"/>
        <v>4</v>
      </c>
      <c r="R320" s="97">
        <f t="shared" si="1931"/>
        <v>2</v>
      </c>
      <c r="S320" s="97">
        <f t="shared" si="1931"/>
        <v>7</v>
      </c>
      <c r="T320" s="97">
        <f t="shared" si="1931"/>
        <v>2</v>
      </c>
      <c r="U320" s="103">
        <f t="shared" si="1924"/>
        <v>16</v>
      </c>
      <c r="V320" s="158">
        <f t="shared" si="1917"/>
        <v>4</v>
      </c>
      <c r="W320" s="97">
        <f t="shared" ref="W320:Y320" si="1932">RANDBETWEEN(0,2)</f>
        <v>2</v>
      </c>
      <c r="X320" s="97">
        <f t="shared" si="1932"/>
        <v>1</v>
      </c>
      <c r="Y320" s="97">
        <f t="shared" si="1932"/>
        <v>1</v>
      </c>
      <c r="Z320" s="159">
        <f t="shared" si="1926"/>
        <v>1</v>
      </c>
      <c r="AA320" s="106">
        <f t="shared" ref="AA320:AF320" si="1933">RANDBETWEEN(0,2)</f>
        <v>1</v>
      </c>
      <c r="AB320" s="106">
        <f t="shared" si="1933"/>
        <v>0</v>
      </c>
      <c r="AC320" s="107">
        <f t="shared" si="1933"/>
        <v>2</v>
      </c>
      <c r="AD320" s="108">
        <f t="shared" si="1933"/>
        <v>2</v>
      </c>
      <c r="AE320" s="108">
        <f t="shared" si="1933"/>
        <v>1</v>
      </c>
      <c r="AF320" s="108">
        <f t="shared" si="1933"/>
        <v>2</v>
      </c>
      <c r="AG320" s="160">
        <f t="shared" si="1887"/>
        <v>7</v>
      </c>
      <c r="AH320" s="107">
        <f t="shared" ref="AH320:AJ320" si="1934">RANDBETWEEN(1,10)</f>
        <v>3</v>
      </c>
      <c r="AI320" s="108">
        <f t="shared" si="1934"/>
        <v>1</v>
      </c>
      <c r="AJ320" s="108">
        <f t="shared" si="1934"/>
        <v>6</v>
      </c>
      <c r="AK320" s="147">
        <f t="shared" si="1889"/>
        <v>10</v>
      </c>
      <c r="AL320" s="107"/>
      <c r="AM320" s="108"/>
      <c r="AN320" s="108"/>
      <c r="AO320" s="108"/>
      <c r="AP320" s="148"/>
      <c r="AQ320" s="107"/>
      <c r="AR320" s="108"/>
      <c r="AS320" s="108"/>
      <c r="AT320" s="149"/>
      <c r="AU320" s="107"/>
      <c r="AV320" s="108"/>
      <c r="AW320" s="108"/>
      <c r="AX320" s="150"/>
      <c r="AY320" s="92">
        <f t="shared" ref="AY320:AZ320" si="1935">RANDBETWEEN(1,10)/10</f>
        <v>0.8</v>
      </c>
      <c r="AZ320" s="92">
        <f t="shared" si="1935"/>
        <v>0.4</v>
      </c>
      <c r="BA320" s="93">
        <v>0.0</v>
      </c>
      <c r="BB320" s="93">
        <v>0.0</v>
      </c>
      <c r="BC320" s="94">
        <f>SUM(BC292,'ГОЧ'!$AY320)</f>
        <v>1206.6</v>
      </c>
      <c r="BD320" s="94">
        <f>SUM(BD292,'ГОЧ'!$AZ320)</f>
        <v>1205.1</v>
      </c>
      <c r="BE320" s="108"/>
      <c r="BF320" s="108"/>
    </row>
    <row r="321" ht="15.75" customHeight="1">
      <c r="A321" s="67">
        <f t="shared" si="1877"/>
        <v>46265</v>
      </c>
      <c r="B321" s="138" t="s">
        <v>26</v>
      </c>
      <c r="C321" s="157">
        <f t="shared" si="1878"/>
        <v>1</v>
      </c>
      <c r="D321" s="97">
        <f t="shared" ref="D321:L321" si="1936">RANDBETWEEN(0,2)</f>
        <v>1</v>
      </c>
      <c r="E321" s="97">
        <f t="shared" si="1936"/>
        <v>1</v>
      </c>
      <c r="F321" s="97">
        <f t="shared" si="1936"/>
        <v>0</v>
      </c>
      <c r="G321" s="97">
        <f t="shared" si="1936"/>
        <v>0</v>
      </c>
      <c r="H321" s="98">
        <f t="shared" si="1936"/>
        <v>1</v>
      </c>
      <c r="I321" s="99">
        <f t="shared" si="1936"/>
        <v>2</v>
      </c>
      <c r="J321" s="100">
        <f t="shared" si="1936"/>
        <v>0</v>
      </c>
      <c r="K321" s="101">
        <f t="shared" si="1936"/>
        <v>2</v>
      </c>
      <c r="L321" s="101">
        <f t="shared" si="1936"/>
        <v>1</v>
      </c>
      <c r="M321" s="140">
        <f t="shared" si="1880"/>
        <v>31</v>
      </c>
      <c r="N321" s="97">
        <f t="shared" ref="N321:T321" si="1937">RANDBETWEEN(0,10)</f>
        <v>2</v>
      </c>
      <c r="O321" s="97">
        <f t="shared" si="1937"/>
        <v>5</v>
      </c>
      <c r="P321" s="97">
        <f t="shared" si="1937"/>
        <v>7</v>
      </c>
      <c r="Q321" s="97">
        <f t="shared" si="1937"/>
        <v>8</v>
      </c>
      <c r="R321" s="97">
        <f t="shared" si="1937"/>
        <v>2</v>
      </c>
      <c r="S321" s="97">
        <f t="shared" si="1937"/>
        <v>0</v>
      </c>
      <c r="T321" s="97">
        <f t="shared" si="1937"/>
        <v>7</v>
      </c>
      <c r="U321" s="103">
        <f t="shared" si="1924"/>
        <v>29</v>
      </c>
      <c r="V321" s="158">
        <f t="shared" si="1917"/>
        <v>3</v>
      </c>
      <c r="W321" s="97">
        <f t="shared" ref="W321:Y321" si="1938">RANDBETWEEN(0,2)</f>
        <v>2</v>
      </c>
      <c r="X321" s="97">
        <f t="shared" si="1938"/>
        <v>0</v>
      </c>
      <c r="Y321" s="97">
        <f t="shared" si="1938"/>
        <v>1</v>
      </c>
      <c r="Z321" s="159">
        <f t="shared" si="1926"/>
        <v>2</v>
      </c>
      <c r="AA321" s="143">
        <f t="shared" ref="AA321:AF321" si="1939">RANDBETWEEN(0,2)</f>
        <v>2</v>
      </c>
      <c r="AB321" s="143">
        <f t="shared" si="1939"/>
        <v>0</v>
      </c>
      <c r="AC321" s="144">
        <f t="shared" si="1939"/>
        <v>2</v>
      </c>
      <c r="AD321" s="145">
        <f t="shared" si="1939"/>
        <v>2</v>
      </c>
      <c r="AE321" s="145">
        <f t="shared" si="1939"/>
        <v>1</v>
      </c>
      <c r="AF321" s="145">
        <f t="shared" si="1939"/>
        <v>0</v>
      </c>
      <c r="AG321" s="160">
        <f t="shared" si="1887"/>
        <v>5</v>
      </c>
      <c r="AH321" s="144">
        <f t="shared" ref="AH321:AJ321" si="1940">RANDBETWEEN(1,10)</f>
        <v>10</v>
      </c>
      <c r="AI321" s="145">
        <f t="shared" si="1940"/>
        <v>9</v>
      </c>
      <c r="AJ321" s="145">
        <f t="shared" si="1940"/>
        <v>2</v>
      </c>
      <c r="AK321" s="147">
        <f t="shared" si="1889"/>
        <v>21</v>
      </c>
      <c r="AL321" s="144"/>
      <c r="AM321" s="145"/>
      <c r="AN321" s="145"/>
      <c r="AO321" s="145"/>
      <c r="AP321" s="148"/>
      <c r="AQ321" s="144"/>
      <c r="AR321" s="145"/>
      <c r="AS321" s="145"/>
      <c r="AT321" s="149"/>
      <c r="AU321" s="144"/>
      <c r="AV321" s="145"/>
      <c r="AW321" s="145"/>
      <c r="AX321" s="150"/>
      <c r="AY321" s="92">
        <f t="shared" ref="AY321:AZ321" si="1941">RANDBETWEEN(1,10)/10</f>
        <v>0.4</v>
      </c>
      <c r="AZ321" s="92">
        <f t="shared" si="1941"/>
        <v>0.6</v>
      </c>
      <c r="BA321" s="93">
        <v>1.0</v>
      </c>
      <c r="BB321" s="93">
        <v>0.0</v>
      </c>
      <c r="BC321" s="94">
        <f>SUM(BC293,'ГОЧ'!$AY321)</f>
        <v>1205.3</v>
      </c>
      <c r="BD321" s="94">
        <f>SUM(BD293,'ГОЧ'!$AZ321)</f>
        <v>1206.2</v>
      </c>
      <c r="BE321" s="108" t="s">
        <v>167</v>
      </c>
      <c r="BF321" s="108"/>
    </row>
    <row r="322" ht="15.75" customHeight="1">
      <c r="A322" s="67">
        <f t="shared" si="1877"/>
        <v>46265</v>
      </c>
      <c r="B322" s="138" t="s">
        <v>28</v>
      </c>
      <c r="C322" s="157">
        <f t="shared" si="1878"/>
        <v>1</v>
      </c>
      <c r="D322" s="97">
        <f t="shared" ref="D322:L322" si="1942">RANDBETWEEN(0,2)</f>
        <v>1</v>
      </c>
      <c r="E322" s="97">
        <f t="shared" si="1942"/>
        <v>1</v>
      </c>
      <c r="F322" s="97">
        <f t="shared" si="1942"/>
        <v>0</v>
      </c>
      <c r="G322" s="97">
        <f t="shared" si="1942"/>
        <v>1</v>
      </c>
      <c r="H322" s="98">
        <f t="shared" si="1942"/>
        <v>2</v>
      </c>
      <c r="I322" s="99">
        <f t="shared" si="1942"/>
        <v>0</v>
      </c>
      <c r="J322" s="100">
        <f t="shared" si="1942"/>
        <v>2</v>
      </c>
      <c r="K322" s="101">
        <f t="shared" si="1942"/>
        <v>2</v>
      </c>
      <c r="L322" s="101">
        <f t="shared" si="1942"/>
        <v>0</v>
      </c>
      <c r="M322" s="140">
        <f t="shared" si="1880"/>
        <v>29</v>
      </c>
      <c r="N322" s="97">
        <f t="shared" ref="N322:T322" si="1943">RANDBETWEEN(0,10)</f>
        <v>1</v>
      </c>
      <c r="O322" s="97">
        <f t="shared" si="1943"/>
        <v>6</v>
      </c>
      <c r="P322" s="97">
        <f t="shared" si="1943"/>
        <v>4</v>
      </c>
      <c r="Q322" s="97">
        <f t="shared" si="1943"/>
        <v>6</v>
      </c>
      <c r="R322" s="97">
        <f t="shared" si="1943"/>
        <v>3</v>
      </c>
      <c r="S322" s="97">
        <f t="shared" si="1943"/>
        <v>4</v>
      </c>
      <c r="T322" s="97">
        <f t="shared" si="1943"/>
        <v>5</v>
      </c>
      <c r="U322" s="103">
        <f t="shared" si="1924"/>
        <v>11</v>
      </c>
      <c r="V322" s="158">
        <f t="shared" si="1917"/>
        <v>5</v>
      </c>
      <c r="W322" s="97">
        <f t="shared" ref="W322:Y322" si="1944">RANDBETWEEN(0,2)</f>
        <v>1</v>
      </c>
      <c r="X322" s="97">
        <f t="shared" si="1944"/>
        <v>2</v>
      </c>
      <c r="Y322" s="97">
        <f t="shared" si="1944"/>
        <v>2</v>
      </c>
      <c r="Z322" s="159">
        <f t="shared" si="1926"/>
        <v>2</v>
      </c>
      <c r="AA322" s="106">
        <f t="shared" ref="AA322:AF322" si="1945">RANDBETWEEN(0,2)</f>
        <v>2</v>
      </c>
      <c r="AB322" s="106">
        <f t="shared" si="1945"/>
        <v>0</v>
      </c>
      <c r="AC322" s="107">
        <f t="shared" si="1945"/>
        <v>0</v>
      </c>
      <c r="AD322" s="108">
        <f t="shared" si="1945"/>
        <v>2</v>
      </c>
      <c r="AE322" s="108">
        <f t="shared" si="1945"/>
        <v>0</v>
      </c>
      <c r="AF322" s="108">
        <f t="shared" si="1945"/>
        <v>0</v>
      </c>
      <c r="AG322" s="160">
        <f t="shared" si="1887"/>
        <v>2</v>
      </c>
      <c r="AH322" s="107">
        <f t="shared" ref="AH322:AJ322" si="1946">RANDBETWEEN(1,10)</f>
        <v>1</v>
      </c>
      <c r="AI322" s="108">
        <f t="shared" si="1946"/>
        <v>9</v>
      </c>
      <c r="AJ322" s="108">
        <f t="shared" si="1946"/>
        <v>1</v>
      </c>
      <c r="AK322" s="147">
        <f t="shared" si="1889"/>
        <v>11</v>
      </c>
      <c r="AL322" s="107"/>
      <c r="AM322" s="108"/>
      <c r="AN322" s="108"/>
      <c r="AO322" s="108"/>
      <c r="AP322" s="148"/>
      <c r="AQ322" s="107"/>
      <c r="AR322" s="108"/>
      <c r="AS322" s="108"/>
      <c r="AT322" s="149"/>
      <c r="AU322" s="107"/>
      <c r="AV322" s="108"/>
      <c r="AW322" s="108"/>
      <c r="AX322" s="150"/>
      <c r="AY322" s="92">
        <f t="shared" ref="AY322:AZ322" si="1947">RANDBETWEEN(1,10)/10</f>
        <v>1</v>
      </c>
      <c r="AZ322" s="92">
        <f t="shared" si="1947"/>
        <v>0.3</v>
      </c>
      <c r="BA322" s="93">
        <v>0.0</v>
      </c>
      <c r="BB322" s="93">
        <v>1.0</v>
      </c>
      <c r="BC322" s="94">
        <f>SUM(BC294,'ГОЧ'!$AY322)</f>
        <v>1206.9</v>
      </c>
      <c r="BD322" s="94">
        <f>SUM(BD294,'ГОЧ'!$AZ322)</f>
        <v>1206.6</v>
      </c>
      <c r="BE322" s="108"/>
      <c r="BF322" s="108" t="s">
        <v>168</v>
      </c>
    </row>
    <row r="323" ht="15.75" customHeight="1">
      <c r="A323" s="67">
        <f t="shared" si="1877"/>
        <v>46265</v>
      </c>
      <c r="B323" s="114" t="s">
        <v>29</v>
      </c>
      <c r="C323" s="164">
        <f t="shared" si="1878"/>
        <v>8</v>
      </c>
      <c r="D323" s="165">
        <f t="shared" ref="D323:L323" si="1948">D318+D319+D320+D321+D322</f>
        <v>5</v>
      </c>
      <c r="E323" s="165">
        <f t="shared" si="1948"/>
        <v>7</v>
      </c>
      <c r="F323" s="165">
        <f t="shared" si="1948"/>
        <v>3</v>
      </c>
      <c r="G323" s="165">
        <f t="shared" si="1948"/>
        <v>4</v>
      </c>
      <c r="H323" s="164">
        <f t="shared" si="1948"/>
        <v>4</v>
      </c>
      <c r="I323" s="165">
        <f t="shared" si="1948"/>
        <v>6</v>
      </c>
      <c r="J323" s="164">
        <f t="shared" si="1948"/>
        <v>7</v>
      </c>
      <c r="K323" s="165">
        <f t="shared" si="1948"/>
        <v>8</v>
      </c>
      <c r="L323" s="165">
        <f t="shared" si="1948"/>
        <v>5</v>
      </c>
      <c r="M323" s="164">
        <f t="shared" si="1880"/>
        <v>167</v>
      </c>
      <c r="N323" s="164">
        <f t="shared" ref="N323:U323" si="1949">N318+N319+N320+N321+N322</f>
        <v>21</v>
      </c>
      <c r="O323" s="165">
        <f t="shared" si="1949"/>
        <v>27</v>
      </c>
      <c r="P323" s="165">
        <f t="shared" si="1949"/>
        <v>22</v>
      </c>
      <c r="Q323" s="165">
        <f t="shared" si="1949"/>
        <v>30</v>
      </c>
      <c r="R323" s="165">
        <f t="shared" si="1949"/>
        <v>21</v>
      </c>
      <c r="S323" s="165">
        <f t="shared" si="1949"/>
        <v>18</v>
      </c>
      <c r="T323" s="165">
        <f t="shared" si="1949"/>
        <v>28</v>
      </c>
      <c r="U323" s="164">
        <f t="shared" si="1949"/>
        <v>108</v>
      </c>
      <c r="V323" s="164">
        <f t="shared" si="1917"/>
        <v>18</v>
      </c>
      <c r="W323" s="165">
        <f t="shared" ref="W323:Y323" si="1950">W318+W319+W320+W321+W322</f>
        <v>8</v>
      </c>
      <c r="X323" s="165">
        <f t="shared" si="1950"/>
        <v>4</v>
      </c>
      <c r="Y323" s="165">
        <f t="shared" si="1950"/>
        <v>6</v>
      </c>
      <c r="Z323" s="165">
        <f t="shared" si="1926"/>
        <v>13</v>
      </c>
      <c r="AA323" s="165">
        <f t="shared" ref="AA323:AC323" si="1951">AA318+AA319+AA320+AA321+AA322</f>
        <v>9</v>
      </c>
      <c r="AB323" s="165">
        <f t="shared" si="1951"/>
        <v>4</v>
      </c>
      <c r="AC323" s="166">
        <f t="shared" si="1951"/>
        <v>6</v>
      </c>
      <c r="AD323" s="167">
        <f>AE318+AD319+AD320+AD321+AD322</f>
        <v>10</v>
      </c>
      <c r="AE323" s="167">
        <f t="shared" ref="AE323:AF323" si="1952">AE318+AE319+AE320+AE321+AE322</f>
        <v>5</v>
      </c>
      <c r="AF323" s="167">
        <f t="shared" si="1952"/>
        <v>6</v>
      </c>
      <c r="AG323" s="168">
        <f t="shared" si="1887"/>
        <v>27</v>
      </c>
      <c r="AH323" s="166">
        <f t="shared" ref="AH323:AJ323" si="1953">AH318+AH319+AH320+AH321+AH322</f>
        <v>25</v>
      </c>
      <c r="AI323" s="166">
        <f t="shared" si="1953"/>
        <v>36</v>
      </c>
      <c r="AJ323" s="166">
        <f t="shared" si="1953"/>
        <v>17</v>
      </c>
      <c r="AK323" s="168">
        <f t="shared" si="1889"/>
        <v>78</v>
      </c>
      <c r="AL323" s="166"/>
      <c r="AM323" s="167"/>
      <c r="AN323" s="167"/>
      <c r="AO323" s="167"/>
      <c r="AP323" s="169"/>
      <c r="AQ323" s="166"/>
      <c r="AR323" s="166"/>
      <c r="AS323" s="166"/>
      <c r="AT323" s="170"/>
      <c r="AU323" s="166"/>
      <c r="AV323" s="166"/>
      <c r="AW323" s="166"/>
      <c r="AX323" s="171"/>
      <c r="AY323" s="172">
        <f t="shared" ref="AY323:BD323" si="1954">AY318+AY319+AY320+AY321+AY322</f>
        <v>3.5</v>
      </c>
      <c r="AZ323" s="172">
        <f t="shared" si="1954"/>
        <v>2.2</v>
      </c>
      <c r="BA323" s="166">
        <f t="shared" si="1954"/>
        <v>3</v>
      </c>
      <c r="BB323" s="166">
        <f t="shared" si="1954"/>
        <v>3</v>
      </c>
      <c r="BC323" s="173">
        <f t="shared" si="1954"/>
        <v>6033.9</v>
      </c>
      <c r="BD323" s="173">
        <f t="shared" si="1954"/>
        <v>6030.4</v>
      </c>
      <c r="BE323" s="154" t="str">
        <f t="shared" ref="BE323:BF323" si="1955">TEXTJOIN(", ",TRUE,BE318:BE322)</f>
        <v>Олександівка, Пантелеймонівка, Миколаївка</v>
      </c>
      <c r="BF323" s="154" t="str">
        <f t="shared" si="1955"/>
        <v>Загреблі, Верхні води, Ступочки</v>
      </c>
    </row>
    <row r="324" ht="15.75" customHeight="1">
      <c r="A324" s="67">
        <f t="shared" si="1877"/>
        <v>46265</v>
      </c>
      <c r="B324" s="124" t="s">
        <v>31</v>
      </c>
      <c r="C324" s="174">
        <f t="shared" si="1878"/>
        <v>4</v>
      </c>
      <c r="D324" s="175">
        <f t="shared" ref="D324:L324" si="1956">RANDBETWEEN(0,2)</f>
        <v>2</v>
      </c>
      <c r="E324" s="175">
        <f t="shared" si="1956"/>
        <v>2</v>
      </c>
      <c r="F324" s="175">
        <f t="shared" si="1956"/>
        <v>2</v>
      </c>
      <c r="G324" s="175">
        <f t="shared" si="1956"/>
        <v>0</v>
      </c>
      <c r="H324" s="176">
        <f t="shared" si="1956"/>
        <v>0</v>
      </c>
      <c r="I324" s="177">
        <f t="shared" si="1956"/>
        <v>1</v>
      </c>
      <c r="J324" s="178">
        <f t="shared" si="1956"/>
        <v>0</v>
      </c>
      <c r="K324" s="179">
        <f t="shared" si="1956"/>
        <v>0</v>
      </c>
      <c r="L324" s="179">
        <f t="shared" si="1956"/>
        <v>2</v>
      </c>
      <c r="M324" s="180">
        <f t="shared" si="1880"/>
        <v>34</v>
      </c>
      <c r="N324" s="175">
        <f t="shared" ref="N324:T324" si="1957">RANDBETWEEN(0,10)</f>
        <v>8</v>
      </c>
      <c r="O324" s="175">
        <f t="shared" si="1957"/>
        <v>3</v>
      </c>
      <c r="P324" s="175">
        <f t="shared" si="1957"/>
        <v>0</v>
      </c>
      <c r="Q324" s="175">
        <f t="shared" si="1957"/>
        <v>1</v>
      </c>
      <c r="R324" s="175">
        <f t="shared" si="1957"/>
        <v>4</v>
      </c>
      <c r="S324" s="175">
        <f t="shared" si="1957"/>
        <v>9</v>
      </c>
      <c r="T324" s="175">
        <f t="shared" si="1957"/>
        <v>9</v>
      </c>
      <c r="U324" s="181">
        <f t="shared" ref="U324:U329" si="1964">RANDBETWEEN(10,30)</f>
        <v>20</v>
      </c>
      <c r="V324" s="182">
        <f t="shared" si="1917"/>
        <v>1</v>
      </c>
      <c r="W324" s="175">
        <f t="shared" ref="W324:Y324" si="1958">RANDBETWEEN(0,2)</f>
        <v>0</v>
      </c>
      <c r="X324" s="175">
        <f t="shared" si="1958"/>
        <v>1</v>
      </c>
      <c r="Y324" s="175">
        <f t="shared" si="1958"/>
        <v>0</v>
      </c>
      <c r="Z324" s="183">
        <f t="shared" si="1926"/>
        <v>1</v>
      </c>
      <c r="AA324" s="184">
        <f t="shared" ref="AA324:AF324" si="1959">RANDBETWEEN(0,2)</f>
        <v>0</v>
      </c>
      <c r="AB324" s="184">
        <f t="shared" si="1959"/>
        <v>1</v>
      </c>
      <c r="AC324" s="185">
        <f t="shared" si="1959"/>
        <v>2</v>
      </c>
      <c r="AD324" s="186">
        <f t="shared" si="1959"/>
        <v>1</v>
      </c>
      <c r="AE324" s="186">
        <f t="shared" si="1959"/>
        <v>2</v>
      </c>
      <c r="AF324" s="186">
        <f t="shared" si="1959"/>
        <v>2</v>
      </c>
      <c r="AG324" s="187">
        <f t="shared" si="1887"/>
        <v>7</v>
      </c>
      <c r="AH324" s="185">
        <f t="shared" ref="AH324:AJ324" si="1960">RANDBETWEEN(1,10)</f>
        <v>10</v>
      </c>
      <c r="AI324" s="186">
        <f t="shared" si="1960"/>
        <v>9</v>
      </c>
      <c r="AJ324" s="186">
        <f t="shared" si="1960"/>
        <v>4</v>
      </c>
      <c r="AK324" s="188">
        <f t="shared" si="1889"/>
        <v>23</v>
      </c>
      <c r="AL324" s="185"/>
      <c r="AM324" s="186"/>
      <c r="AN324" s="186"/>
      <c r="AO324" s="186"/>
      <c r="AP324" s="189"/>
      <c r="AQ324" s="185"/>
      <c r="AR324" s="186"/>
      <c r="AS324" s="186"/>
      <c r="AT324" s="190"/>
      <c r="AU324" s="185"/>
      <c r="AV324" s="186"/>
      <c r="AW324" s="186"/>
      <c r="AX324" s="191"/>
      <c r="AY324" s="92">
        <f t="shared" ref="AY324:AZ324" si="1961">RANDBETWEEN(1,10)/10</f>
        <v>0.8</v>
      </c>
      <c r="AZ324" s="92">
        <f t="shared" si="1961"/>
        <v>0.2</v>
      </c>
      <c r="BA324" s="93">
        <v>0.0</v>
      </c>
      <c r="BB324" s="93">
        <v>0.0</v>
      </c>
      <c r="BC324" s="94">
        <f>SUM(BC296,'ГОЧ'!$AY324)</f>
        <v>1206.7</v>
      </c>
      <c r="BD324" s="94">
        <f>SUM(BD296,'ГОЧ'!$AZ324)</f>
        <v>1206.2</v>
      </c>
      <c r="BE324" s="186"/>
      <c r="BF324" s="186"/>
    </row>
    <row r="325" ht="15.75" customHeight="1">
      <c r="A325" s="67">
        <f t="shared" si="1877"/>
        <v>46265</v>
      </c>
      <c r="B325" s="138" t="s">
        <v>33</v>
      </c>
      <c r="C325" s="157">
        <f t="shared" si="1878"/>
        <v>1</v>
      </c>
      <c r="D325" s="97">
        <f t="shared" ref="D325:L325" si="1962">RANDBETWEEN(0,2)</f>
        <v>1</v>
      </c>
      <c r="E325" s="97">
        <f t="shared" si="1962"/>
        <v>0</v>
      </c>
      <c r="F325" s="97">
        <f t="shared" si="1962"/>
        <v>0</v>
      </c>
      <c r="G325" s="97">
        <f t="shared" si="1962"/>
        <v>1</v>
      </c>
      <c r="H325" s="98">
        <f t="shared" si="1962"/>
        <v>2</v>
      </c>
      <c r="I325" s="99">
        <f t="shared" si="1962"/>
        <v>1</v>
      </c>
      <c r="J325" s="100">
        <f t="shared" si="1962"/>
        <v>2</v>
      </c>
      <c r="K325" s="101">
        <f t="shared" si="1962"/>
        <v>2</v>
      </c>
      <c r="L325" s="101">
        <f t="shared" si="1962"/>
        <v>2</v>
      </c>
      <c r="M325" s="140">
        <f t="shared" si="1880"/>
        <v>28</v>
      </c>
      <c r="N325" s="97">
        <f t="shared" ref="N325:T325" si="1963">RANDBETWEEN(0,10)</f>
        <v>3</v>
      </c>
      <c r="O325" s="97">
        <f t="shared" si="1963"/>
        <v>2</v>
      </c>
      <c r="P325" s="97">
        <f t="shared" si="1963"/>
        <v>10</v>
      </c>
      <c r="Q325" s="97">
        <f t="shared" si="1963"/>
        <v>2</v>
      </c>
      <c r="R325" s="97">
        <f t="shared" si="1963"/>
        <v>4</v>
      </c>
      <c r="S325" s="97">
        <f t="shared" si="1963"/>
        <v>1</v>
      </c>
      <c r="T325" s="97">
        <f t="shared" si="1963"/>
        <v>6</v>
      </c>
      <c r="U325" s="103">
        <f t="shared" si="1964"/>
        <v>29</v>
      </c>
      <c r="V325" s="158">
        <f t="shared" si="1917"/>
        <v>2</v>
      </c>
      <c r="W325" s="97">
        <f t="shared" ref="W325:Y325" si="1965">RANDBETWEEN(0,2)</f>
        <v>1</v>
      </c>
      <c r="X325" s="97">
        <f t="shared" si="1965"/>
        <v>1</v>
      </c>
      <c r="Y325" s="97">
        <f t="shared" si="1965"/>
        <v>0</v>
      </c>
      <c r="Z325" s="105">
        <f t="shared" si="1926"/>
        <v>0</v>
      </c>
      <c r="AA325" s="143">
        <f t="shared" ref="AA325:AF325" si="1966">RANDBETWEEN(0,2)</f>
        <v>0</v>
      </c>
      <c r="AB325" s="143">
        <f t="shared" si="1966"/>
        <v>0</v>
      </c>
      <c r="AC325" s="144">
        <f t="shared" si="1966"/>
        <v>1</v>
      </c>
      <c r="AD325" s="145">
        <f t="shared" si="1966"/>
        <v>0</v>
      </c>
      <c r="AE325" s="145">
        <f t="shared" si="1966"/>
        <v>0</v>
      </c>
      <c r="AF325" s="145">
        <f t="shared" si="1966"/>
        <v>0</v>
      </c>
      <c r="AG325" s="86">
        <f t="shared" si="1887"/>
        <v>1</v>
      </c>
      <c r="AH325" s="144">
        <f t="shared" ref="AH325:AJ325" si="1967">RANDBETWEEN(1,10)</f>
        <v>10</v>
      </c>
      <c r="AI325" s="145">
        <f t="shared" si="1967"/>
        <v>8</v>
      </c>
      <c r="AJ325" s="145">
        <f t="shared" si="1967"/>
        <v>4</v>
      </c>
      <c r="AK325" s="192">
        <f t="shared" si="1889"/>
        <v>22</v>
      </c>
      <c r="AL325" s="144"/>
      <c r="AM325" s="145"/>
      <c r="AN325" s="145"/>
      <c r="AO325" s="145"/>
      <c r="AP325" s="89"/>
      <c r="AQ325" s="144"/>
      <c r="AR325" s="145"/>
      <c r="AS325" s="145"/>
      <c r="AT325" s="193"/>
      <c r="AU325" s="144"/>
      <c r="AV325" s="145"/>
      <c r="AW325" s="145"/>
      <c r="AX325" s="194"/>
      <c r="AY325" s="92">
        <f t="shared" ref="AY325:AZ325" si="1968">RANDBETWEEN(1,10)/10</f>
        <v>0.3</v>
      </c>
      <c r="AZ325" s="92">
        <f t="shared" si="1968"/>
        <v>0.5</v>
      </c>
      <c r="BA325" s="93">
        <v>0.0</v>
      </c>
      <c r="BB325" s="93">
        <v>0.0</v>
      </c>
      <c r="BC325" s="94">
        <f>SUM(BC297,'ГОЧ'!$AY325)</f>
        <v>1205.8</v>
      </c>
      <c r="BD325" s="94">
        <f>SUM(BD297,'ГОЧ'!$AZ325)</f>
        <v>1205.3</v>
      </c>
      <c r="BE325" s="108"/>
      <c r="BF325" s="108"/>
    </row>
    <row r="326" ht="15.75" customHeight="1">
      <c r="A326" s="67">
        <f t="shared" si="1877"/>
        <v>46265</v>
      </c>
      <c r="B326" s="138" t="s">
        <v>35</v>
      </c>
      <c r="C326" s="157">
        <f t="shared" si="1878"/>
        <v>3</v>
      </c>
      <c r="D326" s="97">
        <f t="shared" ref="D326:L326" si="1969">RANDBETWEEN(0,2)</f>
        <v>1</v>
      </c>
      <c r="E326" s="97">
        <f t="shared" si="1969"/>
        <v>0</v>
      </c>
      <c r="F326" s="97">
        <f t="shared" si="1969"/>
        <v>2</v>
      </c>
      <c r="G326" s="97">
        <f t="shared" si="1969"/>
        <v>0</v>
      </c>
      <c r="H326" s="98">
        <f t="shared" si="1969"/>
        <v>2</v>
      </c>
      <c r="I326" s="99">
        <f t="shared" si="1969"/>
        <v>1</v>
      </c>
      <c r="J326" s="100">
        <f t="shared" si="1969"/>
        <v>0</v>
      </c>
      <c r="K326" s="101">
        <f t="shared" si="1969"/>
        <v>1</v>
      </c>
      <c r="L326" s="101">
        <f t="shared" si="1969"/>
        <v>1</v>
      </c>
      <c r="M326" s="140">
        <f t="shared" si="1880"/>
        <v>33</v>
      </c>
      <c r="N326" s="97">
        <f t="shared" ref="N326:T326" si="1970">RANDBETWEEN(0,10)</f>
        <v>6</v>
      </c>
      <c r="O326" s="97">
        <f t="shared" si="1970"/>
        <v>5</v>
      </c>
      <c r="P326" s="97">
        <f t="shared" si="1970"/>
        <v>3</v>
      </c>
      <c r="Q326" s="97">
        <f t="shared" si="1970"/>
        <v>0</v>
      </c>
      <c r="R326" s="97">
        <f t="shared" si="1970"/>
        <v>10</v>
      </c>
      <c r="S326" s="97">
        <f t="shared" si="1970"/>
        <v>1</v>
      </c>
      <c r="T326" s="97">
        <f t="shared" si="1970"/>
        <v>8</v>
      </c>
      <c r="U326" s="103">
        <f t="shared" si="1964"/>
        <v>20</v>
      </c>
      <c r="V326" s="158">
        <f t="shared" si="1917"/>
        <v>2</v>
      </c>
      <c r="W326" s="97">
        <f t="shared" ref="W326:Y326" si="1971">RANDBETWEEN(0,2)</f>
        <v>1</v>
      </c>
      <c r="X326" s="97">
        <f t="shared" si="1971"/>
        <v>1</v>
      </c>
      <c r="Y326" s="97">
        <f t="shared" si="1971"/>
        <v>0</v>
      </c>
      <c r="Z326" s="105">
        <f t="shared" si="1926"/>
        <v>2</v>
      </c>
      <c r="AA326" s="106">
        <f t="shared" ref="AA326:AF326" si="1972">RANDBETWEEN(0,2)</f>
        <v>0</v>
      </c>
      <c r="AB326" s="106">
        <f t="shared" si="1972"/>
        <v>2</v>
      </c>
      <c r="AC326" s="107">
        <f t="shared" si="1972"/>
        <v>2</v>
      </c>
      <c r="AD326" s="108">
        <f t="shared" si="1972"/>
        <v>1</v>
      </c>
      <c r="AE326" s="108">
        <f t="shared" si="1972"/>
        <v>0</v>
      </c>
      <c r="AF326" s="108">
        <f t="shared" si="1972"/>
        <v>2</v>
      </c>
      <c r="AG326" s="86">
        <f t="shared" si="1887"/>
        <v>5</v>
      </c>
      <c r="AH326" s="107">
        <f t="shared" ref="AH326:AJ326" si="1973">RANDBETWEEN(1,10)</f>
        <v>6</v>
      </c>
      <c r="AI326" s="108">
        <f t="shared" si="1973"/>
        <v>5</v>
      </c>
      <c r="AJ326" s="108">
        <f t="shared" si="1973"/>
        <v>3</v>
      </c>
      <c r="AK326" s="192">
        <f t="shared" si="1889"/>
        <v>14</v>
      </c>
      <c r="AL326" s="107"/>
      <c r="AM326" s="108"/>
      <c r="AN326" s="108"/>
      <c r="AO326" s="108"/>
      <c r="AP326" s="89"/>
      <c r="AQ326" s="107"/>
      <c r="AR326" s="108"/>
      <c r="AS326" s="108"/>
      <c r="AT326" s="193"/>
      <c r="AU326" s="107"/>
      <c r="AV326" s="108"/>
      <c r="AW326" s="108"/>
      <c r="AX326" s="194"/>
      <c r="AY326" s="92">
        <f t="shared" ref="AY326:AZ326" si="1974">RANDBETWEEN(1,10)/10</f>
        <v>0.8</v>
      </c>
      <c r="AZ326" s="92">
        <f t="shared" si="1974"/>
        <v>0.7</v>
      </c>
      <c r="BA326" s="93">
        <v>0.0</v>
      </c>
      <c r="BB326" s="93">
        <v>0.0</v>
      </c>
      <c r="BC326" s="94">
        <f>SUM(BC298,'ГОЧ'!$AY326)</f>
        <v>1206.1</v>
      </c>
      <c r="BD326" s="94">
        <f>SUM(BD298,'ГОЧ'!$AZ326)</f>
        <v>1206.8</v>
      </c>
      <c r="BE326" s="108"/>
      <c r="BF326" s="108"/>
    </row>
    <row r="327" ht="15.75" customHeight="1">
      <c r="A327" s="67">
        <f t="shared" si="1877"/>
        <v>46265</v>
      </c>
      <c r="B327" s="138" t="s">
        <v>36</v>
      </c>
      <c r="C327" s="157">
        <f t="shared" si="1878"/>
        <v>0</v>
      </c>
      <c r="D327" s="97">
        <f t="shared" ref="D327:L327" si="1975">RANDBETWEEN(0,2)</f>
        <v>0</v>
      </c>
      <c r="E327" s="97">
        <f t="shared" si="1975"/>
        <v>1</v>
      </c>
      <c r="F327" s="97">
        <f t="shared" si="1975"/>
        <v>0</v>
      </c>
      <c r="G327" s="97">
        <f t="shared" si="1975"/>
        <v>2</v>
      </c>
      <c r="H327" s="98">
        <f t="shared" si="1975"/>
        <v>1</v>
      </c>
      <c r="I327" s="99">
        <f t="shared" si="1975"/>
        <v>1</v>
      </c>
      <c r="J327" s="100">
        <f t="shared" si="1975"/>
        <v>0</v>
      </c>
      <c r="K327" s="101">
        <f t="shared" si="1975"/>
        <v>0</v>
      </c>
      <c r="L327" s="101">
        <f t="shared" si="1975"/>
        <v>0</v>
      </c>
      <c r="M327" s="140">
        <f t="shared" si="1880"/>
        <v>32</v>
      </c>
      <c r="N327" s="97">
        <f t="shared" ref="N327:T327" si="1976">RANDBETWEEN(0,10)</f>
        <v>2</v>
      </c>
      <c r="O327" s="97">
        <f t="shared" si="1976"/>
        <v>2</v>
      </c>
      <c r="P327" s="97">
        <f t="shared" si="1976"/>
        <v>5</v>
      </c>
      <c r="Q327" s="97">
        <f t="shared" si="1976"/>
        <v>9</v>
      </c>
      <c r="R327" s="97">
        <f t="shared" si="1976"/>
        <v>7</v>
      </c>
      <c r="S327" s="97">
        <f t="shared" si="1976"/>
        <v>4</v>
      </c>
      <c r="T327" s="97">
        <f t="shared" si="1976"/>
        <v>3</v>
      </c>
      <c r="U327" s="103">
        <f t="shared" si="1964"/>
        <v>18</v>
      </c>
      <c r="V327" s="158">
        <f t="shared" si="1917"/>
        <v>2</v>
      </c>
      <c r="W327" s="97">
        <f t="shared" ref="W327:Y327" si="1977">RANDBETWEEN(0,2)</f>
        <v>1</v>
      </c>
      <c r="X327" s="97">
        <f t="shared" si="1977"/>
        <v>1</v>
      </c>
      <c r="Y327" s="97">
        <f t="shared" si="1977"/>
        <v>0</v>
      </c>
      <c r="Z327" s="105">
        <f t="shared" si="1926"/>
        <v>0</v>
      </c>
      <c r="AA327" s="143">
        <f t="shared" ref="AA327:AF327" si="1978">RANDBETWEEN(0,2)</f>
        <v>0</v>
      </c>
      <c r="AB327" s="143">
        <f t="shared" si="1978"/>
        <v>0</v>
      </c>
      <c r="AC327" s="144">
        <f t="shared" si="1978"/>
        <v>0</v>
      </c>
      <c r="AD327" s="145">
        <f t="shared" si="1978"/>
        <v>1</v>
      </c>
      <c r="AE327" s="145">
        <f t="shared" si="1978"/>
        <v>0</v>
      </c>
      <c r="AF327" s="145">
        <f t="shared" si="1978"/>
        <v>2</v>
      </c>
      <c r="AG327" s="86">
        <f t="shared" si="1887"/>
        <v>3</v>
      </c>
      <c r="AH327" s="144">
        <f t="shared" ref="AH327:AJ327" si="1979">RANDBETWEEN(1,10)</f>
        <v>6</v>
      </c>
      <c r="AI327" s="145">
        <f t="shared" si="1979"/>
        <v>7</v>
      </c>
      <c r="AJ327" s="145">
        <f t="shared" si="1979"/>
        <v>7</v>
      </c>
      <c r="AK327" s="192">
        <f t="shared" si="1889"/>
        <v>20</v>
      </c>
      <c r="AL327" s="144"/>
      <c r="AM327" s="145"/>
      <c r="AN327" s="145"/>
      <c r="AO327" s="145"/>
      <c r="AP327" s="89"/>
      <c r="AQ327" s="144"/>
      <c r="AR327" s="145"/>
      <c r="AS327" s="145"/>
      <c r="AT327" s="193"/>
      <c r="AU327" s="144"/>
      <c r="AV327" s="145"/>
      <c r="AW327" s="145"/>
      <c r="AX327" s="194"/>
      <c r="AY327" s="92">
        <f t="shared" ref="AY327:AZ327" si="1980">RANDBETWEEN(1,10)/10</f>
        <v>0.7</v>
      </c>
      <c r="AZ327" s="92">
        <f t="shared" si="1980"/>
        <v>0.1</v>
      </c>
      <c r="BA327" s="93">
        <v>0.0</v>
      </c>
      <c r="BB327" s="93">
        <v>0.0</v>
      </c>
      <c r="BC327" s="94">
        <f>SUM(BC299,'ГОЧ'!$AY327)</f>
        <v>1206.5</v>
      </c>
      <c r="BD327" s="94">
        <f>SUM(BD299,'ГОЧ'!$AZ327)</f>
        <v>1206.3</v>
      </c>
      <c r="BE327" s="108"/>
      <c r="BF327" s="108"/>
    </row>
    <row r="328" ht="15.75" customHeight="1">
      <c r="A328" s="67">
        <f t="shared" si="1877"/>
        <v>46265</v>
      </c>
      <c r="B328" s="195" t="s">
        <v>38</v>
      </c>
      <c r="C328" s="157">
        <f t="shared" si="1878"/>
        <v>2</v>
      </c>
      <c r="D328" s="97">
        <f t="shared" ref="D328:L328" si="1981">RANDBETWEEN(0,2)</f>
        <v>0</v>
      </c>
      <c r="E328" s="97">
        <f t="shared" si="1981"/>
        <v>2</v>
      </c>
      <c r="F328" s="97">
        <f t="shared" si="1981"/>
        <v>2</v>
      </c>
      <c r="G328" s="97">
        <f t="shared" si="1981"/>
        <v>0</v>
      </c>
      <c r="H328" s="98">
        <f t="shared" si="1981"/>
        <v>1</v>
      </c>
      <c r="I328" s="99">
        <f t="shared" si="1981"/>
        <v>2</v>
      </c>
      <c r="J328" s="100">
        <f t="shared" si="1981"/>
        <v>2</v>
      </c>
      <c r="K328" s="101">
        <f t="shared" si="1981"/>
        <v>0</v>
      </c>
      <c r="L328" s="101">
        <f t="shared" si="1981"/>
        <v>2</v>
      </c>
      <c r="M328" s="140">
        <f t="shared" si="1880"/>
        <v>44</v>
      </c>
      <c r="N328" s="97">
        <f t="shared" ref="N328:T328" si="1982">RANDBETWEEN(0,10)</f>
        <v>2</v>
      </c>
      <c r="O328" s="97">
        <f t="shared" si="1982"/>
        <v>8</v>
      </c>
      <c r="P328" s="97">
        <f t="shared" si="1982"/>
        <v>8</v>
      </c>
      <c r="Q328" s="97">
        <f t="shared" si="1982"/>
        <v>5</v>
      </c>
      <c r="R328" s="97">
        <f t="shared" si="1982"/>
        <v>7</v>
      </c>
      <c r="S328" s="97">
        <f t="shared" si="1982"/>
        <v>4</v>
      </c>
      <c r="T328" s="97">
        <f t="shared" si="1982"/>
        <v>10</v>
      </c>
      <c r="U328" s="103">
        <f t="shared" si="1964"/>
        <v>24</v>
      </c>
      <c r="V328" s="158">
        <f t="shared" si="1917"/>
        <v>2</v>
      </c>
      <c r="W328" s="97">
        <f t="shared" ref="W328:Y328" si="1983">RANDBETWEEN(0,2)</f>
        <v>1</v>
      </c>
      <c r="X328" s="97">
        <f t="shared" si="1983"/>
        <v>0</v>
      </c>
      <c r="Y328" s="97">
        <f t="shared" si="1983"/>
        <v>1</v>
      </c>
      <c r="Z328" s="105">
        <f t="shared" si="1926"/>
        <v>2</v>
      </c>
      <c r="AA328" s="106">
        <f t="shared" ref="AA328:AF328" si="1984">RANDBETWEEN(0,2)</f>
        <v>0</v>
      </c>
      <c r="AB328" s="106">
        <f t="shared" si="1984"/>
        <v>2</v>
      </c>
      <c r="AC328" s="107">
        <f t="shared" si="1984"/>
        <v>1</v>
      </c>
      <c r="AD328" s="108">
        <f t="shared" si="1984"/>
        <v>2</v>
      </c>
      <c r="AE328" s="108">
        <f t="shared" si="1984"/>
        <v>2</v>
      </c>
      <c r="AF328" s="108">
        <f t="shared" si="1984"/>
        <v>1</v>
      </c>
      <c r="AG328" s="86">
        <f t="shared" si="1887"/>
        <v>6</v>
      </c>
      <c r="AH328" s="107">
        <f t="shared" ref="AH328:AJ328" si="1985">RANDBETWEEN(1,10)</f>
        <v>9</v>
      </c>
      <c r="AI328" s="108">
        <f t="shared" si="1985"/>
        <v>3</v>
      </c>
      <c r="AJ328" s="108">
        <f t="shared" si="1985"/>
        <v>8</v>
      </c>
      <c r="AK328" s="192">
        <f t="shared" si="1889"/>
        <v>20</v>
      </c>
      <c r="AL328" s="107"/>
      <c r="AM328" s="108"/>
      <c r="AN328" s="108"/>
      <c r="AO328" s="108"/>
      <c r="AP328" s="89"/>
      <c r="AQ328" s="107"/>
      <c r="AR328" s="108"/>
      <c r="AS328" s="108"/>
      <c r="AT328" s="193"/>
      <c r="AU328" s="107"/>
      <c r="AV328" s="108"/>
      <c r="AW328" s="108"/>
      <c r="AX328" s="194"/>
      <c r="AY328" s="92">
        <f t="shared" ref="AY328:AZ328" si="1986">RANDBETWEEN(1,10)/10</f>
        <v>0.6</v>
      </c>
      <c r="AZ328" s="92">
        <f t="shared" si="1986"/>
        <v>0.1</v>
      </c>
      <c r="BA328" s="93">
        <v>0.0</v>
      </c>
      <c r="BB328" s="93">
        <v>0.0</v>
      </c>
      <c r="BC328" s="94">
        <f>SUM(BC300,'ГОЧ'!$AY328)</f>
        <v>1205</v>
      </c>
      <c r="BD328" s="94">
        <f>SUM(BD300,'ГОЧ'!$AZ328)</f>
        <v>1204.6</v>
      </c>
      <c r="BE328" s="108"/>
      <c r="BF328" s="108"/>
    </row>
    <row r="329" ht="15.75" customHeight="1">
      <c r="A329" s="67">
        <f t="shared" si="1877"/>
        <v>46265</v>
      </c>
      <c r="B329" s="138" t="s">
        <v>41</v>
      </c>
      <c r="C329" s="157">
        <f t="shared" si="1878"/>
        <v>3</v>
      </c>
      <c r="D329" s="97">
        <f t="shared" ref="D329:L329" si="1987">RANDBETWEEN(0,2)</f>
        <v>1</v>
      </c>
      <c r="E329" s="97">
        <f t="shared" si="1987"/>
        <v>2</v>
      </c>
      <c r="F329" s="97">
        <f t="shared" si="1987"/>
        <v>2</v>
      </c>
      <c r="G329" s="97">
        <f t="shared" si="1987"/>
        <v>1</v>
      </c>
      <c r="H329" s="98">
        <f t="shared" si="1987"/>
        <v>1</v>
      </c>
      <c r="I329" s="99">
        <f t="shared" si="1987"/>
        <v>1</v>
      </c>
      <c r="J329" s="100">
        <f t="shared" si="1987"/>
        <v>0</v>
      </c>
      <c r="K329" s="101">
        <f t="shared" si="1987"/>
        <v>0</v>
      </c>
      <c r="L329" s="101">
        <f t="shared" si="1987"/>
        <v>2</v>
      </c>
      <c r="M329" s="140">
        <f t="shared" si="1880"/>
        <v>21</v>
      </c>
      <c r="N329" s="97">
        <f t="shared" ref="N329:T329" si="1988">RANDBETWEEN(0,10)</f>
        <v>7</v>
      </c>
      <c r="O329" s="97">
        <f t="shared" si="1988"/>
        <v>0</v>
      </c>
      <c r="P329" s="97">
        <f t="shared" si="1988"/>
        <v>0</v>
      </c>
      <c r="Q329" s="97">
        <f t="shared" si="1988"/>
        <v>1</v>
      </c>
      <c r="R329" s="97">
        <f t="shared" si="1988"/>
        <v>5</v>
      </c>
      <c r="S329" s="97">
        <f t="shared" si="1988"/>
        <v>5</v>
      </c>
      <c r="T329" s="97">
        <f t="shared" si="1988"/>
        <v>3</v>
      </c>
      <c r="U329" s="103">
        <f t="shared" si="1964"/>
        <v>11</v>
      </c>
      <c r="V329" s="158">
        <f t="shared" si="1917"/>
        <v>1</v>
      </c>
      <c r="W329" s="97">
        <f t="shared" ref="W329:Y329" si="1989">RANDBETWEEN(0,2)</f>
        <v>1</v>
      </c>
      <c r="X329" s="97">
        <f t="shared" si="1989"/>
        <v>0</v>
      </c>
      <c r="Y329" s="97">
        <f t="shared" si="1989"/>
        <v>0</v>
      </c>
      <c r="Z329" s="105">
        <f t="shared" si="1926"/>
        <v>2</v>
      </c>
      <c r="AA329" s="143">
        <f t="shared" ref="AA329:AF329" si="1990">RANDBETWEEN(0,2)</f>
        <v>0</v>
      </c>
      <c r="AB329" s="143">
        <f t="shared" si="1990"/>
        <v>2</v>
      </c>
      <c r="AC329" s="144">
        <f t="shared" si="1990"/>
        <v>2</v>
      </c>
      <c r="AD329" s="145">
        <f t="shared" si="1990"/>
        <v>0</v>
      </c>
      <c r="AE329" s="145">
        <f t="shared" si="1990"/>
        <v>1</v>
      </c>
      <c r="AF329" s="145">
        <f t="shared" si="1990"/>
        <v>2</v>
      </c>
      <c r="AG329" s="86">
        <f t="shared" si="1887"/>
        <v>5</v>
      </c>
      <c r="AH329" s="144">
        <f t="shared" ref="AH329:AJ329" si="1991">RANDBETWEEN(1,10)</f>
        <v>1</v>
      </c>
      <c r="AI329" s="145">
        <f t="shared" si="1991"/>
        <v>9</v>
      </c>
      <c r="AJ329" s="145">
        <f t="shared" si="1991"/>
        <v>8</v>
      </c>
      <c r="AK329" s="192">
        <f t="shared" si="1889"/>
        <v>18</v>
      </c>
      <c r="AL329" s="144"/>
      <c r="AM329" s="145"/>
      <c r="AN329" s="145"/>
      <c r="AO329" s="145"/>
      <c r="AP329" s="89"/>
      <c r="AQ329" s="144"/>
      <c r="AR329" s="145"/>
      <c r="AS329" s="145"/>
      <c r="AT329" s="193"/>
      <c r="AU329" s="144"/>
      <c r="AV329" s="145"/>
      <c r="AW329" s="145"/>
      <c r="AX329" s="194"/>
      <c r="AY329" s="92">
        <f t="shared" ref="AY329:AZ329" si="1992">RANDBETWEEN(1,10)/10</f>
        <v>0.4</v>
      </c>
      <c r="AZ329" s="92">
        <f t="shared" si="1992"/>
        <v>0.4</v>
      </c>
      <c r="BA329" s="93">
        <v>0.0</v>
      </c>
      <c r="BB329" s="93">
        <v>0.0</v>
      </c>
      <c r="BC329" s="94">
        <f>SUM(BC301,'ГОЧ'!$AY329)</f>
        <v>1206</v>
      </c>
      <c r="BD329" s="94">
        <f>SUM(BD301,'ГОЧ'!$AZ329)</f>
        <v>1206.4</v>
      </c>
      <c r="BE329" s="108"/>
      <c r="BF329" s="108"/>
    </row>
    <row r="330" ht="15.75" customHeight="1">
      <c r="A330" s="67">
        <f t="shared" si="1877"/>
        <v>46265</v>
      </c>
      <c r="B330" s="114" t="s">
        <v>45</v>
      </c>
      <c r="C330" s="164">
        <f t="shared" si="1878"/>
        <v>13</v>
      </c>
      <c r="D330" s="164">
        <f t="shared" ref="D330:U330" si="1993">SUM(D324:D329)</f>
        <v>5</v>
      </c>
      <c r="E330" s="165">
        <f t="shared" si="1993"/>
        <v>7</v>
      </c>
      <c r="F330" s="165">
        <f t="shared" si="1993"/>
        <v>8</v>
      </c>
      <c r="G330" s="165">
        <f t="shared" si="1993"/>
        <v>4</v>
      </c>
      <c r="H330" s="165">
        <f t="shared" si="1993"/>
        <v>7</v>
      </c>
      <c r="I330" s="165">
        <f t="shared" si="1993"/>
        <v>7</v>
      </c>
      <c r="J330" s="165">
        <f t="shared" si="1993"/>
        <v>4</v>
      </c>
      <c r="K330" s="165">
        <f t="shared" si="1993"/>
        <v>3</v>
      </c>
      <c r="L330" s="165">
        <f t="shared" si="1993"/>
        <v>9</v>
      </c>
      <c r="M330" s="164">
        <f t="shared" si="1993"/>
        <v>192</v>
      </c>
      <c r="N330" s="164">
        <f t="shared" si="1993"/>
        <v>28</v>
      </c>
      <c r="O330" s="165">
        <f t="shared" si="1993"/>
        <v>20</v>
      </c>
      <c r="P330" s="165">
        <f t="shared" si="1993"/>
        <v>26</v>
      </c>
      <c r="Q330" s="165">
        <f t="shared" si="1993"/>
        <v>18</v>
      </c>
      <c r="R330" s="165">
        <f t="shared" si="1993"/>
        <v>37</v>
      </c>
      <c r="S330" s="165">
        <f t="shared" si="1993"/>
        <v>24</v>
      </c>
      <c r="T330" s="165">
        <f t="shared" si="1993"/>
        <v>39</v>
      </c>
      <c r="U330" s="164">
        <f t="shared" si="1993"/>
        <v>122</v>
      </c>
      <c r="V330" s="164">
        <f t="shared" si="1917"/>
        <v>10</v>
      </c>
      <c r="W330" s="165">
        <f t="shared" ref="W330:Y330" si="1994">SUM(W324:W329)</f>
        <v>5</v>
      </c>
      <c r="X330" s="165">
        <f t="shared" si="1994"/>
        <v>4</v>
      </c>
      <c r="Y330" s="165">
        <f t="shared" si="1994"/>
        <v>1</v>
      </c>
      <c r="Z330" s="165">
        <f t="shared" si="1926"/>
        <v>7</v>
      </c>
      <c r="AA330" s="165">
        <f t="shared" ref="AA330:AF330" si="1995">SUM(AA324:AA329)</f>
        <v>0</v>
      </c>
      <c r="AB330" s="165">
        <f t="shared" si="1995"/>
        <v>7</v>
      </c>
      <c r="AC330" s="166">
        <f t="shared" si="1995"/>
        <v>8</v>
      </c>
      <c r="AD330" s="166">
        <f t="shared" si="1995"/>
        <v>5</v>
      </c>
      <c r="AE330" s="166">
        <f t="shared" si="1995"/>
        <v>5</v>
      </c>
      <c r="AF330" s="166">
        <f t="shared" si="1995"/>
        <v>9</v>
      </c>
      <c r="AG330" s="168">
        <f t="shared" si="1887"/>
        <v>27</v>
      </c>
      <c r="AH330" s="166">
        <f t="shared" ref="AH330:AJ330" si="1996">SUM(AH324:AH329)</f>
        <v>42</v>
      </c>
      <c r="AI330" s="167">
        <f t="shared" si="1996"/>
        <v>41</v>
      </c>
      <c r="AJ330" s="167">
        <f t="shared" si="1996"/>
        <v>34</v>
      </c>
      <c r="AK330" s="168">
        <f t="shared" si="1889"/>
        <v>117</v>
      </c>
      <c r="AL330" s="166"/>
      <c r="AM330" s="166"/>
      <c r="AN330" s="166"/>
      <c r="AO330" s="166"/>
      <c r="AP330" s="169"/>
      <c r="AQ330" s="166"/>
      <c r="AR330" s="167"/>
      <c r="AS330" s="167"/>
      <c r="AT330" s="170"/>
      <c r="AU330" s="166"/>
      <c r="AV330" s="167"/>
      <c r="AW330" s="167"/>
      <c r="AX330" s="171"/>
      <c r="AY330" s="196">
        <f t="shared" ref="AY330:BD330" si="1997">SUM(AY324:AY329)</f>
        <v>3.6</v>
      </c>
      <c r="AZ330" s="196">
        <f t="shared" si="1997"/>
        <v>2</v>
      </c>
      <c r="BA330" s="167">
        <f t="shared" si="1997"/>
        <v>0</v>
      </c>
      <c r="BB330" s="167">
        <f t="shared" si="1997"/>
        <v>0</v>
      </c>
      <c r="BC330" s="197">
        <f t="shared" si="1997"/>
        <v>7236.1</v>
      </c>
      <c r="BD330" s="197">
        <f t="shared" si="1997"/>
        <v>7235.6</v>
      </c>
      <c r="BE330" s="154" t="str">
        <f t="shared" ref="BE330:BF330" si="1998">TEXTJOIN(", ",TRUE,BE324:BE329)</f>
        <v/>
      </c>
      <c r="BF330" s="154" t="str">
        <f t="shared" si="1998"/>
        <v/>
      </c>
    </row>
    <row r="331" ht="15.75" customHeight="1">
      <c r="A331" s="67">
        <f t="shared" si="1877"/>
        <v>46265</v>
      </c>
      <c r="B331" s="124" t="s">
        <v>49</v>
      </c>
      <c r="C331" s="174">
        <f t="shared" si="1878"/>
        <v>2</v>
      </c>
      <c r="D331" s="175">
        <f t="shared" ref="D331:L331" si="1999">RANDBETWEEN(0,2)</f>
        <v>1</v>
      </c>
      <c r="E331" s="175">
        <f t="shared" si="1999"/>
        <v>1</v>
      </c>
      <c r="F331" s="175">
        <f t="shared" si="1999"/>
        <v>1</v>
      </c>
      <c r="G331" s="175">
        <f t="shared" si="1999"/>
        <v>0</v>
      </c>
      <c r="H331" s="176">
        <f t="shared" si="1999"/>
        <v>1</v>
      </c>
      <c r="I331" s="177">
        <f t="shared" si="1999"/>
        <v>2</v>
      </c>
      <c r="J331" s="178">
        <f t="shared" si="1999"/>
        <v>0</v>
      </c>
      <c r="K331" s="179">
        <f t="shared" si="1999"/>
        <v>2</v>
      </c>
      <c r="L331" s="179">
        <f t="shared" si="1999"/>
        <v>1</v>
      </c>
      <c r="M331" s="180">
        <f t="shared" ref="M331:M336" si="2006">SUM(N331:T331)</f>
        <v>41</v>
      </c>
      <c r="N331" s="175">
        <f t="shared" ref="N331:T331" si="2000">RANDBETWEEN(0,10)</f>
        <v>10</v>
      </c>
      <c r="O331" s="175">
        <f t="shared" si="2000"/>
        <v>5</v>
      </c>
      <c r="P331" s="175">
        <f t="shared" si="2000"/>
        <v>1</v>
      </c>
      <c r="Q331" s="175">
        <f t="shared" si="2000"/>
        <v>4</v>
      </c>
      <c r="R331" s="175">
        <f t="shared" si="2000"/>
        <v>10</v>
      </c>
      <c r="S331" s="175">
        <f t="shared" si="2000"/>
        <v>10</v>
      </c>
      <c r="T331" s="175">
        <f t="shared" si="2000"/>
        <v>1</v>
      </c>
      <c r="U331" s="181">
        <f t="shared" ref="U331:U335" si="2008">RANDBETWEEN(10,30)</f>
        <v>30</v>
      </c>
      <c r="V331" s="182">
        <f t="shared" si="1917"/>
        <v>2</v>
      </c>
      <c r="W331" s="175">
        <f t="shared" ref="W331:Y331" si="2001">RANDBETWEEN(0,2)</f>
        <v>0</v>
      </c>
      <c r="X331" s="175">
        <f t="shared" si="2001"/>
        <v>1</v>
      </c>
      <c r="Y331" s="175">
        <f t="shared" si="2001"/>
        <v>1</v>
      </c>
      <c r="Z331" s="183">
        <f t="shared" si="1926"/>
        <v>0</v>
      </c>
      <c r="AA331" s="198">
        <f t="shared" ref="AA331:AF331" si="2002">RANDBETWEEN(0,2)</f>
        <v>0</v>
      </c>
      <c r="AB331" s="198">
        <f t="shared" si="2002"/>
        <v>0</v>
      </c>
      <c r="AC331" s="199">
        <f t="shared" si="2002"/>
        <v>0</v>
      </c>
      <c r="AD331" s="200">
        <f t="shared" si="2002"/>
        <v>0</v>
      </c>
      <c r="AE331" s="200">
        <f t="shared" si="2002"/>
        <v>1</v>
      </c>
      <c r="AF331" s="200">
        <f t="shared" si="2002"/>
        <v>0</v>
      </c>
      <c r="AG331" s="187">
        <f t="shared" si="1887"/>
        <v>1</v>
      </c>
      <c r="AH331" s="199">
        <f t="shared" ref="AH331:AJ331" si="2003">RANDBETWEEN(1,10)</f>
        <v>9</v>
      </c>
      <c r="AI331" s="200">
        <f t="shared" si="2003"/>
        <v>6</v>
      </c>
      <c r="AJ331" s="200">
        <f t="shared" si="2003"/>
        <v>10</v>
      </c>
      <c r="AK331" s="188">
        <f t="shared" si="1889"/>
        <v>25</v>
      </c>
      <c r="AL331" s="199"/>
      <c r="AM331" s="200"/>
      <c r="AN331" s="200"/>
      <c r="AO331" s="200"/>
      <c r="AP331" s="189"/>
      <c r="AQ331" s="199"/>
      <c r="AR331" s="200"/>
      <c r="AS331" s="200"/>
      <c r="AT331" s="190"/>
      <c r="AU331" s="199"/>
      <c r="AV331" s="200"/>
      <c r="AW331" s="200"/>
      <c r="AX331" s="191"/>
      <c r="AY331" s="92">
        <f t="shared" ref="AY331:AZ331" si="2004">RANDBETWEEN(1,10)/10</f>
        <v>0.1</v>
      </c>
      <c r="AZ331" s="92">
        <f t="shared" si="2004"/>
        <v>0.2</v>
      </c>
      <c r="BA331" s="93">
        <v>0.0</v>
      </c>
      <c r="BB331" s="93">
        <v>0.0</v>
      </c>
      <c r="BC331" s="94">
        <f>SUM(BC303,'ГОЧ'!$AY331)</f>
        <v>1205.8</v>
      </c>
      <c r="BD331" s="94">
        <f>SUM(BD303,'ГОЧ'!$AZ331)</f>
        <v>1204.8</v>
      </c>
      <c r="BE331" s="186"/>
      <c r="BF331" s="186"/>
    </row>
    <row r="332" ht="15.75" customHeight="1">
      <c r="A332" s="67">
        <f t="shared" si="1877"/>
        <v>46265</v>
      </c>
      <c r="B332" s="195" t="s">
        <v>53</v>
      </c>
      <c r="C332" s="157">
        <f t="shared" si="1878"/>
        <v>3</v>
      </c>
      <c r="D332" s="97">
        <f t="shared" ref="D332:L332" si="2005">RANDBETWEEN(0,2)</f>
        <v>1</v>
      </c>
      <c r="E332" s="97">
        <f t="shared" si="2005"/>
        <v>2</v>
      </c>
      <c r="F332" s="97">
        <f t="shared" si="2005"/>
        <v>2</v>
      </c>
      <c r="G332" s="97">
        <f t="shared" si="2005"/>
        <v>0</v>
      </c>
      <c r="H332" s="98">
        <f t="shared" si="2005"/>
        <v>0</v>
      </c>
      <c r="I332" s="99">
        <f t="shared" si="2005"/>
        <v>1</v>
      </c>
      <c r="J332" s="100">
        <f t="shared" si="2005"/>
        <v>2</v>
      </c>
      <c r="K332" s="101">
        <f t="shared" si="2005"/>
        <v>2</v>
      </c>
      <c r="L332" s="101">
        <f t="shared" si="2005"/>
        <v>0</v>
      </c>
      <c r="M332" s="140">
        <f t="shared" si="2006"/>
        <v>39</v>
      </c>
      <c r="N332" s="97">
        <f t="shared" ref="N332:T332" si="2007">RANDBETWEEN(0,10)</f>
        <v>8</v>
      </c>
      <c r="O332" s="97">
        <f t="shared" si="2007"/>
        <v>10</v>
      </c>
      <c r="P332" s="97">
        <f t="shared" si="2007"/>
        <v>5</v>
      </c>
      <c r="Q332" s="97">
        <f t="shared" si="2007"/>
        <v>2</v>
      </c>
      <c r="R332" s="97">
        <f t="shared" si="2007"/>
        <v>6</v>
      </c>
      <c r="S332" s="97">
        <f t="shared" si="2007"/>
        <v>6</v>
      </c>
      <c r="T332" s="97">
        <f t="shared" si="2007"/>
        <v>2</v>
      </c>
      <c r="U332" s="103">
        <f t="shared" si="2008"/>
        <v>11</v>
      </c>
      <c r="V332" s="158">
        <f t="shared" si="1917"/>
        <v>0</v>
      </c>
      <c r="W332" s="97">
        <f t="shared" ref="W332:Y332" si="2009">RANDBETWEEN(0,2)</f>
        <v>0</v>
      </c>
      <c r="X332" s="97">
        <f t="shared" si="2009"/>
        <v>0</v>
      </c>
      <c r="Y332" s="97">
        <f t="shared" si="2009"/>
        <v>0</v>
      </c>
      <c r="Z332" s="105">
        <f t="shared" si="1926"/>
        <v>1</v>
      </c>
      <c r="AA332" s="106">
        <f t="shared" ref="AA332:AF332" si="2010">RANDBETWEEN(0,2)</f>
        <v>1</v>
      </c>
      <c r="AB332" s="106">
        <f t="shared" si="2010"/>
        <v>0</v>
      </c>
      <c r="AC332" s="107">
        <f t="shared" si="2010"/>
        <v>2</v>
      </c>
      <c r="AD332" s="108">
        <f t="shared" si="2010"/>
        <v>0</v>
      </c>
      <c r="AE332" s="108">
        <f t="shared" si="2010"/>
        <v>2</v>
      </c>
      <c r="AF332" s="108">
        <f t="shared" si="2010"/>
        <v>2</v>
      </c>
      <c r="AG332" s="86">
        <f t="shared" si="1887"/>
        <v>6</v>
      </c>
      <c r="AH332" s="107">
        <f t="shared" ref="AH332:AJ332" si="2011">RANDBETWEEN(1,10)</f>
        <v>6</v>
      </c>
      <c r="AI332" s="108">
        <f t="shared" si="2011"/>
        <v>2</v>
      </c>
      <c r="AJ332" s="108">
        <f t="shared" si="2011"/>
        <v>7</v>
      </c>
      <c r="AK332" s="192">
        <f t="shared" si="1889"/>
        <v>15</v>
      </c>
      <c r="AL332" s="107"/>
      <c r="AM332" s="108"/>
      <c r="AN332" s="108"/>
      <c r="AO332" s="108"/>
      <c r="AP332" s="89"/>
      <c r="AQ332" s="107"/>
      <c r="AR332" s="108"/>
      <c r="AS332" s="108"/>
      <c r="AT332" s="193"/>
      <c r="AU332" s="107"/>
      <c r="AV332" s="108"/>
      <c r="AW332" s="108"/>
      <c r="AX332" s="194"/>
      <c r="AY332" s="92">
        <f t="shared" ref="AY332:AZ332" si="2012">RANDBETWEEN(1,10)/10</f>
        <v>0.5</v>
      </c>
      <c r="AZ332" s="92">
        <f t="shared" si="2012"/>
        <v>0.1</v>
      </c>
      <c r="BA332" s="93">
        <v>0.0</v>
      </c>
      <c r="BB332" s="93">
        <v>0.0</v>
      </c>
      <c r="BC332" s="94">
        <f>SUM(BC304,'ГОЧ'!$AY332)</f>
        <v>1205.1</v>
      </c>
      <c r="BD332" s="94">
        <f>SUM(BD304,'ГОЧ'!$AZ332)</f>
        <v>1205.4</v>
      </c>
      <c r="BE332" s="108"/>
      <c r="BF332" s="108"/>
    </row>
    <row r="333" ht="15.75" customHeight="1">
      <c r="A333" s="67">
        <f t="shared" si="1877"/>
        <v>46265</v>
      </c>
      <c r="B333" s="138" t="s">
        <v>57</v>
      </c>
      <c r="C333" s="157">
        <f t="shared" si="1878"/>
        <v>2</v>
      </c>
      <c r="D333" s="97">
        <f t="shared" ref="D333:L333" si="2013">RANDBETWEEN(0,2)</f>
        <v>1</v>
      </c>
      <c r="E333" s="97">
        <f t="shared" si="2013"/>
        <v>2</v>
      </c>
      <c r="F333" s="97">
        <f t="shared" si="2013"/>
        <v>1</v>
      </c>
      <c r="G333" s="97">
        <f t="shared" si="2013"/>
        <v>0</v>
      </c>
      <c r="H333" s="98">
        <f t="shared" si="2013"/>
        <v>2</v>
      </c>
      <c r="I333" s="99">
        <f t="shared" si="2013"/>
        <v>2</v>
      </c>
      <c r="J333" s="100">
        <f t="shared" si="2013"/>
        <v>1</v>
      </c>
      <c r="K333" s="101">
        <f t="shared" si="2013"/>
        <v>2</v>
      </c>
      <c r="L333" s="101">
        <f t="shared" si="2013"/>
        <v>1</v>
      </c>
      <c r="M333" s="140">
        <f t="shared" si="2006"/>
        <v>58</v>
      </c>
      <c r="N333" s="97">
        <f t="shared" ref="N333:T333" si="2014">RANDBETWEEN(0,10)</f>
        <v>8</v>
      </c>
      <c r="O333" s="97">
        <f t="shared" si="2014"/>
        <v>9</v>
      </c>
      <c r="P333" s="97">
        <f t="shared" si="2014"/>
        <v>10</v>
      </c>
      <c r="Q333" s="97">
        <f t="shared" si="2014"/>
        <v>6</v>
      </c>
      <c r="R333" s="97">
        <f t="shared" si="2014"/>
        <v>10</v>
      </c>
      <c r="S333" s="97">
        <f t="shared" si="2014"/>
        <v>10</v>
      </c>
      <c r="T333" s="97">
        <f t="shared" si="2014"/>
        <v>5</v>
      </c>
      <c r="U333" s="103">
        <f t="shared" si="2008"/>
        <v>25</v>
      </c>
      <c r="V333" s="158">
        <f t="shared" si="1917"/>
        <v>2</v>
      </c>
      <c r="W333" s="97">
        <f t="shared" ref="W333:Y333" si="2015">RANDBETWEEN(0,2)</f>
        <v>1</v>
      </c>
      <c r="X333" s="97">
        <f t="shared" si="2015"/>
        <v>1</v>
      </c>
      <c r="Y333" s="97">
        <f t="shared" si="2015"/>
        <v>0</v>
      </c>
      <c r="Z333" s="105">
        <f t="shared" si="1926"/>
        <v>2</v>
      </c>
      <c r="AA333" s="143">
        <f t="shared" ref="AA333:AF333" si="2016">RANDBETWEEN(0,2)</f>
        <v>0</v>
      </c>
      <c r="AB333" s="143">
        <f t="shared" si="2016"/>
        <v>2</v>
      </c>
      <c r="AC333" s="144">
        <f t="shared" si="2016"/>
        <v>2</v>
      </c>
      <c r="AD333" s="145">
        <f t="shared" si="2016"/>
        <v>1</v>
      </c>
      <c r="AE333" s="145">
        <f t="shared" si="2016"/>
        <v>1</v>
      </c>
      <c r="AF333" s="145">
        <f t="shared" si="2016"/>
        <v>2</v>
      </c>
      <c r="AG333" s="86">
        <f t="shared" si="1887"/>
        <v>6</v>
      </c>
      <c r="AH333" s="144">
        <f t="shared" ref="AH333:AJ333" si="2017">RANDBETWEEN(1,10)</f>
        <v>4</v>
      </c>
      <c r="AI333" s="145">
        <f t="shared" si="2017"/>
        <v>8</v>
      </c>
      <c r="AJ333" s="145">
        <f t="shared" si="2017"/>
        <v>4</v>
      </c>
      <c r="AK333" s="192">
        <f t="shared" si="1889"/>
        <v>16</v>
      </c>
      <c r="AL333" s="144"/>
      <c r="AM333" s="145"/>
      <c r="AN333" s="145"/>
      <c r="AO333" s="145"/>
      <c r="AP333" s="89"/>
      <c r="AQ333" s="144"/>
      <c r="AR333" s="145"/>
      <c r="AS333" s="145"/>
      <c r="AT333" s="193"/>
      <c r="AU333" s="144"/>
      <c r="AV333" s="145"/>
      <c r="AW333" s="145"/>
      <c r="AX333" s="194"/>
      <c r="AY333" s="92">
        <f t="shared" ref="AY333:AZ333" si="2018">RANDBETWEEN(1,10)/10</f>
        <v>1</v>
      </c>
      <c r="AZ333" s="92">
        <f t="shared" si="2018"/>
        <v>0.3</v>
      </c>
      <c r="BA333" s="93">
        <v>0.0</v>
      </c>
      <c r="BB333" s="93">
        <v>0.0</v>
      </c>
      <c r="BC333" s="94">
        <f>SUM(BC305,'ГОЧ'!$AY333)</f>
        <v>1206.4</v>
      </c>
      <c r="BD333" s="94">
        <f>SUM(BD305,'ГОЧ'!$AZ333)</f>
        <v>1206.7</v>
      </c>
      <c r="BE333" s="108"/>
      <c r="BF333" s="108"/>
    </row>
    <row r="334" ht="15.75" customHeight="1">
      <c r="A334" s="67">
        <f t="shared" si="1877"/>
        <v>46265</v>
      </c>
      <c r="B334" s="138" t="s">
        <v>60</v>
      </c>
      <c r="C334" s="157">
        <f t="shared" si="1878"/>
        <v>0</v>
      </c>
      <c r="D334" s="97">
        <f t="shared" ref="D334:L334" si="2019">RANDBETWEEN(0,2)</f>
        <v>0</v>
      </c>
      <c r="E334" s="97">
        <f t="shared" si="2019"/>
        <v>2</v>
      </c>
      <c r="F334" s="97">
        <f t="shared" si="2019"/>
        <v>0</v>
      </c>
      <c r="G334" s="97">
        <f t="shared" si="2019"/>
        <v>1</v>
      </c>
      <c r="H334" s="98">
        <f t="shared" si="2019"/>
        <v>1</v>
      </c>
      <c r="I334" s="99">
        <f t="shared" si="2019"/>
        <v>2</v>
      </c>
      <c r="J334" s="100">
        <f t="shared" si="2019"/>
        <v>2</v>
      </c>
      <c r="K334" s="101">
        <f t="shared" si="2019"/>
        <v>0</v>
      </c>
      <c r="L334" s="101">
        <f t="shared" si="2019"/>
        <v>1</v>
      </c>
      <c r="M334" s="140">
        <f t="shared" si="2006"/>
        <v>44</v>
      </c>
      <c r="N334" s="97">
        <f t="shared" ref="N334:T334" si="2020">RANDBETWEEN(0,10)</f>
        <v>10</v>
      </c>
      <c r="O334" s="97">
        <f t="shared" si="2020"/>
        <v>0</v>
      </c>
      <c r="P334" s="97">
        <f t="shared" si="2020"/>
        <v>10</v>
      </c>
      <c r="Q334" s="97">
        <f t="shared" si="2020"/>
        <v>7</v>
      </c>
      <c r="R334" s="97">
        <f t="shared" si="2020"/>
        <v>8</v>
      </c>
      <c r="S334" s="97">
        <f t="shared" si="2020"/>
        <v>6</v>
      </c>
      <c r="T334" s="97">
        <f t="shared" si="2020"/>
        <v>3</v>
      </c>
      <c r="U334" s="103">
        <f t="shared" si="2008"/>
        <v>17</v>
      </c>
      <c r="V334" s="158">
        <f t="shared" si="1917"/>
        <v>2</v>
      </c>
      <c r="W334" s="97">
        <f t="shared" ref="W334:Y334" si="2021">RANDBETWEEN(0,2)</f>
        <v>0</v>
      </c>
      <c r="X334" s="97">
        <f t="shared" si="2021"/>
        <v>2</v>
      </c>
      <c r="Y334" s="97">
        <f t="shared" si="2021"/>
        <v>0</v>
      </c>
      <c r="Z334" s="105">
        <f t="shared" si="1926"/>
        <v>2</v>
      </c>
      <c r="AA334" s="106">
        <f t="shared" ref="AA334:AF334" si="2022">RANDBETWEEN(0,2)</f>
        <v>2</v>
      </c>
      <c r="AB334" s="106">
        <f t="shared" si="2022"/>
        <v>0</v>
      </c>
      <c r="AC334" s="107">
        <f t="shared" si="2022"/>
        <v>0</v>
      </c>
      <c r="AD334" s="108">
        <f t="shared" si="2022"/>
        <v>0</v>
      </c>
      <c r="AE334" s="108">
        <f t="shared" si="2022"/>
        <v>1</v>
      </c>
      <c r="AF334" s="108">
        <f t="shared" si="2022"/>
        <v>1</v>
      </c>
      <c r="AG334" s="86">
        <f t="shared" si="1887"/>
        <v>2</v>
      </c>
      <c r="AH334" s="107">
        <f t="shared" ref="AH334:AJ334" si="2023">RANDBETWEEN(1,10)</f>
        <v>3</v>
      </c>
      <c r="AI334" s="108">
        <f t="shared" si="2023"/>
        <v>9</v>
      </c>
      <c r="AJ334" s="108">
        <f t="shared" si="2023"/>
        <v>1</v>
      </c>
      <c r="AK334" s="192">
        <f t="shared" si="1889"/>
        <v>13</v>
      </c>
      <c r="AL334" s="107"/>
      <c r="AM334" s="108"/>
      <c r="AN334" s="108"/>
      <c r="AO334" s="108"/>
      <c r="AP334" s="89"/>
      <c r="AQ334" s="107"/>
      <c r="AR334" s="108"/>
      <c r="AS334" s="108"/>
      <c r="AT334" s="193"/>
      <c r="AU334" s="107"/>
      <c r="AV334" s="108"/>
      <c r="AW334" s="108"/>
      <c r="AX334" s="194"/>
      <c r="AY334" s="92">
        <f t="shared" ref="AY334:AZ334" si="2024">RANDBETWEEN(1,10)/10</f>
        <v>1</v>
      </c>
      <c r="AZ334" s="92">
        <f t="shared" si="2024"/>
        <v>0.8</v>
      </c>
      <c r="BA334" s="93">
        <v>0.0</v>
      </c>
      <c r="BB334" s="93">
        <v>0.0</v>
      </c>
      <c r="BC334" s="94">
        <f>SUM(BC306,'ГОЧ'!$AY334)</f>
        <v>1205.4</v>
      </c>
      <c r="BD334" s="94">
        <f>SUM(BD306,'ГОЧ'!$AZ334)</f>
        <v>1205.4</v>
      </c>
      <c r="BE334" s="108"/>
      <c r="BF334" s="108"/>
    </row>
    <row r="335" ht="15.75" customHeight="1">
      <c r="A335" s="67">
        <f t="shared" si="1877"/>
        <v>46265</v>
      </c>
      <c r="B335" s="195" t="s">
        <v>64</v>
      </c>
      <c r="C335" s="157">
        <f t="shared" si="1878"/>
        <v>3</v>
      </c>
      <c r="D335" s="97">
        <f t="shared" ref="D335:L335" si="2025">RANDBETWEEN(0,2)</f>
        <v>2</v>
      </c>
      <c r="E335" s="97">
        <f t="shared" si="2025"/>
        <v>2</v>
      </c>
      <c r="F335" s="97">
        <f t="shared" si="2025"/>
        <v>1</v>
      </c>
      <c r="G335" s="97">
        <f t="shared" si="2025"/>
        <v>0</v>
      </c>
      <c r="H335" s="98">
        <f t="shared" si="2025"/>
        <v>2</v>
      </c>
      <c r="I335" s="99">
        <f t="shared" si="2025"/>
        <v>0</v>
      </c>
      <c r="J335" s="100">
        <f t="shared" si="2025"/>
        <v>1</v>
      </c>
      <c r="K335" s="101">
        <f t="shared" si="2025"/>
        <v>0</v>
      </c>
      <c r="L335" s="101">
        <f t="shared" si="2025"/>
        <v>2</v>
      </c>
      <c r="M335" s="140">
        <f t="shared" si="2006"/>
        <v>42</v>
      </c>
      <c r="N335" s="97">
        <f t="shared" ref="N335:T335" si="2026">RANDBETWEEN(0,10)</f>
        <v>0</v>
      </c>
      <c r="O335" s="97">
        <f t="shared" si="2026"/>
        <v>10</v>
      </c>
      <c r="P335" s="97">
        <f t="shared" si="2026"/>
        <v>4</v>
      </c>
      <c r="Q335" s="97">
        <f t="shared" si="2026"/>
        <v>2</v>
      </c>
      <c r="R335" s="97">
        <f t="shared" si="2026"/>
        <v>9</v>
      </c>
      <c r="S335" s="97">
        <f t="shared" si="2026"/>
        <v>8</v>
      </c>
      <c r="T335" s="97">
        <f t="shared" si="2026"/>
        <v>9</v>
      </c>
      <c r="U335" s="103">
        <f t="shared" si="2008"/>
        <v>17</v>
      </c>
      <c r="V335" s="158">
        <f t="shared" si="1917"/>
        <v>1</v>
      </c>
      <c r="W335" s="97">
        <f t="shared" ref="W335:Y335" si="2027">RANDBETWEEN(0,2)</f>
        <v>0</v>
      </c>
      <c r="X335" s="97">
        <f t="shared" si="2027"/>
        <v>1</v>
      </c>
      <c r="Y335" s="97">
        <f t="shared" si="2027"/>
        <v>0</v>
      </c>
      <c r="Z335" s="105">
        <f t="shared" si="1926"/>
        <v>2</v>
      </c>
      <c r="AA335" s="143">
        <f t="shared" ref="AA335:AF335" si="2028">RANDBETWEEN(0,2)</f>
        <v>2</v>
      </c>
      <c r="AB335" s="143">
        <f t="shared" si="2028"/>
        <v>0</v>
      </c>
      <c r="AC335" s="144">
        <f t="shared" si="2028"/>
        <v>1</v>
      </c>
      <c r="AD335" s="145">
        <f t="shared" si="2028"/>
        <v>0</v>
      </c>
      <c r="AE335" s="145">
        <f t="shared" si="2028"/>
        <v>1</v>
      </c>
      <c r="AF335" s="145">
        <f t="shared" si="2028"/>
        <v>1</v>
      </c>
      <c r="AG335" s="86">
        <f t="shared" si="1887"/>
        <v>3</v>
      </c>
      <c r="AH335" s="144">
        <f t="shared" ref="AH335:AJ335" si="2029">RANDBETWEEN(1,10)</f>
        <v>9</v>
      </c>
      <c r="AI335" s="145">
        <f t="shared" si="2029"/>
        <v>5</v>
      </c>
      <c r="AJ335" s="145">
        <f t="shared" si="2029"/>
        <v>3</v>
      </c>
      <c r="AK335" s="192">
        <f t="shared" si="1889"/>
        <v>17</v>
      </c>
      <c r="AL335" s="144"/>
      <c r="AM335" s="145"/>
      <c r="AN335" s="145"/>
      <c r="AO335" s="145"/>
      <c r="AP335" s="89"/>
      <c r="AQ335" s="144"/>
      <c r="AR335" s="145"/>
      <c r="AS335" s="145"/>
      <c r="AT335" s="193"/>
      <c r="AU335" s="144"/>
      <c r="AV335" s="145"/>
      <c r="AW335" s="145"/>
      <c r="AX335" s="194"/>
      <c r="AY335" s="92">
        <f t="shared" ref="AY335:AZ335" si="2030">RANDBETWEEN(1,10)/10</f>
        <v>0.3</v>
      </c>
      <c r="AZ335" s="92">
        <f t="shared" si="2030"/>
        <v>0.5</v>
      </c>
      <c r="BA335" s="93">
        <v>0.0</v>
      </c>
      <c r="BB335" s="93">
        <v>0.0</v>
      </c>
      <c r="BC335" s="94">
        <f>SUM(BC307,'ГОЧ'!$AY335)</f>
        <v>1204.7</v>
      </c>
      <c r="BD335" s="94">
        <f>SUM(BD307,'ГОЧ'!$AZ335)</f>
        <v>1205.5</v>
      </c>
      <c r="BE335" s="108"/>
      <c r="BF335" s="108"/>
    </row>
    <row r="336" ht="15.75" customHeight="1">
      <c r="A336" s="67">
        <f t="shared" si="1877"/>
        <v>46265</v>
      </c>
      <c r="B336" s="201" t="s">
        <v>67</v>
      </c>
      <c r="C336" s="164">
        <f t="shared" si="1878"/>
        <v>10</v>
      </c>
      <c r="D336" s="164">
        <f t="shared" ref="D336:L336" si="2031">SUM(D331:D335)</f>
        <v>5</v>
      </c>
      <c r="E336" s="165">
        <f t="shared" si="2031"/>
        <v>9</v>
      </c>
      <c r="F336" s="165">
        <f t="shared" si="2031"/>
        <v>5</v>
      </c>
      <c r="G336" s="165">
        <f t="shared" si="2031"/>
        <v>1</v>
      </c>
      <c r="H336" s="165">
        <f t="shared" si="2031"/>
        <v>6</v>
      </c>
      <c r="I336" s="165">
        <f t="shared" si="2031"/>
        <v>7</v>
      </c>
      <c r="J336" s="165">
        <f t="shared" si="2031"/>
        <v>6</v>
      </c>
      <c r="K336" s="165">
        <f t="shared" si="2031"/>
        <v>6</v>
      </c>
      <c r="L336" s="165">
        <f t="shared" si="2031"/>
        <v>5</v>
      </c>
      <c r="M336" s="164">
        <f t="shared" si="2006"/>
        <v>224</v>
      </c>
      <c r="N336" s="164">
        <f t="shared" ref="N336:U336" si="2032">SUM(N331:N335)</f>
        <v>36</v>
      </c>
      <c r="O336" s="165">
        <f t="shared" si="2032"/>
        <v>34</v>
      </c>
      <c r="P336" s="165">
        <f t="shared" si="2032"/>
        <v>30</v>
      </c>
      <c r="Q336" s="165">
        <f t="shared" si="2032"/>
        <v>21</v>
      </c>
      <c r="R336" s="165">
        <f t="shared" si="2032"/>
        <v>43</v>
      </c>
      <c r="S336" s="165">
        <f t="shared" si="2032"/>
        <v>40</v>
      </c>
      <c r="T336" s="165">
        <f t="shared" si="2032"/>
        <v>20</v>
      </c>
      <c r="U336" s="164">
        <f t="shared" si="2032"/>
        <v>100</v>
      </c>
      <c r="V336" s="164">
        <f t="shared" si="1917"/>
        <v>7</v>
      </c>
      <c r="W336" s="165">
        <f t="shared" ref="W336:Y336" si="2033">SUM(W331:W335)</f>
        <v>1</v>
      </c>
      <c r="X336" s="165">
        <f t="shared" si="2033"/>
        <v>5</v>
      </c>
      <c r="Y336" s="165">
        <f t="shared" si="2033"/>
        <v>1</v>
      </c>
      <c r="Z336" s="164">
        <f>SUM(AA336:AB336)</f>
        <v>7</v>
      </c>
      <c r="AA336" s="164">
        <f t="shared" ref="AA336:AF336" si="2034">SUM(AA331:AA335)</f>
        <v>5</v>
      </c>
      <c r="AB336" s="165">
        <f t="shared" si="2034"/>
        <v>2</v>
      </c>
      <c r="AC336" s="166">
        <f t="shared" si="2034"/>
        <v>5</v>
      </c>
      <c r="AD336" s="166">
        <f t="shared" si="2034"/>
        <v>1</v>
      </c>
      <c r="AE336" s="166">
        <f t="shared" si="2034"/>
        <v>6</v>
      </c>
      <c r="AF336" s="166">
        <f t="shared" si="2034"/>
        <v>6</v>
      </c>
      <c r="AG336" s="168">
        <f t="shared" si="1887"/>
        <v>18</v>
      </c>
      <c r="AH336" s="166">
        <f t="shared" ref="AH336:AJ336" si="2035">SUM(AH331:AH335)</f>
        <v>31</v>
      </c>
      <c r="AI336" s="167">
        <f t="shared" si="2035"/>
        <v>30</v>
      </c>
      <c r="AJ336" s="167">
        <f t="shared" si="2035"/>
        <v>25</v>
      </c>
      <c r="AK336" s="168">
        <f t="shared" si="1889"/>
        <v>86</v>
      </c>
      <c r="AL336" s="166"/>
      <c r="AM336" s="166"/>
      <c r="AN336" s="166"/>
      <c r="AO336" s="166"/>
      <c r="AP336" s="169"/>
      <c r="AQ336" s="166"/>
      <c r="AR336" s="167"/>
      <c r="AS336" s="167"/>
      <c r="AT336" s="170"/>
      <c r="AU336" s="166"/>
      <c r="AV336" s="167"/>
      <c r="AW336" s="167"/>
      <c r="AX336" s="171"/>
      <c r="AY336" s="196">
        <f t="shared" ref="AY336:BD336" si="2036">SUM(AY331:AY335)</f>
        <v>2.9</v>
      </c>
      <c r="AZ336" s="196">
        <f t="shared" si="2036"/>
        <v>1.9</v>
      </c>
      <c r="BA336" s="167">
        <f t="shared" si="2036"/>
        <v>0</v>
      </c>
      <c r="BB336" s="167">
        <f t="shared" si="2036"/>
        <v>0</v>
      </c>
      <c r="BC336" s="197">
        <f t="shared" si="2036"/>
        <v>6027.4</v>
      </c>
      <c r="BD336" s="197">
        <f t="shared" si="2036"/>
        <v>6027.8</v>
      </c>
      <c r="BE336" s="154" t="str">
        <f t="shared" ref="BE336:BF336" si="2037">TEXTJOIN(", ",TRUE,BE331:BE335)</f>
        <v/>
      </c>
      <c r="BF336" s="154" t="str">
        <f t="shared" si="2037"/>
        <v/>
      </c>
    </row>
    <row r="337" ht="15.75" customHeight="1">
      <c r="A337" s="67">
        <f t="shared" si="1877"/>
        <v>46265</v>
      </c>
      <c r="B337" s="202" t="s">
        <v>72</v>
      </c>
      <c r="C337" s="203">
        <f t="shared" ref="C337:AK337" si="2038">SUM(C311+C312+C313+C317,C316,C323,C330,C336)</f>
        <v>44</v>
      </c>
      <c r="D337" s="203">
        <f t="shared" si="2038"/>
        <v>23</v>
      </c>
      <c r="E337" s="203">
        <f t="shared" si="2038"/>
        <v>28</v>
      </c>
      <c r="F337" s="203">
        <f t="shared" si="2038"/>
        <v>21</v>
      </c>
      <c r="G337" s="203">
        <f t="shared" si="2038"/>
        <v>15</v>
      </c>
      <c r="H337" s="203">
        <f t="shared" si="2038"/>
        <v>20</v>
      </c>
      <c r="I337" s="203">
        <f t="shared" si="2038"/>
        <v>22</v>
      </c>
      <c r="J337" s="203">
        <f t="shared" si="2038"/>
        <v>22</v>
      </c>
      <c r="K337" s="203">
        <f t="shared" si="2038"/>
        <v>21</v>
      </c>
      <c r="L337" s="203">
        <f t="shared" si="2038"/>
        <v>23</v>
      </c>
      <c r="M337" s="203">
        <f t="shared" si="2038"/>
        <v>744</v>
      </c>
      <c r="N337" s="203">
        <f t="shared" si="2038"/>
        <v>106</v>
      </c>
      <c r="O337" s="203">
        <f t="shared" si="2038"/>
        <v>90</v>
      </c>
      <c r="P337" s="203">
        <f t="shared" si="2038"/>
        <v>98</v>
      </c>
      <c r="Q337" s="203">
        <f t="shared" si="2038"/>
        <v>89</v>
      </c>
      <c r="R337" s="203">
        <f t="shared" si="2038"/>
        <v>111</v>
      </c>
      <c r="S337" s="203">
        <f t="shared" si="2038"/>
        <v>106</v>
      </c>
      <c r="T337" s="203">
        <f t="shared" si="2038"/>
        <v>144</v>
      </c>
      <c r="U337" s="203">
        <f t="shared" si="2038"/>
        <v>445</v>
      </c>
      <c r="V337" s="203">
        <f t="shared" si="2038"/>
        <v>41</v>
      </c>
      <c r="W337" s="203">
        <f t="shared" si="2038"/>
        <v>16</v>
      </c>
      <c r="X337" s="203">
        <f t="shared" si="2038"/>
        <v>16</v>
      </c>
      <c r="Y337" s="203">
        <f t="shared" si="2038"/>
        <v>9</v>
      </c>
      <c r="Z337" s="203">
        <f t="shared" si="2038"/>
        <v>35</v>
      </c>
      <c r="AA337" s="203">
        <f t="shared" si="2038"/>
        <v>19</v>
      </c>
      <c r="AB337" s="203">
        <f t="shared" si="2038"/>
        <v>16</v>
      </c>
      <c r="AC337" s="204">
        <f t="shared" si="2038"/>
        <v>25</v>
      </c>
      <c r="AD337" s="204">
        <f t="shared" si="2038"/>
        <v>18</v>
      </c>
      <c r="AE337" s="204">
        <f t="shared" si="2038"/>
        <v>20</v>
      </c>
      <c r="AF337" s="204">
        <f t="shared" si="2038"/>
        <v>25</v>
      </c>
      <c r="AG337" s="204">
        <f t="shared" si="2038"/>
        <v>88</v>
      </c>
      <c r="AH337" s="204">
        <f t="shared" si="2038"/>
        <v>126</v>
      </c>
      <c r="AI337" s="204">
        <f t="shared" si="2038"/>
        <v>134</v>
      </c>
      <c r="AJ337" s="204">
        <f t="shared" si="2038"/>
        <v>87</v>
      </c>
      <c r="AK337" s="204">
        <f t="shared" si="2038"/>
        <v>347</v>
      </c>
      <c r="AL337" s="204"/>
      <c r="AM337" s="204"/>
      <c r="AN337" s="204"/>
      <c r="AO337" s="204"/>
      <c r="AP337" s="151"/>
      <c r="AQ337" s="204"/>
      <c r="AR337" s="204"/>
      <c r="AS337" s="204"/>
      <c r="AT337" s="152"/>
      <c r="AU337" s="204"/>
      <c r="AV337" s="204"/>
      <c r="AW337" s="204"/>
      <c r="AX337" s="153"/>
      <c r="AY337" s="205">
        <f t="shared" ref="AY337:BD337" si="2039">SUM(AY311+AY312+AY313+AY317,AY316,AY323,AY330,AY336)</f>
        <v>22.2</v>
      </c>
      <c r="AZ337" s="205">
        <f t="shared" si="2039"/>
        <v>14.1</v>
      </c>
      <c r="BA337" s="206">
        <f t="shared" si="2039"/>
        <v>5</v>
      </c>
      <c r="BB337" s="206">
        <f t="shared" si="2039"/>
        <v>3</v>
      </c>
      <c r="BC337" s="207">
        <f t="shared" si="2039"/>
        <v>26535.2</v>
      </c>
      <c r="BD337" s="207">
        <f t="shared" si="2039"/>
        <v>26535.9</v>
      </c>
      <c r="BE337" s="154" t="str">
        <f t="shared" ref="BE337:BF337" si="2040">TEXTJOIN(", ",TRUE,BE336,BE330,BE323,BE317,BE316,BE313,BE312,BE311)</f>
        <v>Олександівка, Пантелеймонівка, Миколаївка, Курськ, Рильск</v>
      </c>
      <c r="BF337" s="154" t="str">
        <f t="shared" si="2040"/>
        <v>Загреблі, Верхні води, Ступочки</v>
      </c>
    </row>
    <row r="338" ht="15.75" customHeight="1">
      <c r="A338" s="55">
        <f>A337+1</f>
        <v>46266</v>
      </c>
      <c r="B338" s="56"/>
      <c r="C338" s="57"/>
      <c r="D338" s="58"/>
      <c r="E338" s="59"/>
      <c r="F338" s="58"/>
      <c r="G338" s="59"/>
      <c r="H338" s="57"/>
      <c r="I338" s="60"/>
      <c r="J338" s="57"/>
      <c r="K338" s="57"/>
      <c r="L338" s="57"/>
      <c r="M338" s="57"/>
      <c r="N338" s="60"/>
      <c r="O338" s="60"/>
      <c r="P338" s="60"/>
      <c r="Q338" s="60"/>
      <c r="R338" s="60"/>
      <c r="S338" s="60"/>
      <c r="T338" s="60"/>
      <c r="U338" s="57"/>
      <c r="V338" s="58"/>
      <c r="W338" s="61"/>
      <c r="X338" s="61"/>
      <c r="Y338" s="61"/>
      <c r="Z338" s="57"/>
      <c r="AA338" s="60"/>
      <c r="AB338" s="60"/>
      <c r="AC338" s="62"/>
      <c r="AD338" s="62"/>
      <c r="AE338" s="62"/>
      <c r="AF338" s="62"/>
      <c r="AG338" s="62"/>
      <c r="AH338" s="62"/>
      <c r="AI338" s="62"/>
      <c r="AJ338" s="62"/>
      <c r="AK338" s="62"/>
      <c r="AL338" s="62"/>
      <c r="AM338" s="62"/>
      <c r="AN338" s="62"/>
      <c r="AO338" s="62"/>
      <c r="AP338" s="64"/>
      <c r="AQ338" s="62"/>
      <c r="AR338" s="62"/>
      <c r="AS338" s="62"/>
      <c r="AT338" s="65"/>
      <c r="AU338" s="62"/>
      <c r="AV338" s="62"/>
      <c r="AW338" s="62"/>
      <c r="AX338" s="66"/>
      <c r="AY338" s="208"/>
      <c r="AZ338" s="208"/>
      <c r="BA338" s="62"/>
      <c r="BB338" s="62"/>
      <c r="BC338" s="209"/>
      <c r="BD338" s="209"/>
      <c r="BE338" s="62"/>
      <c r="BF338" s="62"/>
    </row>
    <row r="339" ht="15.75" customHeight="1">
      <c r="A339" s="67">
        <f t="shared" ref="A339:A365" si="2047">A338</f>
        <v>46266</v>
      </c>
      <c r="B339" s="70" t="s">
        <v>8</v>
      </c>
      <c r="C339" s="72">
        <f t="shared" ref="C339:C364" si="2048">SUM(D339,F339)</f>
        <v>1</v>
      </c>
      <c r="D339" s="74">
        <f t="shared" ref="D339:L339" si="2041">RANDBETWEEN(0,2)</f>
        <v>1</v>
      </c>
      <c r="E339" s="74">
        <f t="shared" si="2041"/>
        <v>0</v>
      </c>
      <c r="F339" s="74">
        <f t="shared" si="2041"/>
        <v>0</v>
      </c>
      <c r="G339" s="74">
        <f t="shared" si="2041"/>
        <v>1</v>
      </c>
      <c r="H339" s="75">
        <f t="shared" si="2041"/>
        <v>0</v>
      </c>
      <c r="I339" s="76">
        <f t="shared" si="2041"/>
        <v>1</v>
      </c>
      <c r="J339" s="77">
        <f t="shared" si="2041"/>
        <v>2</v>
      </c>
      <c r="K339" s="78">
        <f t="shared" si="2041"/>
        <v>0</v>
      </c>
      <c r="L339" s="78">
        <f t="shared" si="2041"/>
        <v>2</v>
      </c>
      <c r="M339" s="79">
        <f t="shared" ref="M339:M357" si="2050">SUM(N339:T339)</f>
        <v>47</v>
      </c>
      <c r="N339" s="74">
        <f t="shared" ref="N339:T339" si="2042">RANDBETWEEN(0,10)</f>
        <v>9</v>
      </c>
      <c r="O339" s="74">
        <f t="shared" si="2042"/>
        <v>9</v>
      </c>
      <c r="P339" s="74">
        <f t="shared" si="2042"/>
        <v>6</v>
      </c>
      <c r="Q339" s="74">
        <f t="shared" si="2042"/>
        <v>6</v>
      </c>
      <c r="R339" s="74">
        <f t="shared" si="2042"/>
        <v>8</v>
      </c>
      <c r="S339" s="74">
        <f t="shared" si="2042"/>
        <v>7</v>
      </c>
      <c r="T339" s="74">
        <f t="shared" si="2042"/>
        <v>2</v>
      </c>
      <c r="U339" s="81">
        <f t="shared" ref="U339:U340" si="2052">RANDBETWEEN(10,30)</f>
        <v>24</v>
      </c>
      <c r="V339" s="82">
        <f t="shared" ref="V339:V344" si="2053">SUM(W339:Y339)</f>
        <v>4</v>
      </c>
      <c r="W339" s="74">
        <f t="shared" ref="W339:Y339" si="2043">RANDBETWEEN(0,2)</f>
        <v>0</v>
      </c>
      <c r="X339" s="74">
        <f t="shared" si="2043"/>
        <v>2</v>
      </c>
      <c r="Y339" s="74">
        <f t="shared" si="2043"/>
        <v>2</v>
      </c>
      <c r="Z339" s="83">
        <f t="shared" ref="Z339:Z341" si="2055">AA339+AB339</f>
        <v>3</v>
      </c>
      <c r="AA339" s="84">
        <f t="shared" ref="AA339:AF339" si="2044">RANDBETWEEN(0,2)</f>
        <v>1</v>
      </c>
      <c r="AB339" s="84">
        <f t="shared" si="2044"/>
        <v>2</v>
      </c>
      <c r="AC339" s="85">
        <f t="shared" si="2044"/>
        <v>2</v>
      </c>
      <c r="AD339" s="85">
        <f t="shared" si="2044"/>
        <v>1</v>
      </c>
      <c r="AE339" s="85">
        <f t="shared" si="2044"/>
        <v>2</v>
      </c>
      <c r="AF339" s="85">
        <f t="shared" si="2044"/>
        <v>0</v>
      </c>
      <c r="AG339" s="86">
        <f t="shared" ref="AG339:AG364" si="2057">SUM(AC339:AF339)</f>
        <v>5</v>
      </c>
      <c r="AH339" s="87">
        <f t="shared" ref="AH339:AJ339" si="2045">RANDBETWEEN(1,10)</f>
        <v>9</v>
      </c>
      <c r="AI339" s="85">
        <f t="shared" si="2045"/>
        <v>6</v>
      </c>
      <c r="AJ339" s="85">
        <f t="shared" si="2045"/>
        <v>3</v>
      </c>
      <c r="AK339" s="88">
        <f t="shared" ref="AK339:AK364" si="2059">SUM(AH339:AJ339)</f>
        <v>18</v>
      </c>
      <c r="AL339" s="85"/>
      <c r="AM339" s="85"/>
      <c r="AN339" s="85"/>
      <c r="AO339" s="85"/>
      <c r="AP339" s="89"/>
      <c r="AQ339" s="87"/>
      <c r="AR339" s="85"/>
      <c r="AS339" s="85"/>
      <c r="AT339" s="90"/>
      <c r="AU339" s="87"/>
      <c r="AV339" s="85"/>
      <c r="AW339" s="85"/>
      <c r="AX339" s="91"/>
      <c r="AY339" s="92">
        <f t="shared" ref="AY339:AZ339" si="2046">RANDBETWEEN(1,10)/10</f>
        <v>0.5</v>
      </c>
      <c r="AZ339" s="92">
        <f t="shared" si="2046"/>
        <v>1</v>
      </c>
      <c r="BA339" s="93">
        <v>0.0</v>
      </c>
      <c r="BB339" s="93">
        <v>0.0</v>
      </c>
      <c r="BC339" s="94">
        <f>SUM(BC311,'ГОЧ'!$AY339)</f>
        <v>1208.7</v>
      </c>
      <c r="BD339" s="94">
        <f>SUM(BD311,'ГОЧ'!$AZ339)</f>
        <v>1209.2</v>
      </c>
      <c r="BE339" s="85"/>
      <c r="BF339" s="85"/>
    </row>
    <row r="340" ht="15.75" customHeight="1">
      <c r="A340" s="67">
        <f t="shared" si="2047"/>
        <v>46266</v>
      </c>
      <c r="B340" s="95" t="s">
        <v>10</v>
      </c>
      <c r="C340" s="96">
        <f t="shared" si="2048"/>
        <v>3</v>
      </c>
      <c r="D340" s="97">
        <f t="shared" ref="D340:L340" si="2049">RANDBETWEEN(0,2)</f>
        <v>2</v>
      </c>
      <c r="E340" s="97">
        <f t="shared" si="2049"/>
        <v>0</v>
      </c>
      <c r="F340" s="97">
        <f t="shared" si="2049"/>
        <v>1</v>
      </c>
      <c r="G340" s="97">
        <f t="shared" si="2049"/>
        <v>0</v>
      </c>
      <c r="H340" s="98">
        <f t="shared" si="2049"/>
        <v>0</v>
      </c>
      <c r="I340" s="99">
        <f t="shared" si="2049"/>
        <v>1</v>
      </c>
      <c r="J340" s="100">
        <f t="shared" si="2049"/>
        <v>2</v>
      </c>
      <c r="K340" s="101">
        <f t="shared" si="2049"/>
        <v>0</v>
      </c>
      <c r="L340" s="101">
        <f t="shared" si="2049"/>
        <v>1</v>
      </c>
      <c r="M340" s="102">
        <f t="shared" si="2050"/>
        <v>32</v>
      </c>
      <c r="N340" s="97">
        <f t="shared" ref="N340:T340" si="2051">RANDBETWEEN(0,10)</f>
        <v>3</v>
      </c>
      <c r="O340" s="97">
        <f t="shared" si="2051"/>
        <v>1</v>
      </c>
      <c r="P340" s="97">
        <f t="shared" si="2051"/>
        <v>3</v>
      </c>
      <c r="Q340" s="97">
        <f t="shared" si="2051"/>
        <v>7</v>
      </c>
      <c r="R340" s="97">
        <f t="shared" si="2051"/>
        <v>3</v>
      </c>
      <c r="S340" s="97">
        <f t="shared" si="2051"/>
        <v>10</v>
      </c>
      <c r="T340" s="97">
        <f t="shared" si="2051"/>
        <v>5</v>
      </c>
      <c r="U340" s="103">
        <f t="shared" si="2052"/>
        <v>24</v>
      </c>
      <c r="V340" s="104">
        <f t="shared" si="2053"/>
        <v>2</v>
      </c>
      <c r="W340" s="97">
        <f t="shared" ref="W340:Y340" si="2054">RANDBETWEEN(0,2)</f>
        <v>2</v>
      </c>
      <c r="X340" s="97">
        <f t="shared" si="2054"/>
        <v>0</v>
      </c>
      <c r="Y340" s="97">
        <f t="shared" si="2054"/>
        <v>0</v>
      </c>
      <c r="Z340" s="105">
        <f t="shared" si="2055"/>
        <v>3</v>
      </c>
      <c r="AA340" s="106">
        <f t="shared" ref="AA340:AF340" si="2056">RANDBETWEEN(0,2)</f>
        <v>1</v>
      </c>
      <c r="AB340" s="106">
        <f t="shared" si="2056"/>
        <v>2</v>
      </c>
      <c r="AC340" s="107">
        <f t="shared" si="2056"/>
        <v>0</v>
      </c>
      <c r="AD340" s="108">
        <f t="shared" si="2056"/>
        <v>0</v>
      </c>
      <c r="AE340" s="108">
        <f t="shared" si="2056"/>
        <v>0</v>
      </c>
      <c r="AF340" s="108">
        <f t="shared" si="2056"/>
        <v>0</v>
      </c>
      <c r="AG340" s="109">
        <f t="shared" si="2057"/>
        <v>0</v>
      </c>
      <c r="AH340" s="107">
        <f t="shared" ref="AH340:AJ340" si="2058">RANDBETWEEN(1,10)</f>
        <v>9</v>
      </c>
      <c r="AI340" s="108">
        <f t="shared" si="2058"/>
        <v>3</v>
      </c>
      <c r="AJ340" s="108">
        <f t="shared" si="2058"/>
        <v>4</v>
      </c>
      <c r="AK340" s="110">
        <f t="shared" si="2059"/>
        <v>16</v>
      </c>
      <c r="AL340" s="107"/>
      <c r="AM340" s="108"/>
      <c r="AN340" s="108"/>
      <c r="AO340" s="108"/>
      <c r="AP340" s="111"/>
      <c r="AQ340" s="107"/>
      <c r="AR340" s="108"/>
      <c r="AS340" s="108"/>
      <c r="AT340" s="112"/>
      <c r="AU340" s="107"/>
      <c r="AV340" s="108"/>
      <c r="AW340" s="108"/>
      <c r="AX340" s="113"/>
      <c r="AY340" s="92">
        <f t="shared" ref="AY340:AZ340" si="2060">RANDBETWEEN(1,10)/10</f>
        <v>1</v>
      </c>
      <c r="AZ340" s="92">
        <f t="shared" si="2060"/>
        <v>0.3</v>
      </c>
      <c r="BA340" s="93">
        <v>0.0</v>
      </c>
      <c r="BB340" s="93">
        <v>0.0</v>
      </c>
      <c r="BC340" s="94">
        <f>SUM(BC312,'ГОЧ'!$AY340)</f>
        <v>1206.2</v>
      </c>
      <c r="BD340" s="94">
        <f>SUM(BD312,'ГОЧ'!$AZ340)</f>
        <v>1206.6</v>
      </c>
      <c r="BE340" s="108"/>
      <c r="BF340" s="108"/>
    </row>
    <row r="341" ht="15.75" customHeight="1">
      <c r="A341" s="67">
        <f t="shared" si="2047"/>
        <v>46266</v>
      </c>
      <c r="B341" s="114" t="s">
        <v>12</v>
      </c>
      <c r="C341" s="115">
        <f t="shared" si="2048"/>
        <v>0</v>
      </c>
      <c r="D341" s="115">
        <v>0.0</v>
      </c>
      <c r="E341" s="116">
        <v>0.0</v>
      </c>
      <c r="F341" s="116">
        <v>0.0</v>
      </c>
      <c r="G341" s="116">
        <v>0.0</v>
      </c>
      <c r="H341" s="115">
        <v>0.0</v>
      </c>
      <c r="I341" s="116">
        <v>0.0</v>
      </c>
      <c r="J341" s="115">
        <v>0.0</v>
      </c>
      <c r="K341" s="116">
        <v>0.0</v>
      </c>
      <c r="L341" s="116">
        <v>0.0</v>
      </c>
      <c r="M341" s="115">
        <f t="shared" si="2050"/>
        <v>0</v>
      </c>
      <c r="N341" s="115">
        <v>0.0</v>
      </c>
      <c r="O341" s="116">
        <v>0.0</v>
      </c>
      <c r="P341" s="116">
        <v>0.0</v>
      </c>
      <c r="Q341" s="116">
        <v>0.0</v>
      </c>
      <c r="R341" s="116">
        <v>0.0</v>
      </c>
      <c r="S341" s="116">
        <v>0.0</v>
      </c>
      <c r="T341" s="116">
        <v>0.0</v>
      </c>
      <c r="U341" s="115">
        <v>0.0</v>
      </c>
      <c r="V341" s="115">
        <f t="shared" si="2053"/>
        <v>0</v>
      </c>
      <c r="W341" s="116">
        <v>0.0</v>
      </c>
      <c r="X341" s="116">
        <v>0.0</v>
      </c>
      <c r="Y341" s="116">
        <v>0.0</v>
      </c>
      <c r="Z341" s="116">
        <f t="shared" si="2055"/>
        <v>0</v>
      </c>
      <c r="AA341" s="116">
        <v>0.0</v>
      </c>
      <c r="AB341" s="116">
        <v>0.0</v>
      </c>
      <c r="AC341" s="117">
        <v>0.0</v>
      </c>
      <c r="AD341" s="118">
        <v>0.0</v>
      </c>
      <c r="AE341" s="118">
        <v>0.0</v>
      </c>
      <c r="AF341" s="118">
        <v>0.0</v>
      </c>
      <c r="AG341" s="119">
        <f t="shared" si="2057"/>
        <v>0</v>
      </c>
      <c r="AH341" s="117">
        <v>0.0</v>
      </c>
      <c r="AI341" s="118">
        <v>0.0</v>
      </c>
      <c r="AJ341" s="118">
        <v>0.0</v>
      </c>
      <c r="AK341" s="119">
        <f t="shared" si="2059"/>
        <v>0</v>
      </c>
      <c r="AL341" s="117"/>
      <c r="AM341" s="118"/>
      <c r="AN341" s="118"/>
      <c r="AO341" s="118"/>
      <c r="AP341" s="111"/>
      <c r="AQ341" s="117"/>
      <c r="AR341" s="118"/>
      <c r="AS341" s="118"/>
      <c r="AT341" s="120"/>
      <c r="AU341" s="117"/>
      <c r="AV341" s="118"/>
      <c r="AW341" s="118"/>
      <c r="AX341" s="121"/>
      <c r="AY341" s="122">
        <f t="shared" ref="AY341:BD341" si="2061">SUM(AY339:AY340)</f>
        <v>1.5</v>
      </c>
      <c r="AZ341" s="122">
        <f t="shared" si="2061"/>
        <v>1.3</v>
      </c>
      <c r="BA341" s="118">
        <f t="shared" si="2061"/>
        <v>0</v>
      </c>
      <c r="BB341" s="118">
        <f t="shared" si="2061"/>
        <v>0</v>
      </c>
      <c r="BC341" s="123">
        <f t="shared" si="2061"/>
        <v>2414.9</v>
      </c>
      <c r="BD341" s="123">
        <f t="shared" si="2061"/>
        <v>2415.8</v>
      </c>
      <c r="BE341" s="118"/>
      <c r="BF341" s="118"/>
    </row>
    <row r="342" ht="15.75" customHeight="1">
      <c r="A342" s="67">
        <f t="shared" si="2047"/>
        <v>46266</v>
      </c>
      <c r="B342" s="124" t="s">
        <v>14</v>
      </c>
      <c r="C342" s="96">
        <f t="shared" si="2048"/>
        <v>1</v>
      </c>
      <c r="D342" s="125">
        <f t="shared" ref="D342:L342" si="2062">RANDBETWEEN(0,2)</f>
        <v>1</v>
      </c>
      <c r="E342" s="125">
        <f t="shared" si="2062"/>
        <v>1</v>
      </c>
      <c r="F342" s="125">
        <f t="shared" si="2062"/>
        <v>0</v>
      </c>
      <c r="G342" s="125">
        <f t="shared" si="2062"/>
        <v>0</v>
      </c>
      <c r="H342" s="126">
        <f t="shared" si="2062"/>
        <v>2</v>
      </c>
      <c r="I342" s="127">
        <f t="shared" si="2062"/>
        <v>2</v>
      </c>
      <c r="J342" s="128">
        <f t="shared" si="2062"/>
        <v>0</v>
      </c>
      <c r="K342" s="130">
        <f t="shared" si="2062"/>
        <v>0</v>
      </c>
      <c r="L342" s="130">
        <f t="shared" si="2062"/>
        <v>0</v>
      </c>
      <c r="M342" s="102">
        <f t="shared" si="2050"/>
        <v>44</v>
      </c>
      <c r="N342" s="125">
        <f t="shared" ref="N342:T342" si="2063">RANDBETWEEN(0,10)</f>
        <v>10</v>
      </c>
      <c r="O342" s="125">
        <f t="shared" si="2063"/>
        <v>5</v>
      </c>
      <c r="P342" s="125">
        <f t="shared" si="2063"/>
        <v>6</v>
      </c>
      <c r="Q342" s="125">
        <f t="shared" si="2063"/>
        <v>8</v>
      </c>
      <c r="R342" s="125">
        <f t="shared" si="2063"/>
        <v>9</v>
      </c>
      <c r="S342" s="125">
        <f t="shared" si="2063"/>
        <v>1</v>
      </c>
      <c r="T342" s="125">
        <f t="shared" si="2063"/>
        <v>5</v>
      </c>
      <c r="U342" s="103">
        <f t="shared" ref="U342:U343" si="2070">RANDBETWEEN(10,30)</f>
        <v>24</v>
      </c>
      <c r="V342" s="131">
        <f t="shared" si="2053"/>
        <v>2</v>
      </c>
      <c r="W342" s="125">
        <f t="shared" ref="W342:Y342" si="2064">RANDBETWEEN(0,2)</f>
        <v>0</v>
      </c>
      <c r="X342" s="125">
        <f t="shared" si="2064"/>
        <v>1</v>
      </c>
      <c r="Y342" s="125">
        <f t="shared" si="2064"/>
        <v>1</v>
      </c>
      <c r="Z342" s="132">
        <f t="shared" ref="Z342:Z345" si="2072">SUM(AA342:AB342)</f>
        <v>3</v>
      </c>
      <c r="AA342" s="133">
        <f t="shared" ref="AA342:AF342" si="2065">RANDBETWEEN(0,2)</f>
        <v>1</v>
      </c>
      <c r="AB342" s="133">
        <f t="shared" si="2065"/>
        <v>2</v>
      </c>
      <c r="AC342" s="134">
        <f t="shared" si="2065"/>
        <v>0</v>
      </c>
      <c r="AD342" s="134">
        <f t="shared" si="2065"/>
        <v>1</v>
      </c>
      <c r="AE342" s="134">
        <f t="shared" si="2065"/>
        <v>0</v>
      </c>
      <c r="AF342" s="134">
        <f t="shared" si="2065"/>
        <v>2</v>
      </c>
      <c r="AG342" s="135">
        <f t="shared" si="2057"/>
        <v>3</v>
      </c>
      <c r="AH342" s="136">
        <f t="shared" ref="AH342:AJ342" si="2066">RANDBETWEEN(1,10)</f>
        <v>4</v>
      </c>
      <c r="AI342" s="134">
        <f t="shared" si="2066"/>
        <v>6</v>
      </c>
      <c r="AJ342" s="134">
        <f t="shared" si="2066"/>
        <v>10</v>
      </c>
      <c r="AK342" s="137">
        <f t="shared" si="2059"/>
        <v>20</v>
      </c>
      <c r="AL342" s="134"/>
      <c r="AM342" s="134"/>
      <c r="AN342" s="134"/>
      <c r="AO342" s="134"/>
      <c r="AP342" s="111"/>
      <c r="AQ342" s="136"/>
      <c r="AR342" s="134"/>
      <c r="AS342" s="134"/>
      <c r="AT342" s="120"/>
      <c r="AU342" s="136"/>
      <c r="AV342" s="134"/>
      <c r="AW342" s="134"/>
      <c r="AX342" s="121"/>
      <c r="AY342" s="92">
        <f t="shared" ref="AY342:AZ342" si="2067">RANDBETWEEN(1,10)/10</f>
        <v>0.2</v>
      </c>
      <c r="AZ342" s="92">
        <f t="shared" si="2067"/>
        <v>0.2</v>
      </c>
      <c r="BA342" s="93">
        <v>0.0</v>
      </c>
      <c r="BB342" s="93">
        <v>0.0</v>
      </c>
      <c r="BC342" s="94">
        <f>SUM(BC314,'ГОЧ'!$AY342)</f>
        <v>1205.2</v>
      </c>
      <c r="BD342" s="94">
        <f>SUM(BD314,'ГОЧ'!$AZ342)</f>
        <v>1205.5</v>
      </c>
      <c r="BE342" s="108"/>
      <c r="BF342" s="108"/>
    </row>
    <row r="343" ht="15.75" customHeight="1">
      <c r="A343" s="67">
        <f t="shared" si="2047"/>
        <v>46266</v>
      </c>
      <c r="B343" s="138" t="s">
        <v>16</v>
      </c>
      <c r="C343" s="139">
        <f t="shared" si="2048"/>
        <v>1</v>
      </c>
      <c r="D343" s="97">
        <f t="shared" ref="D343:L343" si="2068">RANDBETWEEN(0,2)</f>
        <v>0</v>
      </c>
      <c r="E343" s="97">
        <f t="shared" si="2068"/>
        <v>0</v>
      </c>
      <c r="F343" s="97">
        <f t="shared" si="2068"/>
        <v>1</v>
      </c>
      <c r="G343" s="97">
        <f t="shared" si="2068"/>
        <v>2</v>
      </c>
      <c r="H343" s="98">
        <f t="shared" si="2068"/>
        <v>1</v>
      </c>
      <c r="I343" s="99">
        <f t="shared" si="2068"/>
        <v>0</v>
      </c>
      <c r="J343" s="100">
        <f t="shared" si="2068"/>
        <v>1</v>
      </c>
      <c r="K343" s="101">
        <f t="shared" si="2068"/>
        <v>2</v>
      </c>
      <c r="L343" s="101">
        <f t="shared" si="2068"/>
        <v>0</v>
      </c>
      <c r="M343" s="140">
        <f t="shared" si="2050"/>
        <v>41</v>
      </c>
      <c r="N343" s="97">
        <f t="shared" ref="N343:T343" si="2069">RANDBETWEEN(0,10)</f>
        <v>4</v>
      </c>
      <c r="O343" s="97">
        <f t="shared" si="2069"/>
        <v>9</v>
      </c>
      <c r="P343" s="97">
        <f t="shared" si="2069"/>
        <v>8</v>
      </c>
      <c r="Q343" s="97">
        <f t="shared" si="2069"/>
        <v>5</v>
      </c>
      <c r="R343" s="97">
        <f t="shared" si="2069"/>
        <v>10</v>
      </c>
      <c r="S343" s="97">
        <f t="shared" si="2069"/>
        <v>2</v>
      </c>
      <c r="T343" s="97">
        <f t="shared" si="2069"/>
        <v>3</v>
      </c>
      <c r="U343" s="103">
        <f t="shared" si="2070"/>
        <v>27</v>
      </c>
      <c r="V343" s="141">
        <f t="shared" si="2053"/>
        <v>1</v>
      </c>
      <c r="W343" s="97">
        <f t="shared" ref="W343:Y343" si="2071">RANDBETWEEN(0,2)</f>
        <v>1</v>
      </c>
      <c r="X343" s="97">
        <f t="shared" si="2071"/>
        <v>0</v>
      </c>
      <c r="Y343" s="97">
        <f t="shared" si="2071"/>
        <v>0</v>
      </c>
      <c r="Z343" s="142">
        <f t="shared" si="2072"/>
        <v>2</v>
      </c>
      <c r="AA343" s="143">
        <f t="shared" ref="AA343:AF343" si="2073">RANDBETWEEN(0,2)</f>
        <v>0</v>
      </c>
      <c r="AB343" s="143">
        <f t="shared" si="2073"/>
        <v>2</v>
      </c>
      <c r="AC343" s="144">
        <f t="shared" si="2073"/>
        <v>0</v>
      </c>
      <c r="AD343" s="145">
        <f t="shared" si="2073"/>
        <v>1</v>
      </c>
      <c r="AE343" s="145">
        <f t="shared" si="2073"/>
        <v>2</v>
      </c>
      <c r="AF343" s="145">
        <f t="shared" si="2073"/>
        <v>2</v>
      </c>
      <c r="AG343" s="146">
        <f t="shared" si="2057"/>
        <v>5</v>
      </c>
      <c r="AH343" s="144">
        <f t="shared" ref="AH343:AJ343" si="2074">RANDBETWEEN(1,10)</f>
        <v>1</v>
      </c>
      <c r="AI343" s="145">
        <f t="shared" si="2074"/>
        <v>3</v>
      </c>
      <c r="AJ343" s="145">
        <f t="shared" si="2074"/>
        <v>3</v>
      </c>
      <c r="AK343" s="147">
        <f t="shared" si="2059"/>
        <v>7</v>
      </c>
      <c r="AL343" s="144"/>
      <c r="AM343" s="145"/>
      <c r="AN343" s="145"/>
      <c r="AO343" s="145"/>
      <c r="AP343" s="148"/>
      <c r="AQ343" s="144"/>
      <c r="AR343" s="145"/>
      <c r="AS343" s="145"/>
      <c r="AT343" s="149"/>
      <c r="AU343" s="144"/>
      <c r="AV343" s="145"/>
      <c r="AW343" s="145"/>
      <c r="AX343" s="150"/>
      <c r="AY343" s="92">
        <f t="shared" ref="AY343:AZ343" si="2075">RANDBETWEEN(1,10)/10</f>
        <v>1</v>
      </c>
      <c r="AZ343" s="92">
        <f t="shared" si="2075"/>
        <v>0.7</v>
      </c>
      <c r="BA343" s="93">
        <v>0.0</v>
      </c>
      <c r="BB343" s="93">
        <v>0.0</v>
      </c>
      <c r="BC343" s="94">
        <f>SUM(BC315,'ГОЧ'!$AY343)</f>
        <v>1206</v>
      </c>
      <c r="BD343" s="94">
        <f>SUM(BD315,'ГОЧ'!$AZ343)</f>
        <v>1206.5</v>
      </c>
      <c r="BE343" s="108"/>
      <c r="BF343" s="108"/>
    </row>
    <row r="344" ht="15.75" customHeight="1">
      <c r="A344" s="67">
        <f t="shared" si="2047"/>
        <v>46266</v>
      </c>
      <c r="B344" s="114" t="s">
        <v>18</v>
      </c>
      <c r="C344" s="115">
        <f t="shared" si="2048"/>
        <v>2</v>
      </c>
      <c r="D344" s="115">
        <f t="shared" ref="D344:L344" si="2076">SUM(D342:D343)</f>
        <v>1</v>
      </c>
      <c r="E344" s="116">
        <f t="shared" si="2076"/>
        <v>1</v>
      </c>
      <c r="F344" s="116">
        <f t="shared" si="2076"/>
        <v>1</v>
      </c>
      <c r="G344" s="116">
        <f t="shared" si="2076"/>
        <v>2</v>
      </c>
      <c r="H344" s="115">
        <f t="shared" si="2076"/>
        <v>3</v>
      </c>
      <c r="I344" s="116">
        <f t="shared" si="2076"/>
        <v>2</v>
      </c>
      <c r="J344" s="115">
        <f t="shared" si="2076"/>
        <v>1</v>
      </c>
      <c r="K344" s="116">
        <f t="shared" si="2076"/>
        <v>2</v>
      </c>
      <c r="L344" s="116">
        <f t="shared" si="2076"/>
        <v>0</v>
      </c>
      <c r="M344" s="115">
        <f t="shared" si="2050"/>
        <v>66</v>
      </c>
      <c r="N344" s="115">
        <f t="shared" ref="N344:Q344" si="2077">SUM(N342:N343)</f>
        <v>14</v>
      </c>
      <c r="O344" s="116">
        <f t="shared" si="2077"/>
        <v>14</v>
      </c>
      <c r="P344" s="116">
        <f t="shared" si="2077"/>
        <v>14</v>
      </c>
      <c r="Q344" s="116">
        <f t="shared" si="2077"/>
        <v>13</v>
      </c>
      <c r="R344" s="116">
        <v>0.0</v>
      </c>
      <c r="S344" s="116">
        <f t="shared" ref="S344:U344" si="2078">SUM(S342:S343)</f>
        <v>3</v>
      </c>
      <c r="T344" s="116">
        <f t="shared" si="2078"/>
        <v>8</v>
      </c>
      <c r="U344" s="115">
        <f t="shared" si="2078"/>
        <v>51</v>
      </c>
      <c r="V344" s="115">
        <f t="shared" si="2053"/>
        <v>3</v>
      </c>
      <c r="W344" s="116">
        <f t="shared" ref="W344:Y344" si="2079">SUM(W342:W343)</f>
        <v>1</v>
      </c>
      <c r="X344" s="116">
        <f t="shared" si="2079"/>
        <v>1</v>
      </c>
      <c r="Y344" s="116">
        <f t="shared" si="2079"/>
        <v>1</v>
      </c>
      <c r="Z344" s="116">
        <f t="shared" si="2072"/>
        <v>5</v>
      </c>
      <c r="AA344" s="116">
        <f t="shared" ref="AA344:AF344" si="2080">SUM(AA342:AA343)</f>
        <v>1</v>
      </c>
      <c r="AB344" s="116">
        <f t="shared" si="2080"/>
        <v>4</v>
      </c>
      <c r="AC344" s="118">
        <f t="shared" si="2080"/>
        <v>0</v>
      </c>
      <c r="AD344" s="118">
        <f t="shared" si="2080"/>
        <v>2</v>
      </c>
      <c r="AE344" s="118">
        <f t="shared" si="2080"/>
        <v>2</v>
      </c>
      <c r="AF344" s="118">
        <f t="shared" si="2080"/>
        <v>4</v>
      </c>
      <c r="AG344" s="117">
        <f t="shared" si="2057"/>
        <v>8</v>
      </c>
      <c r="AH344" s="117">
        <f t="shared" ref="AH344:AJ344" si="2081">SUM(AH342:AH343)</f>
        <v>5</v>
      </c>
      <c r="AI344" s="118">
        <f t="shared" si="2081"/>
        <v>9</v>
      </c>
      <c r="AJ344" s="118">
        <f t="shared" si="2081"/>
        <v>13</v>
      </c>
      <c r="AK344" s="117">
        <f t="shared" si="2059"/>
        <v>27</v>
      </c>
      <c r="AL344" s="118"/>
      <c r="AM344" s="118"/>
      <c r="AN344" s="118"/>
      <c r="AO344" s="118"/>
      <c r="AP344" s="151"/>
      <c r="AQ344" s="117"/>
      <c r="AR344" s="118"/>
      <c r="AS344" s="118"/>
      <c r="AT344" s="152"/>
      <c r="AU344" s="117"/>
      <c r="AV344" s="118"/>
      <c r="AW344" s="118"/>
      <c r="AX344" s="153"/>
      <c r="AY344" s="122">
        <f t="shared" ref="AY344:BD344" si="2082">SUM(AY342:AY343)</f>
        <v>1.2</v>
      </c>
      <c r="AZ344" s="122">
        <f t="shared" si="2082"/>
        <v>0.9</v>
      </c>
      <c r="BA344" s="118">
        <f t="shared" si="2082"/>
        <v>0</v>
      </c>
      <c r="BB344" s="118">
        <f t="shared" si="2082"/>
        <v>0</v>
      </c>
      <c r="BC344" s="123">
        <f t="shared" si="2082"/>
        <v>2411.2</v>
      </c>
      <c r="BD344" s="123">
        <f t="shared" si="2082"/>
        <v>2412</v>
      </c>
      <c r="BE344" s="154" t="str">
        <f t="shared" ref="BE344:BF344" si="2083">TEXTJOIN(", ",TRUE,BE342:BE343)</f>
        <v/>
      </c>
      <c r="BF344" s="154" t="str">
        <f t="shared" si="2083"/>
        <v/>
      </c>
    </row>
    <row r="345" ht="15.75" customHeight="1">
      <c r="A345" s="67">
        <f t="shared" si="2047"/>
        <v>46266</v>
      </c>
      <c r="B345" s="114" t="s">
        <v>20</v>
      </c>
      <c r="C345" s="115">
        <f t="shared" si="2048"/>
        <v>5</v>
      </c>
      <c r="D345" s="115">
        <v>3.0</v>
      </c>
      <c r="E345" s="116">
        <v>0.0</v>
      </c>
      <c r="F345" s="116">
        <v>2.0</v>
      </c>
      <c r="G345" s="116">
        <v>2.0</v>
      </c>
      <c r="H345" s="115">
        <v>0.0</v>
      </c>
      <c r="I345" s="116">
        <v>0.0</v>
      </c>
      <c r="J345" s="115">
        <v>1.0</v>
      </c>
      <c r="K345" s="116">
        <v>1.0</v>
      </c>
      <c r="L345" s="116">
        <v>0.0</v>
      </c>
      <c r="M345" s="115">
        <f t="shared" si="2050"/>
        <v>38</v>
      </c>
      <c r="N345" s="115">
        <v>0.0</v>
      </c>
      <c r="O345" s="116">
        <v>0.0</v>
      </c>
      <c r="P345" s="116">
        <v>0.0</v>
      </c>
      <c r="Q345" s="116">
        <v>9.0</v>
      </c>
      <c r="R345" s="116">
        <v>0.0</v>
      </c>
      <c r="S345" s="116">
        <v>0.0</v>
      </c>
      <c r="T345" s="116">
        <v>29.0</v>
      </c>
      <c r="U345" s="115">
        <v>7.0</v>
      </c>
      <c r="V345" s="115">
        <f t="shared" ref="V345:V364" si="2087">W345+X345+Y345</f>
        <v>0</v>
      </c>
      <c r="W345" s="116">
        <v>0.0</v>
      </c>
      <c r="X345" s="116">
        <v>0.0</v>
      </c>
      <c r="Y345" s="116">
        <v>0.0</v>
      </c>
      <c r="Z345" s="116">
        <f t="shared" si="2072"/>
        <v>0</v>
      </c>
      <c r="AA345" s="116">
        <v>0.0</v>
      </c>
      <c r="AB345" s="116">
        <v>0.0</v>
      </c>
      <c r="AC345" s="117">
        <v>0.0</v>
      </c>
      <c r="AD345" s="118">
        <v>1.0</v>
      </c>
      <c r="AE345" s="118">
        <v>0.0</v>
      </c>
      <c r="AF345" s="118">
        <v>0.0</v>
      </c>
      <c r="AG345" s="119">
        <f t="shared" si="2057"/>
        <v>1</v>
      </c>
      <c r="AH345" s="117">
        <v>6.0</v>
      </c>
      <c r="AI345" s="118">
        <v>5.0</v>
      </c>
      <c r="AJ345" s="118">
        <v>0.0</v>
      </c>
      <c r="AK345" s="119">
        <f t="shared" si="2059"/>
        <v>11</v>
      </c>
      <c r="AL345" s="117"/>
      <c r="AM345" s="118"/>
      <c r="AN345" s="118"/>
      <c r="AO345" s="118"/>
      <c r="AP345" s="111"/>
      <c r="AQ345" s="117"/>
      <c r="AR345" s="118"/>
      <c r="AS345" s="118"/>
      <c r="AT345" s="120"/>
      <c r="AU345" s="117"/>
      <c r="AV345" s="118"/>
      <c r="AW345" s="118"/>
      <c r="AX345" s="121"/>
      <c r="AY345" s="122">
        <f t="shared" ref="AY345:AZ345" si="2084">RANDBETWEEN(1,10)</f>
        <v>6</v>
      </c>
      <c r="AZ345" s="122">
        <f t="shared" si="2084"/>
        <v>1</v>
      </c>
      <c r="BA345" s="118">
        <v>2.0</v>
      </c>
      <c r="BB345" s="118">
        <v>0.0</v>
      </c>
      <c r="BC345" s="123">
        <v>1.0</v>
      </c>
      <c r="BD345" s="123">
        <v>2.0</v>
      </c>
      <c r="BE345" s="118" t="s">
        <v>157</v>
      </c>
      <c r="BF345" s="118"/>
    </row>
    <row r="346" ht="15.75" customHeight="1">
      <c r="A346" s="67">
        <f t="shared" si="2047"/>
        <v>46266</v>
      </c>
      <c r="B346" s="124" t="s">
        <v>21</v>
      </c>
      <c r="C346" s="155">
        <f t="shared" si="2048"/>
        <v>2</v>
      </c>
      <c r="D346" s="125">
        <f t="shared" ref="D346:L346" si="2085">RANDBETWEEN(0,2)</f>
        <v>1</v>
      </c>
      <c r="E346" s="125">
        <f t="shared" si="2085"/>
        <v>1</v>
      </c>
      <c r="F346" s="125">
        <f t="shared" si="2085"/>
        <v>1</v>
      </c>
      <c r="G346" s="125">
        <f t="shared" si="2085"/>
        <v>2</v>
      </c>
      <c r="H346" s="126">
        <f t="shared" si="2085"/>
        <v>1</v>
      </c>
      <c r="I346" s="127">
        <f t="shared" si="2085"/>
        <v>0</v>
      </c>
      <c r="J346" s="128">
        <f t="shared" si="2085"/>
        <v>0</v>
      </c>
      <c r="K346" s="130">
        <f t="shared" si="2085"/>
        <v>2</v>
      </c>
      <c r="L346" s="130">
        <f t="shared" si="2085"/>
        <v>2</v>
      </c>
      <c r="M346" s="102">
        <f t="shared" si="2050"/>
        <v>48</v>
      </c>
      <c r="N346" s="125">
        <f t="shared" ref="N346:T346" si="2086">RANDBETWEEN(0,10)</f>
        <v>6</v>
      </c>
      <c r="O346" s="125">
        <f t="shared" si="2086"/>
        <v>10</v>
      </c>
      <c r="P346" s="125">
        <f t="shared" si="2086"/>
        <v>9</v>
      </c>
      <c r="Q346" s="125">
        <f t="shared" si="2086"/>
        <v>7</v>
      </c>
      <c r="R346" s="125">
        <f t="shared" si="2086"/>
        <v>7</v>
      </c>
      <c r="S346" s="125">
        <f t="shared" si="2086"/>
        <v>8</v>
      </c>
      <c r="T346" s="125">
        <f t="shared" si="2086"/>
        <v>1</v>
      </c>
      <c r="U346" s="103">
        <f t="shared" ref="U346:U350" si="2094">RANDBETWEEN(10,30)</f>
        <v>13</v>
      </c>
      <c r="V346" s="104">
        <f t="shared" si="2087"/>
        <v>6</v>
      </c>
      <c r="W346" s="125">
        <f t="shared" ref="W346:Y346" si="2088">RANDBETWEEN(0,2)</f>
        <v>2</v>
      </c>
      <c r="X346" s="125">
        <f t="shared" si="2088"/>
        <v>2</v>
      </c>
      <c r="Y346" s="125">
        <f t="shared" si="2088"/>
        <v>2</v>
      </c>
      <c r="Z346" s="105">
        <f t="shared" ref="Z346:Z363" si="2096">AA346+AB346</f>
        <v>3</v>
      </c>
      <c r="AA346" s="133">
        <f t="shared" ref="AA346:AF346" si="2089">RANDBETWEEN(0,2)</f>
        <v>2</v>
      </c>
      <c r="AB346" s="133">
        <f t="shared" si="2089"/>
        <v>1</v>
      </c>
      <c r="AC346" s="136">
        <f t="shared" si="2089"/>
        <v>2</v>
      </c>
      <c r="AD346" s="134">
        <f t="shared" si="2089"/>
        <v>1</v>
      </c>
      <c r="AE346" s="134">
        <f t="shared" si="2089"/>
        <v>0</v>
      </c>
      <c r="AF346" s="134">
        <f t="shared" si="2089"/>
        <v>1</v>
      </c>
      <c r="AG346" s="156">
        <f t="shared" si="2057"/>
        <v>4</v>
      </c>
      <c r="AH346" s="136">
        <f t="shared" ref="AH346:AJ346" si="2090">RANDBETWEEN(1,10)</f>
        <v>1</v>
      </c>
      <c r="AI346" s="134">
        <f t="shared" si="2090"/>
        <v>4</v>
      </c>
      <c r="AJ346" s="134">
        <f t="shared" si="2090"/>
        <v>7</v>
      </c>
      <c r="AK346" s="137">
        <f t="shared" si="2059"/>
        <v>12</v>
      </c>
      <c r="AL346" s="136"/>
      <c r="AM346" s="134"/>
      <c r="AN346" s="134"/>
      <c r="AO346" s="134"/>
      <c r="AP346" s="111"/>
      <c r="AQ346" s="136"/>
      <c r="AR346" s="134"/>
      <c r="AS346" s="134"/>
      <c r="AT346" s="120"/>
      <c r="AU346" s="136"/>
      <c r="AV346" s="134"/>
      <c r="AW346" s="134"/>
      <c r="AX346" s="121"/>
      <c r="AY346" s="92">
        <f t="shared" ref="AY346:AZ346" si="2091">RANDBETWEEN(1,10)/10</f>
        <v>0.9</v>
      </c>
      <c r="AZ346" s="92">
        <f t="shared" si="2091"/>
        <v>0.2</v>
      </c>
      <c r="BA346" s="93">
        <v>1.0</v>
      </c>
      <c r="BB346" s="93">
        <v>0.0</v>
      </c>
      <c r="BC346" s="94">
        <f>SUM(BC318,'ГОЧ'!$AY346)</f>
        <v>1208.1</v>
      </c>
      <c r="BD346" s="94">
        <f>SUM(BD318,'ГОЧ'!$AZ346)</f>
        <v>1206.2</v>
      </c>
      <c r="BE346" s="108" t="s">
        <v>162</v>
      </c>
      <c r="BF346" s="108"/>
    </row>
    <row r="347" ht="15.75" customHeight="1">
      <c r="A347" s="67">
        <f t="shared" si="2047"/>
        <v>46266</v>
      </c>
      <c r="B347" s="138" t="s">
        <v>23</v>
      </c>
      <c r="C347" s="157">
        <f t="shared" si="2048"/>
        <v>2</v>
      </c>
      <c r="D347" s="97">
        <f t="shared" ref="D347:L347" si="2092">RANDBETWEEN(0,2)</f>
        <v>1</v>
      </c>
      <c r="E347" s="97">
        <f t="shared" si="2092"/>
        <v>0</v>
      </c>
      <c r="F347" s="97">
        <f t="shared" si="2092"/>
        <v>1</v>
      </c>
      <c r="G347" s="97">
        <f t="shared" si="2092"/>
        <v>0</v>
      </c>
      <c r="H347" s="98">
        <f t="shared" si="2092"/>
        <v>2</v>
      </c>
      <c r="I347" s="99">
        <f t="shared" si="2092"/>
        <v>2</v>
      </c>
      <c r="J347" s="100">
        <f t="shared" si="2092"/>
        <v>0</v>
      </c>
      <c r="K347" s="101">
        <f t="shared" si="2092"/>
        <v>1</v>
      </c>
      <c r="L347" s="101">
        <f t="shared" si="2092"/>
        <v>1</v>
      </c>
      <c r="M347" s="140">
        <f t="shared" si="2050"/>
        <v>38</v>
      </c>
      <c r="N347" s="97">
        <f t="shared" ref="N347:T347" si="2093">RANDBETWEEN(0,10)</f>
        <v>9</v>
      </c>
      <c r="O347" s="97">
        <f t="shared" si="2093"/>
        <v>5</v>
      </c>
      <c r="P347" s="97">
        <f t="shared" si="2093"/>
        <v>0</v>
      </c>
      <c r="Q347" s="97">
        <f t="shared" si="2093"/>
        <v>1</v>
      </c>
      <c r="R347" s="97">
        <f t="shared" si="2093"/>
        <v>9</v>
      </c>
      <c r="S347" s="97">
        <f t="shared" si="2093"/>
        <v>10</v>
      </c>
      <c r="T347" s="97">
        <f t="shared" si="2093"/>
        <v>4</v>
      </c>
      <c r="U347" s="103">
        <f t="shared" si="2094"/>
        <v>19</v>
      </c>
      <c r="V347" s="158">
        <f t="shared" si="2087"/>
        <v>3</v>
      </c>
      <c r="W347" s="97">
        <f t="shared" ref="W347:Y347" si="2095">RANDBETWEEN(0,2)</f>
        <v>0</v>
      </c>
      <c r="X347" s="97">
        <f t="shared" si="2095"/>
        <v>1</v>
      </c>
      <c r="Y347" s="97">
        <f t="shared" si="2095"/>
        <v>2</v>
      </c>
      <c r="Z347" s="159">
        <f t="shared" si="2096"/>
        <v>1</v>
      </c>
      <c r="AA347" s="143">
        <f t="shared" ref="AA347:AF347" si="2097">RANDBETWEEN(0,2)</f>
        <v>1</v>
      </c>
      <c r="AB347" s="143">
        <f t="shared" si="2097"/>
        <v>0</v>
      </c>
      <c r="AC347" s="144">
        <f t="shared" si="2097"/>
        <v>0</v>
      </c>
      <c r="AD347" s="145">
        <f t="shared" si="2097"/>
        <v>1</v>
      </c>
      <c r="AE347" s="145">
        <f t="shared" si="2097"/>
        <v>2</v>
      </c>
      <c r="AF347" s="145">
        <f t="shared" si="2097"/>
        <v>0</v>
      </c>
      <c r="AG347" s="160">
        <f t="shared" si="2057"/>
        <v>3</v>
      </c>
      <c r="AH347" s="144">
        <f t="shared" ref="AH347:AJ347" si="2098">RANDBETWEEN(1,10)</f>
        <v>6</v>
      </c>
      <c r="AI347" s="145">
        <f t="shared" si="2098"/>
        <v>6</v>
      </c>
      <c r="AJ347" s="145">
        <f t="shared" si="2098"/>
        <v>7</v>
      </c>
      <c r="AK347" s="147">
        <f t="shared" si="2059"/>
        <v>19</v>
      </c>
      <c r="AL347" s="144"/>
      <c r="AM347" s="145"/>
      <c r="AN347" s="145"/>
      <c r="AO347" s="145"/>
      <c r="AP347" s="148"/>
      <c r="AQ347" s="144"/>
      <c r="AR347" s="145"/>
      <c r="AS347" s="145"/>
      <c r="AT347" s="149"/>
      <c r="AU347" s="144"/>
      <c r="AV347" s="145"/>
      <c r="AW347" s="145"/>
      <c r="AX347" s="150"/>
      <c r="AY347" s="92">
        <f t="shared" ref="AY347:AZ347" si="2099">RANDBETWEEN(1,10)/10</f>
        <v>0.2</v>
      </c>
      <c r="AZ347" s="92">
        <f t="shared" si="2099"/>
        <v>0.5</v>
      </c>
      <c r="BA347" s="93">
        <v>1.0</v>
      </c>
      <c r="BB347" s="93">
        <v>2.0</v>
      </c>
      <c r="BC347" s="94">
        <f>SUM(BC319,'ГОЧ'!$AY347)</f>
        <v>1208.1</v>
      </c>
      <c r="BD347" s="94">
        <f>SUM(BD319,'ГОЧ'!$AZ347)</f>
        <v>1207</v>
      </c>
      <c r="BE347" s="108" t="s">
        <v>165</v>
      </c>
      <c r="BF347" s="108" t="s">
        <v>166</v>
      </c>
    </row>
    <row r="348" ht="15.75" customHeight="1">
      <c r="A348" s="67">
        <f t="shared" si="2047"/>
        <v>46266</v>
      </c>
      <c r="B348" s="138" t="s">
        <v>25</v>
      </c>
      <c r="C348" s="157">
        <f t="shared" si="2048"/>
        <v>4</v>
      </c>
      <c r="D348" s="97">
        <f t="shared" ref="D348:L348" si="2100">RANDBETWEEN(0,2)</f>
        <v>2</v>
      </c>
      <c r="E348" s="97">
        <f t="shared" si="2100"/>
        <v>2</v>
      </c>
      <c r="F348" s="97">
        <f t="shared" si="2100"/>
        <v>2</v>
      </c>
      <c r="G348" s="97">
        <f t="shared" si="2100"/>
        <v>1</v>
      </c>
      <c r="H348" s="98">
        <f t="shared" si="2100"/>
        <v>1</v>
      </c>
      <c r="I348" s="99">
        <f t="shared" si="2100"/>
        <v>1</v>
      </c>
      <c r="J348" s="100">
        <f t="shared" si="2100"/>
        <v>1</v>
      </c>
      <c r="K348" s="101">
        <f t="shared" si="2100"/>
        <v>1</v>
      </c>
      <c r="L348" s="101">
        <f t="shared" si="2100"/>
        <v>2</v>
      </c>
      <c r="M348" s="140">
        <f t="shared" si="2050"/>
        <v>36</v>
      </c>
      <c r="N348" s="97">
        <f t="shared" ref="N348:T348" si="2101">RANDBETWEEN(0,10)</f>
        <v>1</v>
      </c>
      <c r="O348" s="97">
        <f t="shared" si="2101"/>
        <v>1</v>
      </c>
      <c r="P348" s="97">
        <f t="shared" si="2101"/>
        <v>4</v>
      </c>
      <c r="Q348" s="97">
        <f t="shared" si="2101"/>
        <v>7</v>
      </c>
      <c r="R348" s="97">
        <f t="shared" si="2101"/>
        <v>3</v>
      </c>
      <c r="S348" s="97">
        <f t="shared" si="2101"/>
        <v>10</v>
      </c>
      <c r="T348" s="97">
        <f t="shared" si="2101"/>
        <v>10</v>
      </c>
      <c r="U348" s="103">
        <f t="shared" si="2094"/>
        <v>12</v>
      </c>
      <c r="V348" s="158">
        <f t="shared" si="2087"/>
        <v>4</v>
      </c>
      <c r="W348" s="97">
        <f t="shared" ref="W348:Y348" si="2102">RANDBETWEEN(0,2)</f>
        <v>2</v>
      </c>
      <c r="X348" s="97">
        <f t="shared" si="2102"/>
        <v>0</v>
      </c>
      <c r="Y348" s="97">
        <f t="shared" si="2102"/>
        <v>2</v>
      </c>
      <c r="Z348" s="159">
        <f t="shared" si="2096"/>
        <v>3</v>
      </c>
      <c r="AA348" s="106">
        <f t="shared" ref="AA348:AF348" si="2103">RANDBETWEEN(0,2)</f>
        <v>1</v>
      </c>
      <c r="AB348" s="106">
        <f t="shared" si="2103"/>
        <v>2</v>
      </c>
      <c r="AC348" s="107">
        <f t="shared" si="2103"/>
        <v>2</v>
      </c>
      <c r="AD348" s="108">
        <f t="shared" si="2103"/>
        <v>1</v>
      </c>
      <c r="AE348" s="108">
        <f t="shared" si="2103"/>
        <v>2</v>
      </c>
      <c r="AF348" s="108">
        <f t="shared" si="2103"/>
        <v>1</v>
      </c>
      <c r="AG348" s="160">
        <f t="shared" si="2057"/>
        <v>6</v>
      </c>
      <c r="AH348" s="107">
        <f t="shared" ref="AH348:AJ348" si="2104">RANDBETWEEN(1,10)</f>
        <v>8</v>
      </c>
      <c r="AI348" s="108">
        <f t="shared" si="2104"/>
        <v>9</v>
      </c>
      <c r="AJ348" s="108">
        <f t="shared" si="2104"/>
        <v>9</v>
      </c>
      <c r="AK348" s="147">
        <f t="shared" si="2059"/>
        <v>26</v>
      </c>
      <c r="AL348" s="107"/>
      <c r="AM348" s="108"/>
      <c r="AN348" s="108"/>
      <c r="AO348" s="108"/>
      <c r="AP348" s="148"/>
      <c r="AQ348" s="107"/>
      <c r="AR348" s="108"/>
      <c r="AS348" s="108"/>
      <c r="AT348" s="149"/>
      <c r="AU348" s="107"/>
      <c r="AV348" s="108"/>
      <c r="AW348" s="108"/>
      <c r="AX348" s="150"/>
      <c r="AY348" s="92">
        <f t="shared" ref="AY348:AZ348" si="2105">RANDBETWEEN(1,10)/10</f>
        <v>0.2</v>
      </c>
      <c r="AZ348" s="92">
        <f t="shared" si="2105"/>
        <v>0.7</v>
      </c>
      <c r="BA348" s="93">
        <v>0.0</v>
      </c>
      <c r="BB348" s="93">
        <v>0.0</v>
      </c>
      <c r="BC348" s="94">
        <f>SUM(BC320,'ГОЧ'!$AY348)</f>
        <v>1206.8</v>
      </c>
      <c r="BD348" s="94">
        <f>SUM(BD320,'ГОЧ'!$AZ348)</f>
        <v>1205.8</v>
      </c>
      <c r="BE348" s="108"/>
      <c r="BF348" s="108"/>
    </row>
    <row r="349" ht="15.75" customHeight="1">
      <c r="A349" s="67">
        <f t="shared" si="2047"/>
        <v>46266</v>
      </c>
      <c r="B349" s="138" t="s">
        <v>26</v>
      </c>
      <c r="C349" s="157">
        <f t="shared" si="2048"/>
        <v>1</v>
      </c>
      <c r="D349" s="97">
        <f t="shared" ref="D349:L349" si="2106">RANDBETWEEN(0,2)</f>
        <v>0</v>
      </c>
      <c r="E349" s="97">
        <f t="shared" si="2106"/>
        <v>2</v>
      </c>
      <c r="F349" s="97">
        <f t="shared" si="2106"/>
        <v>1</v>
      </c>
      <c r="G349" s="97">
        <f t="shared" si="2106"/>
        <v>1</v>
      </c>
      <c r="H349" s="98">
        <f t="shared" si="2106"/>
        <v>1</v>
      </c>
      <c r="I349" s="99">
        <f t="shared" si="2106"/>
        <v>2</v>
      </c>
      <c r="J349" s="100">
        <f t="shared" si="2106"/>
        <v>2</v>
      </c>
      <c r="K349" s="101">
        <f t="shared" si="2106"/>
        <v>2</v>
      </c>
      <c r="L349" s="101">
        <f t="shared" si="2106"/>
        <v>2</v>
      </c>
      <c r="M349" s="140">
        <f t="shared" si="2050"/>
        <v>33</v>
      </c>
      <c r="N349" s="97">
        <f t="shared" ref="N349:T349" si="2107">RANDBETWEEN(0,10)</f>
        <v>0</v>
      </c>
      <c r="O349" s="97">
        <f t="shared" si="2107"/>
        <v>7</v>
      </c>
      <c r="P349" s="97">
        <f t="shared" si="2107"/>
        <v>2</v>
      </c>
      <c r="Q349" s="97">
        <f t="shared" si="2107"/>
        <v>9</v>
      </c>
      <c r="R349" s="97">
        <f t="shared" si="2107"/>
        <v>0</v>
      </c>
      <c r="S349" s="97">
        <f t="shared" si="2107"/>
        <v>10</v>
      </c>
      <c r="T349" s="97">
        <f t="shared" si="2107"/>
        <v>5</v>
      </c>
      <c r="U349" s="103">
        <f t="shared" si="2094"/>
        <v>20</v>
      </c>
      <c r="V349" s="158">
        <f t="shared" si="2087"/>
        <v>4</v>
      </c>
      <c r="W349" s="97">
        <f t="shared" ref="W349:Y349" si="2108">RANDBETWEEN(0,2)</f>
        <v>0</v>
      </c>
      <c r="X349" s="97">
        <f t="shared" si="2108"/>
        <v>2</v>
      </c>
      <c r="Y349" s="97">
        <f t="shared" si="2108"/>
        <v>2</v>
      </c>
      <c r="Z349" s="159">
        <f t="shared" si="2096"/>
        <v>2</v>
      </c>
      <c r="AA349" s="143">
        <f t="shared" ref="AA349:AF349" si="2109">RANDBETWEEN(0,2)</f>
        <v>1</v>
      </c>
      <c r="AB349" s="143">
        <f t="shared" si="2109"/>
        <v>1</v>
      </c>
      <c r="AC349" s="144">
        <f t="shared" si="2109"/>
        <v>2</v>
      </c>
      <c r="AD349" s="145">
        <f t="shared" si="2109"/>
        <v>2</v>
      </c>
      <c r="AE349" s="145">
        <f t="shared" si="2109"/>
        <v>0</v>
      </c>
      <c r="AF349" s="145">
        <f t="shared" si="2109"/>
        <v>0</v>
      </c>
      <c r="AG349" s="160">
        <f t="shared" si="2057"/>
        <v>4</v>
      </c>
      <c r="AH349" s="144">
        <f t="shared" ref="AH349:AJ349" si="2110">RANDBETWEEN(1,10)</f>
        <v>10</v>
      </c>
      <c r="AI349" s="145">
        <f t="shared" si="2110"/>
        <v>9</v>
      </c>
      <c r="AJ349" s="145">
        <f t="shared" si="2110"/>
        <v>6</v>
      </c>
      <c r="AK349" s="147">
        <f t="shared" si="2059"/>
        <v>25</v>
      </c>
      <c r="AL349" s="144"/>
      <c r="AM349" s="145"/>
      <c r="AN349" s="145"/>
      <c r="AO349" s="145"/>
      <c r="AP349" s="148"/>
      <c r="AQ349" s="144"/>
      <c r="AR349" s="145"/>
      <c r="AS349" s="145"/>
      <c r="AT349" s="149"/>
      <c r="AU349" s="144"/>
      <c r="AV349" s="145"/>
      <c r="AW349" s="145"/>
      <c r="AX349" s="150"/>
      <c r="AY349" s="92">
        <f t="shared" ref="AY349:AZ349" si="2111">RANDBETWEEN(1,10)/10</f>
        <v>0.2</v>
      </c>
      <c r="AZ349" s="92">
        <f t="shared" si="2111"/>
        <v>0.5</v>
      </c>
      <c r="BA349" s="93">
        <v>1.0</v>
      </c>
      <c r="BB349" s="93">
        <v>0.0</v>
      </c>
      <c r="BC349" s="94">
        <f>SUM(BC321,'ГОЧ'!$AY349)</f>
        <v>1205.5</v>
      </c>
      <c r="BD349" s="94">
        <f>SUM(BD321,'ГОЧ'!$AZ349)</f>
        <v>1206.7</v>
      </c>
      <c r="BE349" s="108" t="s">
        <v>167</v>
      </c>
      <c r="BF349" s="108"/>
    </row>
    <row r="350" ht="15.75" customHeight="1">
      <c r="A350" s="67">
        <f t="shared" si="2047"/>
        <v>46266</v>
      </c>
      <c r="B350" s="138" t="s">
        <v>28</v>
      </c>
      <c r="C350" s="157">
        <f t="shared" si="2048"/>
        <v>1</v>
      </c>
      <c r="D350" s="97">
        <f t="shared" ref="D350:L350" si="2112">RANDBETWEEN(0,2)</f>
        <v>1</v>
      </c>
      <c r="E350" s="97">
        <f t="shared" si="2112"/>
        <v>2</v>
      </c>
      <c r="F350" s="97">
        <f t="shared" si="2112"/>
        <v>0</v>
      </c>
      <c r="G350" s="97">
        <f t="shared" si="2112"/>
        <v>1</v>
      </c>
      <c r="H350" s="98">
        <f t="shared" si="2112"/>
        <v>2</v>
      </c>
      <c r="I350" s="99">
        <f t="shared" si="2112"/>
        <v>0</v>
      </c>
      <c r="J350" s="100">
        <f t="shared" si="2112"/>
        <v>1</v>
      </c>
      <c r="K350" s="101">
        <f t="shared" si="2112"/>
        <v>1</v>
      </c>
      <c r="L350" s="101">
        <f t="shared" si="2112"/>
        <v>1</v>
      </c>
      <c r="M350" s="140">
        <f t="shared" si="2050"/>
        <v>26</v>
      </c>
      <c r="N350" s="97">
        <f t="shared" ref="N350:T350" si="2113">RANDBETWEEN(0,10)</f>
        <v>0</v>
      </c>
      <c r="O350" s="97">
        <f t="shared" si="2113"/>
        <v>0</v>
      </c>
      <c r="P350" s="97">
        <f t="shared" si="2113"/>
        <v>3</v>
      </c>
      <c r="Q350" s="97">
        <f t="shared" si="2113"/>
        <v>3</v>
      </c>
      <c r="R350" s="97">
        <f t="shared" si="2113"/>
        <v>7</v>
      </c>
      <c r="S350" s="97">
        <f t="shared" si="2113"/>
        <v>7</v>
      </c>
      <c r="T350" s="97">
        <f t="shared" si="2113"/>
        <v>6</v>
      </c>
      <c r="U350" s="103">
        <f t="shared" si="2094"/>
        <v>28</v>
      </c>
      <c r="V350" s="158">
        <f t="shared" si="2087"/>
        <v>3</v>
      </c>
      <c r="W350" s="97">
        <f t="shared" ref="W350:Y350" si="2114">RANDBETWEEN(0,2)</f>
        <v>2</v>
      </c>
      <c r="X350" s="97">
        <f t="shared" si="2114"/>
        <v>1</v>
      </c>
      <c r="Y350" s="97">
        <f t="shared" si="2114"/>
        <v>0</v>
      </c>
      <c r="Z350" s="159">
        <f t="shared" si="2096"/>
        <v>3</v>
      </c>
      <c r="AA350" s="106">
        <f t="shared" ref="AA350:AF350" si="2115">RANDBETWEEN(0,2)</f>
        <v>2</v>
      </c>
      <c r="AB350" s="106">
        <f t="shared" si="2115"/>
        <v>1</v>
      </c>
      <c r="AC350" s="107">
        <f t="shared" si="2115"/>
        <v>0</v>
      </c>
      <c r="AD350" s="108">
        <f t="shared" si="2115"/>
        <v>1</v>
      </c>
      <c r="AE350" s="108">
        <f t="shared" si="2115"/>
        <v>2</v>
      </c>
      <c r="AF350" s="108">
        <f t="shared" si="2115"/>
        <v>2</v>
      </c>
      <c r="AG350" s="160">
        <f t="shared" si="2057"/>
        <v>5</v>
      </c>
      <c r="AH350" s="107">
        <f t="shared" ref="AH350:AJ350" si="2116">RANDBETWEEN(1,10)</f>
        <v>9</v>
      </c>
      <c r="AI350" s="108">
        <f t="shared" si="2116"/>
        <v>7</v>
      </c>
      <c r="AJ350" s="108">
        <f t="shared" si="2116"/>
        <v>4</v>
      </c>
      <c r="AK350" s="147">
        <f t="shared" si="2059"/>
        <v>20</v>
      </c>
      <c r="AL350" s="107"/>
      <c r="AM350" s="108"/>
      <c r="AN350" s="108"/>
      <c r="AO350" s="108"/>
      <c r="AP350" s="148"/>
      <c r="AQ350" s="107"/>
      <c r="AR350" s="108"/>
      <c r="AS350" s="108"/>
      <c r="AT350" s="149"/>
      <c r="AU350" s="107"/>
      <c r="AV350" s="108"/>
      <c r="AW350" s="108"/>
      <c r="AX350" s="150"/>
      <c r="AY350" s="92">
        <f t="shared" ref="AY350:AZ350" si="2117">RANDBETWEEN(1,10)/10</f>
        <v>0.9</v>
      </c>
      <c r="AZ350" s="92">
        <f t="shared" si="2117"/>
        <v>0.3</v>
      </c>
      <c r="BA350" s="93">
        <v>0.0</v>
      </c>
      <c r="BB350" s="93">
        <v>1.0</v>
      </c>
      <c r="BC350" s="94">
        <f>SUM(BC322,'ГОЧ'!$AY350)</f>
        <v>1207.8</v>
      </c>
      <c r="BD350" s="94">
        <f>SUM(BD322,'ГОЧ'!$AZ350)</f>
        <v>1206.9</v>
      </c>
      <c r="BE350" s="108"/>
      <c r="BF350" s="108" t="s">
        <v>168</v>
      </c>
    </row>
    <row r="351" ht="15.75" customHeight="1">
      <c r="A351" s="67">
        <f t="shared" si="2047"/>
        <v>46266</v>
      </c>
      <c r="B351" s="114" t="s">
        <v>29</v>
      </c>
      <c r="C351" s="164">
        <f t="shared" si="2048"/>
        <v>10</v>
      </c>
      <c r="D351" s="165">
        <f t="shared" ref="D351:L351" si="2118">D346+D347+D348+D349+D350</f>
        <v>5</v>
      </c>
      <c r="E351" s="165">
        <f t="shared" si="2118"/>
        <v>7</v>
      </c>
      <c r="F351" s="165">
        <f t="shared" si="2118"/>
        <v>5</v>
      </c>
      <c r="G351" s="165">
        <f t="shared" si="2118"/>
        <v>5</v>
      </c>
      <c r="H351" s="164">
        <f t="shared" si="2118"/>
        <v>7</v>
      </c>
      <c r="I351" s="165">
        <f t="shared" si="2118"/>
        <v>5</v>
      </c>
      <c r="J351" s="164">
        <f t="shared" si="2118"/>
        <v>4</v>
      </c>
      <c r="K351" s="165">
        <f t="shared" si="2118"/>
        <v>7</v>
      </c>
      <c r="L351" s="165">
        <f t="shared" si="2118"/>
        <v>8</v>
      </c>
      <c r="M351" s="164">
        <f t="shared" si="2050"/>
        <v>181</v>
      </c>
      <c r="N351" s="164">
        <f t="shared" ref="N351:U351" si="2119">N346+N347+N348+N349+N350</f>
        <v>16</v>
      </c>
      <c r="O351" s="165">
        <f t="shared" si="2119"/>
        <v>23</v>
      </c>
      <c r="P351" s="165">
        <f t="shared" si="2119"/>
        <v>18</v>
      </c>
      <c r="Q351" s="165">
        <f t="shared" si="2119"/>
        <v>27</v>
      </c>
      <c r="R351" s="165">
        <f t="shared" si="2119"/>
        <v>26</v>
      </c>
      <c r="S351" s="165">
        <f t="shared" si="2119"/>
        <v>45</v>
      </c>
      <c r="T351" s="165">
        <f t="shared" si="2119"/>
        <v>26</v>
      </c>
      <c r="U351" s="164">
        <f t="shared" si="2119"/>
        <v>92</v>
      </c>
      <c r="V351" s="164">
        <f t="shared" si="2087"/>
        <v>20</v>
      </c>
      <c r="W351" s="165">
        <f t="shared" ref="W351:Y351" si="2120">W346+W347+W348+W349+W350</f>
        <v>6</v>
      </c>
      <c r="X351" s="165">
        <f t="shared" si="2120"/>
        <v>6</v>
      </c>
      <c r="Y351" s="165">
        <f t="shared" si="2120"/>
        <v>8</v>
      </c>
      <c r="Z351" s="165">
        <f t="shared" si="2096"/>
        <v>12</v>
      </c>
      <c r="AA351" s="165">
        <f t="shared" ref="AA351:AC351" si="2121">AA346+AA347+AA348+AA349+AA350</f>
        <v>7</v>
      </c>
      <c r="AB351" s="165">
        <f t="shared" si="2121"/>
        <v>5</v>
      </c>
      <c r="AC351" s="166">
        <f t="shared" si="2121"/>
        <v>6</v>
      </c>
      <c r="AD351" s="167">
        <f>AE346+AD347+AD348+AD349+AD350</f>
        <v>5</v>
      </c>
      <c r="AE351" s="167">
        <f t="shared" ref="AE351:AF351" si="2122">AE346+AE347+AE348+AE349+AE350</f>
        <v>6</v>
      </c>
      <c r="AF351" s="167">
        <f t="shared" si="2122"/>
        <v>4</v>
      </c>
      <c r="AG351" s="168">
        <f t="shared" si="2057"/>
        <v>21</v>
      </c>
      <c r="AH351" s="166">
        <f t="shared" ref="AH351:AJ351" si="2123">AH346+AH347+AH348+AH349+AH350</f>
        <v>34</v>
      </c>
      <c r="AI351" s="166">
        <f t="shared" si="2123"/>
        <v>35</v>
      </c>
      <c r="AJ351" s="166">
        <f t="shared" si="2123"/>
        <v>33</v>
      </c>
      <c r="AK351" s="168">
        <f t="shared" si="2059"/>
        <v>102</v>
      </c>
      <c r="AL351" s="166"/>
      <c r="AM351" s="167"/>
      <c r="AN351" s="167"/>
      <c r="AO351" s="167"/>
      <c r="AP351" s="169"/>
      <c r="AQ351" s="166"/>
      <c r="AR351" s="166"/>
      <c r="AS351" s="166"/>
      <c r="AT351" s="170"/>
      <c r="AU351" s="166"/>
      <c r="AV351" s="166"/>
      <c r="AW351" s="166"/>
      <c r="AX351" s="171"/>
      <c r="AY351" s="172">
        <f t="shared" ref="AY351:BD351" si="2124">AY346+AY347+AY348+AY349+AY350</f>
        <v>2.4</v>
      </c>
      <c r="AZ351" s="172">
        <f t="shared" si="2124"/>
        <v>2.2</v>
      </c>
      <c r="BA351" s="166">
        <f t="shared" si="2124"/>
        <v>3</v>
      </c>
      <c r="BB351" s="166">
        <f t="shared" si="2124"/>
        <v>3</v>
      </c>
      <c r="BC351" s="173">
        <f t="shared" si="2124"/>
        <v>6036.3</v>
      </c>
      <c r="BD351" s="173">
        <f t="shared" si="2124"/>
        <v>6032.6</v>
      </c>
      <c r="BE351" s="154" t="str">
        <f t="shared" ref="BE351:BF351" si="2125">TEXTJOIN(", ",TRUE,BE346:BE350)</f>
        <v>Олександівка, Пантелеймонівка, Миколаївка</v>
      </c>
      <c r="BF351" s="154" t="str">
        <f t="shared" si="2125"/>
        <v>Загреблі, Верхні води, Ступочки</v>
      </c>
    </row>
    <row r="352" ht="15.75" customHeight="1">
      <c r="A352" s="67">
        <f t="shared" si="2047"/>
        <v>46266</v>
      </c>
      <c r="B352" s="124" t="s">
        <v>31</v>
      </c>
      <c r="C352" s="174">
        <f t="shared" si="2048"/>
        <v>0</v>
      </c>
      <c r="D352" s="175">
        <f t="shared" ref="D352:L352" si="2126">RANDBETWEEN(0,2)</f>
        <v>0</v>
      </c>
      <c r="E352" s="175">
        <f t="shared" si="2126"/>
        <v>0</v>
      </c>
      <c r="F352" s="175">
        <f t="shared" si="2126"/>
        <v>0</v>
      </c>
      <c r="G352" s="175">
        <f t="shared" si="2126"/>
        <v>2</v>
      </c>
      <c r="H352" s="176">
        <f t="shared" si="2126"/>
        <v>2</v>
      </c>
      <c r="I352" s="177">
        <f t="shared" si="2126"/>
        <v>2</v>
      </c>
      <c r="J352" s="178">
        <f t="shared" si="2126"/>
        <v>0</v>
      </c>
      <c r="K352" s="179">
        <f t="shared" si="2126"/>
        <v>0</v>
      </c>
      <c r="L352" s="179">
        <f t="shared" si="2126"/>
        <v>0</v>
      </c>
      <c r="M352" s="180">
        <f t="shared" si="2050"/>
        <v>27</v>
      </c>
      <c r="N352" s="175">
        <f t="shared" ref="N352:T352" si="2127">RANDBETWEEN(0,10)</f>
        <v>4</v>
      </c>
      <c r="O352" s="175">
        <f t="shared" si="2127"/>
        <v>6</v>
      </c>
      <c r="P352" s="175">
        <f t="shared" si="2127"/>
        <v>9</v>
      </c>
      <c r="Q352" s="175">
        <f t="shared" si="2127"/>
        <v>3</v>
      </c>
      <c r="R352" s="175">
        <f t="shared" si="2127"/>
        <v>2</v>
      </c>
      <c r="S352" s="175">
        <f t="shared" si="2127"/>
        <v>2</v>
      </c>
      <c r="T352" s="175">
        <f t="shared" si="2127"/>
        <v>1</v>
      </c>
      <c r="U352" s="181">
        <f t="shared" ref="U352:U357" si="2134">RANDBETWEEN(10,30)</f>
        <v>23</v>
      </c>
      <c r="V352" s="182">
        <f t="shared" si="2087"/>
        <v>6</v>
      </c>
      <c r="W352" s="175">
        <f t="shared" ref="W352:Y352" si="2128">RANDBETWEEN(0,2)</f>
        <v>2</v>
      </c>
      <c r="X352" s="175">
        <f t="shared" si="2128"/>
        <v>2</v>
      </c>
      <c r="Y352" s="175">
        <f t="shared" si="2128"/>
        <v>2</v>
      </c>
      <c r="Z352" s="183">
        <f t="shared" si="2096"/>
        <v>2</v>
      </c>
      <c r="AA352" s="184">
        <f t="shared" ref="AA352:AF352" si="2129">RANDBETWEEN(0,2)</f>
        <v>2</v>
      </c>
      <c r="AB352" s="184">
        <f t="shared" si="2129"/>
        <v>0</v>
      </c>
      <c r="AC352" s="185">
        <f t="shared" si="2129"/>
        <v>0</v>
      </c>
      <c r="AD352" s="186">
        <f t="shared" si="2129"/>
        <v>1</v>
      </c>
      <c r="AE352" s="186">
        <f t="shared" si="2129"/>
        <v>2</v>
      </c>
      <c r="AF352" s="186">
        <f t="shared" si="2129"/>
        <v>1</v>
      </c>
      <c r="AG352" s="187">
        <f t="shared" si="2057"/>
        <v>4</v>
      </c>
      <c r="AH352" s="185">
        <f t="shared" ref="AH352:AJ352" si="2130">RANDBETWEEN(1,10)</f>
        <v>8</v>
      </c>
      <c r="AI352" s="186">
        <f t="shared" si="2130"/>
        <v>9</v>
      </c>
      <c r="AJ352" s="186">
        <f t="shared" si="2130"/>
        <v>5</v>
      </c>
      <c r="AK352" s="188">
        <f t="shared" si="2059"/>
        <v>22</v>
      </c>
      <c r="AL352" s="185"/>
      <c r="AM352" s="186"/>
      <c r="AN352" s="186"/>
      <c r="AO352" s="186"/>
      <c r="AP352" s="189"/>
      <c r="AQ352" s="185"/>
      <c r="AR352" s="186"/>
      <c r="AS352" s="186"/>
      <c r="AT352" s="190"/>
      <c r="AU352" s="185"/>
      <c r="AV352" s="186"/>
      <c r="AW352" s="186"/>
      <c r="AX352" s="191"/>
      <c r="AY352" s="92">
        <f t="shared" ref="AY352:AZ352" si="2131">RANDBETWEEN(1,10)/10</f>
        <v>0.3</v>
      </c>
      <c r="AZ352" s="92">
        <f t="shared" si="2131"/>
        <v>0.9</v>
      </c>
      <c r="BA352" s="93">
        <v>0.0</v>
      </c>
      <c r="BB352" s="93">
        <v>0.0</v>
      </c>
      <c r="BC352" s="94">
        <f>SUM(BC324,'ГОЧ'!$AY352)</f>
        <v>1207</v>
      </c>
      <c r="BD352" s="94">
        <f>SUM(BD324,'ГОЧ'!$AZ352)</f>
        <v>1207.1</v>
      </c>
      <c r="BE352" s="186"/>
      <c r="BF352" s="186"/>
    </row>
    <row r="353" ht="15.75" customHeight="1">
      <c r="A353" s="67">
        <f t="shared" si="2047"/>
        <v>46266</v>
      </c>
      <c r="B353" s="138" t="s">
        <v>33</v>
      </c>
      <c r="C353" s="157">
        <f t="shared" si="2048"/>
        <v>3</v>
      </c>
      <c r="D353" s="97">
        <f t="shared" ref="D353:L353" si="2132">RANDBETWEEN(0,2)</f>
        <v>2</v>
      </c>
      <c r="E353" s="97">
        <f t="shared" si="2132"/>
        <v>2</v>
      </c>
      <c r="F353" s="97">
        <f t="shared" si="2132"/>
        <v>1</v>
      </c>
      <c r="G353" s="97">
        <f t="shared" si="2132"/>
        <v>2</v>
      </c>
      <c r="H353" s="98">
        <f t="shared" si="2132"/>
        <v>0</v>
      </c>
      <c r="I353" s="99">
        <f t="shared" si="2132"/>
        <v>1</v>
      </c>
      <c r="J353" s="100">
        <f t="shared" si="2132"/>
        <v>1</v>
      </c>
      <c r="K353" s="101">
        <f t="shared" si="2132"/>
        <v>2</v>
      </c>
      <c r="L353" s="101">
        <f t="shared" si="2132"/>
        <v>0</v>
      </c>
      <c r="M353" s="140">
        <f t="shared" si="2050"/>
        <v>33</v>
      </c>
      <c r="N353" s="97">
        <f t="shared" ref="N353:T353" si="2133">RANDBETWEEN(0,10)</f>
        <v>7</v>
      </c>
      <c r="O353" s="97">
        <f t="shared" si="2133"/>
        <v>0</v>
      </c>
      <c r="P353" s="97">
        <f t="shared" si="2133"/>
        <v>3</v>
      </c>
      <c r="Q353" s="97">
        <f t="shared" si="2133"/>
        <v>5</v>
      </c>
      <c r="R353" s="97">
        <f t="shared" si="2133"/>
        <v>5</v>
      </c>
      <c r="S353" s="97">
        <f t="shared" si="2133"/>
        <v>6</v>
      </c>
      <c r="T353" s="97">
        <f t="shared" si="2133"/>
        <v>7</v>
      </c>
      <c r="U353" s="103">
        <f t="shared" si="2134"/>
        <v>28</v>
      </c>
      <c r="V353" s="158">
        <f t="shared" si="2087"/>
        <v>0</v>
      </c>
      <c r="W353" s="97">
        <f t="shared" ref="W353:Y353" si="2135">RANDBETWEEN(0,2)</f>
        <v>0</v>
      </c>
      <c r="X353" s="97">
        <f t="shared" si="2135"/>
        <v>0</v>
      </c>
      <c r="Y353" s="97">
        <f t="shared" si="2135"/>
        <v>0</v>
      </c>
      <c r="Z353" s="105">
        <f t="shared" si="2096"/>
        <v>0</v>
      </c>
      <c r="AA353" s="143">
        <f t="shared" ref="AA353:AF353" si="2136">RANDBETWEEN(0,2)</f>
        <v>0</v>
      </c>
      <c r="AB353" s="143">
        <f t="shared" si="2136"/>
        <v>0</v>
      </c>
      <c r="AC353" s="144">
        <f t="shared" si="2136"/>
        <v>1</v>
      </c>
      <c r="AD353" s="145">
        <f t="shared" si="2136"/>
        <v>1</v>
      </c>
      <c r="AE353" s="145">
        <f t="shared" si="2136"/>
        <v>1</v>
      </c>
      <c r="AF353" s="145">
        <f t="shared" si="2136"/>
        <v>2</v>
      </c>
      <c r="AG353" s="86">
        <f t="shared" si="2057"/>
        <v>5</v>
      </c>
      <c r="AH353" s="144">
        <f t="shared" ref="AH353:AJ353" si="2137">RANDBETWEEN(1,10)</f>
        <v>8</v>
      </c>
      <c r="AI353" s="145">
        <f t="shared" si="2137"/>
        <v>7</v>
      </c>
      <c r="AJ353" s="145">
        <f t="shared" si="2137"/>
        <v>4</v>
      </c>
      <c r="AK353" s="192">
        <f t="shared" si="2059"/>
        <v>19</v>
      </c>
      <c r="AL353" s="144"/>
      <c r="AM353" s="145"/>
      <c r="AN353" s="145"/>
      <c r="AO353" s="145"/>
      <c r="AP353" s="89"/>
      <c r="AQ353" s="144"/>
      <c r="AR353" s="145"/>
      <c r="AS353" s="145"/>
      <c r="AT353" s="193"/>
      <c r="AU353" s="144"/>
      <c r="AV353" s="145"/>
      <c r="AW353" s="145"/>
      <c r="AX353" s="194"/>
      <c r="AY353" s="92">
        <f t="shared" ref="AY353:AZ353" si="2138">RANDBETWEEN(1,10)/10</f>
        <v>1</v>
      </c>
      <c r="AZ353" s="92">
        <f t="shared" si="2138"/>
        <v>0.6</v>
      </c>
      <c r="BA353" s="93">
        <v>0.0</v>
      </c>
      <c r="BB353" s="93">
        <v>0.0</v>
      </c>
      <c r="BC353" s="94">
        <f>SUM(BC325,'ГОЧ'!$AY353)</f>
        <v>1206.8</v>
      </c>
      <c r="BD353" s="94">
        <f>SUM(BD325,'ГОЧ'!$AZ353)</f>
        <v>1205.9</v>
      </c>
      <c r="BE353" s="108"/>
      <c r="BF353" s="108"/>
    </row>
    <row r="354" ht="15.75" customHeight="1">
      <c r="A354" s="67">
        <f t="shared" si="2047"/>
        <v>46266</v>
      </c>
      <c r="B354" s="138" t="s">
        <v>35</v>
      </c>
      <c r="C354" s="157">
        <f t="shared" si="2048"/>
        <v>2</v>
      </c>
      <c r="D354" s="97">
        <f t="shared" ref="D354:L354" si="2139">RANDBETWEEN(0,2)</f>
        <v>1</v>
      </c>
      <c r="E354" s="97">
        <f t="shared" si="2139"/>
        <v>2</v>
      </c>
      <c r="F354" s="97">
        <f t="shared" si="2139"/>
        <v>1</v>
      </c>
      <c r="G354" s="97">
        <f t="shared" si="2139"/>
        <v>2</v>
      </c>
      <c r="H354" s="98">
        <f t="shared" si="2139"/>
        <v>1</v>
      </c>
      <c r="I354" s="99">
        <f t="shared" si="2139"/>
        <v>2</v>
      </c>
      <c r="J354" s="100">
        <f t="shared" si="2139"/>
        <v>0</v>
      </c>
      <c r="K354" s="101">
        <f t="shared" si="2139"/>
        <v>2</v>
      </c>
      <c r="L354" s="101">
        <f t="shared" si="2139"/>
        <v>2</v>
      </c>
      <c r="M354" s="140">
        <f t="shared" si="2050"/>
        <v>28</v>
      </c>
      <c r="N354" s="97">
        <f t="shared" ref="N354:T354" si="2140">RANDBETWEEN(0,10)</f>
        <v>2</v>
      </c>
      <c r="O354" s="97">
        <f t="shared" si="2140"/>
        <v>10</v>
      </c>
      <c r="P354" s="97">
        <f t="shared" si="2140"/>
        <v>5</v>
      </c>
      <c r="Q354" s="97">
        <f t="shared" si="2140"/>
        <v>3</v>
      </c>
      <c r="R354" s="97">
        <f t="shared" si="2140"/>
        <v>1</v>
      </c>
      <c r="S354" s="97">
        <f t="shared" si="2140"/>
        <v>1</v>
      </c>
      <c r="T354" s="97">
        <f t="shared" si="2140"/>
        <v>6</v>
      </c>
      <c r="U354" s="103">
        <f t="shared" si="2134"/>
        <v>20</v>
      </c>
      <c r="V354" s="158">
        <f t="shared" si="2087"/>
        <v>1</v>
      </c>
      <c r="W354" s="97">
        <f t="shared" ref="W354:Y354" si="2141">RANDBETWEEN(0,2)</f>
        <v>0</v>
      </c>
      <c r="X354" s="97">
        <f t="shared" si="2141"/>
        <v>1</v>
      </c>
      <c r="Y354" s="97">
        <f t="shared" si="2141"/>
        <v>0</v>
      </c>
      <c r="Z354" s="105">
        <f t="shared" si="2096"/>
        <v>1</v>
      </c>
      <c r="AA354" s="106">
        <f t="shared" ref="AA354:AF354" si="2142">RANDBETWEEN(0,2)</f>
        <v>0</v>
      </c>
      <c r="AB354" s="106">
        <f t="shared" si="2142"/>
        <v>1</v>
      </c>
      <c r="AC354" s="107">
        <f t="shared" si="2142"/>
        <v>2</v>
      </c>
      <c r="AD354" s="108">
        <f t="shared" si="2142"/>
        <v>1</v>
      </c>
      <c r="AE354" s="108">
        <f t="shared" si="2142"/>
        <v>0</v>
      </c>
      <c r="AF354" s="108">
        <f t="shared" si="2142"/>
        <v>0</v>
      </c>
      <c r="AG354" s="86">
        <f t="shared" si="2057"/>
        <v>3</v>
      </c>
      <c r="AH354" s="107">
        <f t="shared" ref="AH354:AJ354" si="2143">RANDBETWEEN(1,10)</f>
        <v>9</v>
      </c>
      <c r="AI354" s="108">
        <f t="shared" si="2143"/>
        <v>6</v>
      </c>
      <c r="AJ354" s="108">
        <f t="shared" si="2143"/>
        <v>2</v>
      </c>
      <c r="AK354" s="192">
        <f t="shared" si="2059"/>
        <v>17</v>
      </c>
      <c r="AL354" s="107"/>
      <c r="AM354" s="108"/>
      <c r="AN354" s="108"/>
      <c r="AO354" s="108"/>
      <c r="AP354" s="89"/>
      <c r="AQ354" s="107"/>
      <c r="AR354" s="108"/>
      <c r="AS354" s="108"/>
      <c r="AT354" s="193"/>
      <c r="AU354" s="107"/>
      <c r="AV354" s="108"/>
      <c r="AW354" s="108"/>
      <c r="AX354" s="194"/>
      <c r="AY354" s="92">
        <f t="shared" ref="AY354:AZ354" si="2144">RANDBETWEEN(1,10)/10</f>
        <v>0.8</v>
      </c>
      <c r="AZ354" s="92">
        <f t="shared" si="2144"/>
        <v>0.6</v>
      </c>
      <c r="BA354" s="93">
        <v>0.0</v>
      </c>
      <c r="BB354" s="93">
        <v>0.0</v>
      </c>
      <c r="BC354" s="94">
        <f>SUM(BC326,'ГОЧ'!$AY354)</f>
        <v>1206.9</v>
      </c>
      <c r="BD354" s="94">
        <f>SUM(BD326,'ГОЧ'!$AZ354)</f>
        <v>1207.4</v>
      </c>
      <c r="BE354" s="108"/>
      <c r="BF354" s="108"/>
    </row>
    <row r="355" ht="15.75" customHeight="1">
      <c r="A355" s="67">
        <f t="shared" si="2047"/>
        <v>46266</v>
      </c>
      <c r="B355" s="138" t="s">
        <v>36</v>
      </c>
      <c r="C355" s="157">
        <f t="shared" si="2048"/>
        <v>1</v>
      </c>
      <c r="D355" s="97">
        <f t="shared" ref="D355:L355" si="2145">RANDBETWEEN(0,2)</f>
        <v>0</v>
      </c>
      <c r="E355" s="97">
        <f t="shared" si="2145"/>
        <v>1</v>
      </c>
      <c r="F355" s="97">
        <f t="shared" si="2145"/>
        <v>1</v>
      </c>
      <c r="G355" s="97">
        <f t="shared" si="2145"/>
        <v>1</v>
      </c>
      <c r="H355" s="98">
        <f t="shared" si="2145"/>
        <v>1</v>
      </c>
      <c r="I355" s="99">
        <f t="shared" si="2145"/>
        <v>2</v>
      </c>
      <c r="J355" s="100">
        <f t="shared" si="2145"/>
        <v>1</v>
      </c>
      <c r="K355" s="101">
        <f t="shared" si="2145"/>
        <v>2</v>
      </c>
      <c r="L355" s="101">
        <f t="shared" si="2145"/>
        <v>0</v>
      </c>
      <c r="M355" s="140">
        <f t="shared" si="2050"/>
        <v>30</v>
      </c>
      <c r="N355" s="97">
        <f t="shared" ref="N355:T355" si="2146">RANDBETWEEN(0,10)</f>
        <v>10</v>
      </c>
      <c r="O355" s="97">
        <f t="shared" si="2146"/>
        <v>2</v>
      </c>
      <c r="P355" s="97">
        <f t="shared" si="2146"/>
        <v>4</v>
      </c>
      <c r="Q355" s="97">
        <f t="shared" si="2146"/>
        <v>6</v>
      </c>
      <c r="R355" s="97">
        <f t="shared" si="2146"/>
        <v>4</v>
      </c>
      <c r="S355" s="97">
        <f t="shared" si="2146"/>
        <v>0</v>
      </c>
      <c r="T355" s="97">
        <f t="shared" si="2146"/>
        <v>4</v>
      </c>
      <c r="U355" s="103">
        <f t="shared" si="2134"/>
        <v>21</v>
      </c>
      <c r="V355" s="158">
        <f t="shared" si="2087"/>
        <v>5</v>
      </c>
      <c r="W355" s="97">
        <f t="shared" ref="W355:Y355" si="2147">RANDBETWEEN(0,2)</f>
        <v>2</v>
      </c>
      <c r="X355" s="97">
        <f t="shared" si="2147"/>
        <v>2</v>
      </c>
      <c r="Y355" s="97">
        <f t="shared" si="2147"/>
        <v>1</v>
      </c>
      <c r="Z355" s="105">
        <f t="shared" si="2096"/>
        <v>2</v>
      </c>
      <c r="AA355" s="143">
        <f t="shared" ref="AA355:AF355" si="2148">RANDBETWEEN(0,2)</f>
        <v>2</v>
      </c>
      <c r="AB355" s="143">
        <f t="shared" si="2148"/>
        <v>0</v>
      </c>
      <c r="AC355" s="144">
        <f t="shared" si="2148"/>
        <v>0</v>
      </c>
      <c r="AD355" s="145">
        <f t="shared" si="2148"/>
        <v>0</v>
      </c>
      <c r="AE355" s="145">
        <f t="shared" si="2148"/>
        <v>2</v>
      </c>
      <c r="AF355" s="145">
        <f t="shared" si="2148"/>
        <v>1</v>
      </c>
      <c r="AG355" s="86">
        <f t="shared" si="2057"/>
        <v>3</v>
      </c>
      <c r="AH355" s="144">
        <f t="shared" ref="AH355:AJ355" si="2149">RANDBETWEEN(1,10)</f>
        <v>9</v>
      </c>
      <c r="AI355" s="145">
        <f t="shared" si="2149"/>
        <v>5</v>
      </c>
      <c r="AJ355" s="145">
        <f t="shared" si="2149"/>
        <v>2</v>
      </c>
      <c r="AK355" s="192">
        <f t="shared" si="2059"/>
        <v>16</v>
      </c>
      <c r="AL355" s="144"/>
      <c r="AM355" s="145"/>
      <c r="AN355" s="145"/>
      <c r="AO355" s="145"/>
      <c r="AP355" s="89"/>
      <c r="AQ355" s="144"/>
      <c r="AR355" s="145"/>
      <c r="AS355" s="145"/>
      <c r="AT355" s="193"/>
      <c r="AU355" s="144"/>
      <c r="AV355" s="145"/>
      <c r="AW355" s="145"/>
      <c r="AX355" s="194"/>
      <c r="AY355" s="92">
        <f t="shared" ref="AY355:AZ355" si="2150">RANDBETWEEN(1,10)/10</f>
        <v>0.2</v>
      </c>
      <c r="AZ355" s="92">
        <f t="shared" si="2150"/>
        <v>0.3</v>
      </c>
      <c r="BA355" s="93">
        <v>0.0</v>
      </c>
      <c r="BB355" s="93">
        <v>0.0</v>
      </c>
      <c r="BC355" s="94">
        <f>SUM(BC327,'ГОЧ'!$AY355)</f>
        <v>1206.7</v>
      </c>
      <c r="BD355" s="94">
        <f>SUM(BD327,'ГОЧ'!$AZ355)</f>
        <v>1206.6</v>
      </c>
      <c r="BE355" s="108"/>
      <c r="BF355" s="108"/>
    </row>
    <row r="356" ht="15.75" customHeight="1">
      <c r="A356" s="67">
        <f t="shared" si="2047"/>
        <v>46266</v>
      </c>
      <c r="B356" s="195" t="s">
        <v>38</v>
      </c>
      <c r="C356" s="157">
        <f t="shared" si="2048"/>
        <v>2</v>
      </c>
      <c r="D356" s="97">
        <f t="shared" ref="D356:L356" si="2151">RANDBETWEEN(0,2)</f>
        <v>0</v>
      </c>
      <c r="E356" s="97">
        <f t="shared" si="2151"/>
        <v>1</v>
      </c>
      <c r="F356" s="97">
        <f t="shared" si="2151"/>
        <v>2</v>
      </c>
      <c r="G356" s="97">
        <f t="shared" si="2151"/>
        <v>2</v>
      </c>
      <c r="H356" s="98">
        <f t="shared" si="2151"/>
        <v>0</v>
      </c>
      <c r="I356" s="99">
        <f t="shared" si="2151"/>
        <v>1</v>
      </c>
      <c r="J356" s="100">
        <f t="shared" si="2151"/>
        <v>2</v>
      </c>
      <c r="K356" s="101">
        <f t="shared" si="2151"/>
        <v>1</v>
      </c>
      <c r="L356" s="101">
        <f t="shared" si="2151"/>
        <v>2</v>
      </c>
      <c r="M356" s="140">
        <f t="shared" si="2050"/>
        <v>47</v>
      </c>
      <c r="N356" s="97">
        <f t="shared" ref="N356:T356" si="2152">RANDBETWEEN(0,10)</f>
        <v>7</v>
      </c>
      <c r="O356" s="97">
        <f t="shared" si="2152"/>
        <v>3</v>
      </c>
      <c r="P356" s="97">
        <f t="shared" si="2152"/>
        <v>9</v>
      </c>
      <c r="Q356" s="97">
        <f t="shared" si="2152"/>
        <v>5</v>
      </c>
      <c r="R356" s="97">
        <f t="shared" si="2152"/>
        <v>7</v>
      </c>
      <c r="S356" s="97">
        <f t="shared" si="2152"/>
        <v>7</v>
      </c>
      <c r="T356" s="97">
        <f t="shared" si="2152"/>
        <v>9</v>
      </c>
      <c r="U356" s="103">
        <f t="shared" si="2134"/>
        <v>19</v>
      </c>
      <c r="V356" s="158">
        <f t="shared" si="2087"/>
        <v>3</v>
      </c>
      <c r="W356" s="97">
        <f t="shared" ref="W356:Y356" si="2153">RANDBETWEEN(0,2)</f>
        <v>2</v>
      </c>
      <c r="X356" s="97">
        <f t="shared" si="2153"/>
        <v>1</v>
      </c>
      <c r="Y356" s="97">
        <f t="shared" si="2153"/>
        <v>0</v>
      </c>
      <c r="Z356" s="105">
        <f t="shared" si="2096"/>
        <v>2</v>
      </c>
      <c r="AA356" s="106">
        <f t="shared" ref="AA356:AF356" si="2154">RANDBETWEEN(0,2)</f>
        <v>1</v>
      </c>
      <c r="AB356" s="106">
        <f t="shared" si="2154"/>
        <v>1</v>
      </c>
      <c r="AC356" s="107">
        <f t="shared" si="2154"/>
        <v>2</v>
      </c>
      <c r="AD356" s="108">
        <f t="shared" si="2154"/>
        <v>1</v>
      </c>
      <c r="AE356" s="108">
        <f t="shared" si="2154"/>
        <v>1</v>
      </c>
      <c r="AF356" s="108">
        <f t="shared" si="2154"/>
        <v>2</v>
      </c>
      <c r="AG356" s="86">
        <f t="shared" si="2057"/>
        <v>6</v>
      </c>
      <c r="AH356" s="107">
        <f t="shared" ref="AH356:AJ356" si="2155">RANDBETWEEN(1,10)</f>
        <v>7</v>
      </c>
      <c r="AI356" s="108">
        <f t="shared" si="2155"/>
        <v>9</v>
      </c>
      <c r="AJ356" s="108">
        <f t="shared" si="2155"/>
        <v>7</v>
      </c>
      <c r="AK356" s="192">
        <f t="shared" si="2059"/>
        <v>23</v>
      </c>
      <c r="AL356" s="107"/>
      <c r="AM356" s="108"/>
      <c r="AN356" s="108"/>
      <c r="AO356" s="108"/>
      <c r="AP356" s="89"/>
      <c r="AQ356" s="107"/>
      <c r="AR356" s="108"/>
      <c r="AS356" s="108"/>
      <c r="AT356" s="193"/>
      <c r="AU356" s="107"/>
      <c r="AV356" s="108"/>
      <c r="AW356" s="108"/>
      <c r="AX356" s="194"/>
      <c r="AY356" s="92">
        <f t="shared" ref="AY356:AZ356" si="2156">RANDBETWEEN(1,10)/10</f>
        <v>0.1</v>
      </c>
      <c r="AZ356" s="92">
        <f t="shared" si="2156"/>
        <v>0.3</v>
      </c>
      <c r="BA356" s="93">
        <v>0.0</v>
      </c>
      <c r="BB356" s="93">
        <v>0.0</v>
      </c>
      <c r="BC356" s="94">
        <f>SUM(BC328,'ГОЧ'!$AY356)</f>
        <v>1205.1</v>
      </c>
      <c r="BD356" s="94">
        <f>SUM(BD328,'ГОЧ'!$AZ356)</f>
        <v>1204.9</v>
      </c>
      <c r="BE356" s="108"/>
      <c r="BF356" s="108"/>
    </row>
    <row r="357" ht="15.75" customHeight="1">
      <c r="A357" s="67">
        <f t="shared" si="2047"/>
        <v>46266</v>
      </c>
      <c r="B357" s="138" t="s">
        <v>41</v>
      </c>
      <c r="C357" s="157">
        <f t="shared" si="2048"/>
        <v>0</v>
      </c>
      <c r="D357" s="97">
        <f t="shared" ref="D357:L357" si="2157">RANDBETWEEN(0,2)</f>
        <v>0</v>
      </c>
      <c r="E357" s="97">
        <f t="shared" si="2157"/>
        <v>0</v>
      </c>
      <c r="F357" s="97">
        <f t="shared" si="2157"/>
        <v>0</v>
      </c>
      <c r="G357" s="97">
        <f t="shared" si="2157"/>
        <v>1</v>
      </c>
      <c r="H357" s="98">
        <f t="shared" si="2157"/>
        <v>0</v>
      </c>
      <c r="I357" s="99">
        <f t="shared" si="2157"/>
        <v>2</v>
      </c>
      <c r="J357" s="100">
        <f t="shared" si="2157"/>
        <v>0</v>
      </c>
      <c r="K357" s="101">
        <f t="shared" si="2157"/>
        <v>0</v>
      </c>
      <c r="L357" s="101">
        <f t="shared" si="2157"/>
        <v>2</v>
      </c>
      <c r="M357" s="140">
        <f t="shared" si="2050"/>
        <v>30</v>
      </c>
      <c r="N357" s="97">
        <f t="shared" ref="N357:T357" si="2158">RANDBETWEEN(0,10)</f>
        <v>10</v>
      </c>
      <c r="O357" s="97">
        <f t="shared" si="2158"/>
        <v>3</v>
      </c>
      <c r="P357" s="97">
        <f t="shared" si="2158"/>
        <v>2</v>
      </c>
      <c r="Q357" s="97">
        <f t="shared" si="2158"/>
        <v>5</v>
      </c>
      <c r="R357" s="97">
        <f t="shared" si="2158"/>
        <v>1</v>
      </c>
      <c r="S357" s="97">
        <f t="shared" si="2158"/>
        <v>1</v>
      </c>
      <c r="T357" s="97">
        <f t="shared" si="2158"/>
        <v>8</v>
      </c>
      <c r="U357" s="103">
        <f t="shared" si="2134"/>
        <v>15</v>
      </c>
      <c r="V357" s="158">
        <f t="shared" si="2087"/>
        <v>3</v>
      </c>
      <c r="W357" s="97">
        <f t="shared" ref="W357:Y357" si="2159">RANDBETWEEN(0,2)</f>
        <v>0</v>
      </c>
      <c r="X357" s="97">
        <f t="shared" si="2159"/>
        <v>1</v>
      </c>
      <c r="Y357" s="97">
        <f t="shared" si="2159"/>
        <v>2</v>
      </c>
      <c r="Z357" s="105">
        <f t="shared" si="2096"/>
        <v>1</v>
      </c>
      <c r="AA357" s="143">
        <f t="shared" ref="AA357:AF357" si="2160">RANDBETWEEN(0,2)</f>
        <v>0</v>
      </c>
      <c r="AB357" s="143">
        <f t="shared" si="2160"/>
        <v>1</v>
      </c>
      <c r="AC357" s="144">
        <f t="shared" si="2160"/>
        <v>1</v>
      </c>
      <c r="AD357" s="145">
        <f t="shared" si="2160"/>
        <v>0</v>
      </c>
      <c r="AE357" s="145">
        <f t="shared" si="2160"/>
        <v>0</v>
      </c>
      <c r="AF357" s="145">
        <f t="shared" si="2160"/>
        <v>2</v>
      </c>
      <c r="AG357" s="86">
        <f t="shared" si="2057"/>
        <v>3</v>
      </c>
      <c r="AH357" s="144">
        <f t="shared" ref="AH357:AJ357" si="2161">RANDBETWEEN(1,10)</f>
        <v>10</v>
      </c>
      <c r="AI357" s="145">
        <f t="shared" si="2161"/>
        <v>1</v>
      </c>
      <c r="AJ357" s="145">
        <f t="shared" si="2161"/>
        <v>7</v>
      </c>
      <c r="AK357" s="192">
        <f t="shared" si="2059"/>
        <v>18</v>
      </c>
      <c r="AL357" s="144"/>
      <c r="AM357" s="145"/>
      <c r="AN357" s="145"/>
      <c r="AO357" s="145"/>
      <c r="AP357" s="89"/>
      <c r="AQ357" s="144"/>
      <c r="AR357" s="145"/>
      <c r="AS357" s="145"/>
      <c r="AT357" s="193"/>
      <c r="AU357" s="144"/>
      <c r="AV357" s="145"/>
      <c r="AW357" s="145"/>
      <c r="AX357" s="194"/>
      <c r="AY357" s="92">
        <f t="shared" ref="AY357:AZ357" si="2162">RANDBETWEEN(1,10)/10</f>
        <v>0.7</v>
      </c>
      <c r="AZ357" s="92">
        <f t="shared" si="2162"/>
        <v>0.4</v>
      </c>
      <c r="BA357" s="93">
        <v>0.0</v>
      </c>
      <c r="BB357" s="93">
        <v>0.0</v>
      </c>
      <c r="BC357" s="94">
        <f>SUM(BC329,'ГОЧ'!$AY357)</f>
        <v>1206.7</v>
      </c>
      <c r="BD357" s="94">
        <f>SUM(BD329,'ГОЧ'!$AZ357)</f>
        <v>1206.8</v>
      </c>
      <c r="BE357" s="108"/>
      <c r="BF357" s="108"/>
    </row>
    <row r="358" ht="15.75" customHeight="1">
      <c r="A358" s="67">
        <f t="shared" si="2047"/>
        <v>46266</v>
      </c>
      <c r="B358" s="114" t="s">
        <v>45</v>
      </c>
      <c r="C358" s="164">
        <f t="shared" si="2048"/>
        <v>8</v>
      </c>
      <c r="D358" s="164">
        <f t="shared" ref="D358:U358" si="2163">SUM(D352:D357)</f>
        <v>3</v>
      </c>
      <c r="E358" s="165">
        <f t="shared" si="2163"/>
        <v>6</v>
      </c>
      <c r="F358" s="165">
        <f t="shared" si="2163"/>
        <v>5</v>
      </c>
      <c r="G358" s="165">
        <f t="shared" si="2163"/>
        <v>10</v>
      </c>
      <c r="H358" s="165">
        <f t="shared" si="2163"/>
        <v>4</v>
      </c>
      <c r="I358" s="165">
        <f t="shared" si="2163"/>
        <v>10</v>
      </c>
      <c r="J358" s="165">
        <f t="shared" si="2163"/>
        <v>4</v>
      </c>
      <c r="K358" s="165">
        <f t="shared" si="2163"/>
        <v>7</v>
      </c>
      <c r="L358" s="165">
        <f t="shared" si="2163"/>
        <v>6</v>
      </c>
      <c r="M358" s="164">
        <f t="shared" si="2163"/>
        <v>195</v>
      </c>
      <c r="N358" s="164">
        <f t="shared" si="2163"/>
        <v>40</v>
      </c>
      <c r="O358" s="165">
        <f t="shared" si="2163"/>
        <v>24</v>
      </c>
      <c r="P358" s="165">
        <f t="shared" si="2163"/>
        <v>32</v>
      </c>
      <c r="Q358" s="165">
        <f t="shared" si="2163"/>
        <v>27</v>
      </c>
      <c r="R358" s="165">
        <f t="shared" si="2163"/>
        <v>20</v>
      </c>
      <c r="S358" s="165">
        <f t="shared" si="2163"/>
        <v>17</v>
      </c>
      <c r="T358" s="165">
        <f t="shared" si="2163"/>
        <v>35</v>
      </c>
      <c r="U358" s="164">
        <f t="shared" si="2163"/>
        <v>126</v>
      </c>
      <c r="V358" s="164">
        <f t="shared" si="2087"/>
        <v>18</v>
      </c>
      <c r="W358" s="165">
        <f t="shared" ref="W358:Y358" si="2164">SUM(W352:W357)</f>
        <v>6</v>
      </c>
      <c r="X358" s="165">
        <f t="shared" si="2164"/>
        <v>7</v>
      </c>
      <c r="Y358" s="165">
        <f t="shared" si="2164"/>
        <v>5</v>
      </c>
      <c r="Z358" s="165">
        <f t="shared" si="2096"/>
        <v>8</v>
      </c>
      <c r="AA358" s="165">
        <f t="shared" ref="AA358:AF358" si="2165">SUM(AA352:AA357)</f>
        <v>5</v>
      </c>
      <c r="AB358" s="165">
        <f t="shared" si="2165"/>
        <v>3</v>
      </c>
      <c r="AC358" s="166">
        <f t="shared" si="2165"/>
        <v>6</v>
      </c>
      <c r="AD358" s="166">
        <f t="shared" si="2165"/>
        <v>4</v>
      </c>
      <c r="AE358" s="166">
        <f t="shared" si="2165"/>
        <v>6</v>
      </c>
      <c r="AF358" s="166">
        <f t="shared" si="2165"/>
        <v>8</v>
      </c>
      <c r="AG358" s="168">
        <f t="shared" si="2057"/>
        <v>24</v>
      </c>
      <c r="AH358" s="166">
        <f t="shared" ref="AH358:AJ358" si="2166">SUM(AH352:AH357)</f>
        <v>51</v>
      </c>
      <c r="AI358" s="167">
        <f t="shared" si="2166"/>
        <v>37</v>
      </c>
      <c r="AJ358" s="167">
        <f t="shared" si="2166"/>
        <v>27</v>
      </c>
      <c r="AK358" s="168">
        <f t="shared" si="2059"/>
        <v>115</v>
      </c>
      <c r="AL358" s="166"/>
      <c r="AM358" s="166"/>
      <c r="AN358" s="166"/>
      <c r="AO358" s="166"/>
      <c r="AP358" s="169"/>
      <c r="AQ358" s="166"/>
      <c r="AR358" s="167"/>
      <c r="AS358" s="167"/>
      <c r="AT358" s="170"/>
      <c r="AU358" s="166"/>
      <c r="AV358" s="167"/>
      <c r="AW358" s="167"/>
      <c r="AX358" s="171"/>
      <c r="AY358" s="196">
        <f t="shared" ref="AY358:BD358" si="2167">SUM(AY352:AY357)</f>
        <v>3.1</v>
      </c>
      <c r="AZ358" s="196">
        <f t="shared" si="2167"/>
        <v>3.1</v>
      </c>
      <c r="BA358" s="167">
        <f t="shared" si="2167"/>
        <v>0</v>
      </c>
      <c r="BB358" s="167">
        <f t="shared" si="2167"/>
        <v>0</v>
      </c>
      <c r="BC358" s="197">
        <f t="shared" si="2167"/>
        <v>7239.2</v>
      </c>
      <c r="BD358" s="197">
        <f t="shared" si="2167"/>
        <v>7238.7</v>
      </c>
      <c r="BE358" s="154" t="str">
        <f t="shared" ref="BE358:BF358" si="2168">TEXTJOIN(", ",TRUE,BE352:BE357)</f>
        <v/>
      </c>
      <c r="BF358" s="154" t="str">
        <f t="shared" si="2168"/>
        <v/>
      </c>
    </row>
    <row r="359" ht="15.75" customHeight="1">
      <c r="A359" s="67">
        <f t="shared" si="2047"/>
        <v>46266</v>
      </c>
      <c r="B359" s="124" t="s">
        <v>49</v>
      </c>
      <c r="C359" s="174">
        <f t="shared" si="2048"/>
        <v>1</v>
      </c>
      <c r="D359" s="175">
        <f t="shared" ref="D359:L359" si="2169">RANDBETWEEN(0,2)</f>
        <v>1</v>
      </c>
      <c r="E359" s="175">
        <f t="shared" si="2169"/>
        <v>2</v>
      </c>
      <c r="F359" s="175">
        <f t="shared" si="2169"/>
        <v>0</v>
      </c>
      <c r="G359" s="175">
        <f t="shared" si="2169"/>
        <v>0</v>
      </c>
      <c r="H359" s="176">
        <f t="shared" si="2169"/>
        <v>2</v>
      </c>
      <c r="I359" s="177">
        <f t="shared" si="2169"/>
        <v>1</v>
      </c>
      <c r="J359" s="178">
        <f t="shared" si="2169"/>
        <v>2</v>
      </c>
      <c r="K359" s="179">
        <f t="shared" si="2169"/>
        <v>1</v>
      </c>
      <c r="L359" s="179">
        <f t="shared" si="2169"/>
        <v>0</v>
      </c>
      <c r="M359" s="180">
        <f t="shared" ref="M359:M364" si="2176">SUM(N359:T359)</f>
        <v>37</v>
      </c>
      <c r="N359" s="175">
        <f t="shared" ref="N359:T359" si="2170">RANDBETWEEN(0,10)</f>
        <v>3</v>
      </c>
      <c r="O359" s="175">
        <f t="shared" si="2170"/>
        <v>6</v>
      </c>
      <c r="P359" s="175">
        <f t="shared" si="2170"/>
        <v>6</v>
      </c>
      <c r="Q359" s="175">
        <f t="shared" si="2170"/>
        <v>8</v>
      </c>
      <c r="R359" s="175">
        <f t="shared" si="2170"/>
        <v>1</v>
      </c>
      <c r="S359" s="175">
        <f t="shared" si="2170"/>
        <v>7</v>
      </c>
      <c r="T359" s="175">
        <f t="shared" si="2170"/>
        <v>6</v>
      </c>
      <c r="U359" s="181">
        <f t="shared" ref="U359:U363" si="2178">RANDBETWEEN(10,30)</f>
        <v>17</v>
      </c>
      <c r="V359" s="182">
        <f t="shared" si="2087"/>
        <v>3</v>
      </c>
      <c r="W359" s="175">
        <f t="shared" ref="W359:Y359" si="2171">RANDBETWEEN(0,2)</f>
        <v>0</v>
      </c>
      <c r="X359" s="175">
        <f t="shared" si="2171"/>
        <v>1</v>
      </c>
      <c r="Y359" s="175">
        <f t="shared" si="2171"/>
        <v>2</v>
      </c>
      <c r="Z359" s="183">
        <f t="shared" si="2096"/>
        <v>4</v>
      </c>
      <c r="AA359" s="198">
        <f t="shared" ref="AA359:AF359" si="2172">RANDBETWEEN(0,2)</f>
        <v>2</v>
      </c>
      <c r="AB359" s="198">
        <f t="shared" si="2172"/>
        <v>2</v>
      </c>
      <c r="AC359" s="199">
        <f t="shared" si="2172"/>
        <v>2</v>
      </c>
      <c r="AD359" s="200">
        <f t="shared" si="2172"/>
        <v>0</v>
      </c>
      <c r="AE359" s="200">
        <f t="shared" si="2172"/>
        <v>0</v>
      </c>
      <c r="AF359" s="200">
        <f t="shared" si="2172"/>
        <v>0</v>
      </c>
      <c r="AG359" s="187">
        <f t="shared" si="2057"/>
        <v>2</v>
      </c>
      <c r="AH359" s="199">
        <f t="shared" ref="AH359:AJ359" si="2173">RANDBETWEEN(1,10)</f>
        <v>3</v>
      </c>
      <c r="AI359" s="200">
        <f t="shared" si="2173"/>
        <v>3</v>
      </c>
      <c r="AJ359" s="200">
        <f t="shared" si="2173"/>
        <v>4</v>
      </c>
      <c r="AK359" s="188">
        <f t="shared" si="2059"/>
        <v>10</v>
      </c>
      <c r="AL359" s="199"/>
      <c r="AM359" s="200"/>
      <c r="AN359" s="200"/>
      <c r="AO359" s="200"/>
      <c r="AP359" s="189"/>
      <c r="AQ359" s="199"/>
      <c r="AR359" s="200"/>
      <c r="AS359" s="200"/>
      <c r="AT359" s="190"/>
      <c r="AU359" s="199"/>
      <c r="AV359" s="200"/>
      <c r="AW359" s="200"/>
      <c r="AX359" s="191"/>
      <c r="AY359" s="92">
        <f t="shared" ref="AY359:AZ359" si="2174">RANDBETWEEN(1,10)/10</f>
        <v>0.2</v>
      </c>
      <c r="AZ359" s="92">
        <f t="shared" si="2174"/>
        <v>0.6</v>
      </c>
      <c r="BA359" s="93">
        <v>0.0</v>
      </c>
      <c r="BB359" s="93">
        <v>0.0</v>
      </c>
      <c r="BC359" s="94">
        <f>SUM(BC331,'ГОЧ'!$AY359)</f>
        <v>1206</v>
      </c>
      <c r="BD359" s="94">
        <f>SUM(BD331,'ГОЧ'!$AZ359)</f>
        <v>1205.4</v>
      </c>
      <c r="BE359" s="186"/>
      <c r="BF359" s="186"/>
    </row>
    <row r="360" ht="15.75" customHeight="1">
      <c r="A360" s="67">
        <f t="shared" si="2047"/>
        <v>46266</v>
      </c>
      <c r="B360" s="195" t="s">
        <v>53</v>
      </c>
      <c r="C360" s="157">
        <f t="shared" si="2048"/>
        <v>1</v>
      </c>
      <c r="D360" s="97">
        <f t="shared" ref="D360:L360" si="2175">RANDBETWEEN(0,2)</f>
        <v>0</v>
      </c>
      <c r="E360" s="97">
        <f t="shared" si="2175"/>
        <v>0</v>
      </c>
      <c r="F360" s="97">
        <f t="shared" si="2175"/>
        <v>1</v>
      </c>
      <c r="G360" s="97">
        <f t="shared" si="2175"/>
        <v>2</v>
      </c>
      <c r="H360" s="98">
        <f t="shared" si="2175"/>
        <v>0</v>
      </c>
      <c r="I360" s="99">
        <f t="shared" si="2175"/>
        <v>0</v>
      </c>
      <c r="J360" s="100">
        <f t="shared" si="2175"/>
        <v>0</v>
      </c>
      <c r="K360" s="101">
        <f t="shared" si="2175"/>
        <v>0</v>
      </c>
      <c r="L360" s="101">
        <f t="shared" si="2175"/>
        <v>2</v>
      </c>
      <c r="M360" s="140">
        <f t="shared" si="2176"/>
        <v>26</v>
      </c>
      <c r="N360" s="97">
        <f t="shared" ref="N360:T360" si="2177">RANDBETWEEN(0,10)</f>
        <v>4</v>
      </c>
      <c r="O360" s="97">
        <f t="shared" si="2177"/>
        <v>1</v>
      </c>
      <c r="P360" s="97">
        <f t="shared" si="2177"/>
        <v>5</v>
      </c>
      <c r="Q360" s="97">
        <f t="shared" si="2177"/>
        <v>10</v>
      </c>
      <c r="R360" s="97">
        <f t="shared" si="2177"/>
        <v>1</v>
      </c>
      <c r="S360" s="97">
        <f t="shared" si="2177"/>
        <v>4</v>
      </c>
      <c r="T360" s="97">
        <f t="shared" si="2177"/>
        <v>1</v>
      </c>
      <c r="U360" s="103">
        <f t="shared" si="2178"/>
        <v>23</v>
      </c>
      <c r="V360" s="158">
        <f t="shared" si="2087"/>
        <v>4</v>
      </c>
      <c r="W360" s="97">
        <f t="shared" ref="W360:Y360" si="2179">RANDBETWEEN(0,2)</f>
        <v>2</v>
      </c>
      <c r="X360" s="97">
        <f t="shared" si="2179"/>
        <v>2</v>
      </c>
      <c r="Y360" s="97">
        <f t="shared" si="2179"/>
        <v>0</v>
      </c>
      <c r="Z360" s="105">
        <f t="shared" si="2096"/>
        <v>1</v>
      </c>
      <c r="AA360" s="106">
        <f t="shared" ref="AA360:AF360" si="2180">RANDBETWEEN(0,2)</f>
        <v>1</v>
      </c>
      <c r="AB360" s="106">
        <f t="shared" si="2180"/>
        <v>0</v>
      </c>
      <c r="AC360" s="107">
        <f t="shared" si="2180"/>
        <v>0</v>
      </c>
      <c r="AD360" s="108">
        <f t="shared" si="2180"/>
        <v>1</v>
      </c>
      <c r="AE360" s="108">
        <f t="shared" si="2180"/>
        <v>1</v>
      </c>
      <c r="AF360" s="108">
        <f t="shared" si="2180"/>
        <v>1</v>
      </c>
      <c r="AG360" s="86">
        <f t="shared" si="2057"/>
        <v>3</v>
      </c>
      <c r="AH360" s="107">
        <f t="shared" ref="AH360:AJ360" si="2181">RANDBETWEEN(1,10)</f>
        <v>7</v>
      </c>
      <c r="AI360" s="108">
        <f t="shared" si="2181"/>
        <v>7</v>
      </c>
      <c r="AJ360" s="108">
        <f t="shared" si="2181"/>
        <v>6</v>
      </c>
      <c r="AK360" s="192">
        <f t="shared" si="2059"/>
        <v>20</v>
      </c>
      <c r="AL360" s="107"/>
      <c r="AM360" s="108"/>
      <c r="AN360" s="108"/>
      <c r="AO360" s="108"/>
      <c r="AP360" s="89"/>
      <c r="AQ360" s="107"/>
      <c r="AR360" s="108"/>
      <c r="AS360" s="108"/>
      <c r="AT360" s="193"/>
      <c r="AU360" s="107"/>
      <c r="AV360" s="108"/>
      <c r="AW360" s="108"/>
      <c r="AX360" s="194"/>
      <c r="AY360" s="92">
        <f t="shared" ref="AY360:AZ360" si="2182">RANDBETWEEN(1,10)/10</f>
        <v>0.3</v>
      </c>
      <c r="AZ360" s="92">
        <f t="shared" si="2182"/>
        <v>0.2</v>
      </c>
      <c r="BA360" s="93">
        <v>0.0</v>
      </c>
      <c r="BB360" s="93">
        <v>0.0</v>
      </c>
      <c r="BC360" s="94">
        <f>SUM(BC332,'ГОЧ'!$AY360)</f>
        <v>1205.4</v>
      </c>
      <c r="BD360" s="94">
        <f>SUM(BD332,'ГОЧ'!$AZ360)</f>
        <v>1205.6</v>
      </c>
      <c r="BE360" s="108"/>
      <c r="BF360" s="108"/>
    </row>
    <row r="361" ht="15.75" customHeight="1">
      <c r="A361" s="67">
        <f t="shared" si="2047"/>
        <v>46266</v>
      </c>
      <c r="B361" s="138" t="s">
        <v>57</v>
      </c>
      <c r="C361" s="157">
        <f t="shared" si="2048"/>
        <v>2</v>
      </c>
      <c r="D361" s="97">
        <f t="shared" ref="D361:L361" si="2183">RANDBETWEEN(0,2)</f>
        <v>0</v>
      </c>
      <c r="E361" s="97">
        <f t="shared" si="2183"/>
        <v>2</v>
      </c>
      <c r="F361" s="97">
        <f t="shared" si="2183"/>
        <v>2</v>
      </c>
      <c r="G361" s="97">
        <f t="shared" si="2183"/>
        <v>1</v>
      </c>
      <c r="H361" s="98">
        <f t="shared" si="2183"/>
        <v>1</v>
      </c>
      <c r="I361" s="99">
        <f t="shared" si="2183"/>
        <v>2</v>
      </c>
      <c r="J361" s="100">
        <f t="shared" si="2183"/>
        <v>2</v>
      </c>
      <c r="K361" s="101">
        <f t="shared" si="2183"/>
        <v>2</v>
      </c>
      <c r="L361" s="101">
        <f t="shared" si="2183"/>
        <v>1</v>
      </c>
      <c r="M361" s="140">
        <f t="shared" si="2176"/>
        <v>52</v>
      </c>
      <c r="N361" s="97">
        <f t="shared" ref="N361:T361" si="2184">RANDBETWEEN(0,10)</f>
        <v>5</v>
      </c>
      <c r="O361" s="97">
        <f t="shared" si="2184"/>
        <v>8</v>
      </c>
      <c r="P361" s="97">
        <f t="shared" si="2184"/>
        <v>8</v>
      </c>
      <c r="Q361" s="97">
        <f t="shared" si="2184"/>
        <v>4</v>
      </c>
      <c r="R361" s="97">
        <f t="shared" si="2184"/>
        <v>10</v>
      </c>
      <c r="S361" s="97">
        <f t="shared" si="2184"/>
        <v>9</v>
      </c>
      <c r="T361" s="97">
        <f t="shared" si="2184"/>
        <v>8</v>
      </c>
      <c r="U361" s="103">
        <f t="shared" si="2178"/>
        <v>11</v>
      </c>
      <c r="V361" s="158">
        <f t="shared" si="2087"/>
        <v>4</v>
      </c>
      <c r="W361" s="97">
        <f t="shared" ref="W361:Y361" si="2185">RANDBETWEEN(0,2)</f>
        <v>1</v>
      </c>
      <c r="X361" s="97">
        <f t="shared" si="2185"/>
        <v>2</v>
      </c>
      <c r="Y361" s="97">
        <f t="shared" si="2185"/>
        <v>1</v>
      </c>
      <c r="Z361" s="105">
        <f t="shared" si="2096"/>
        <v>3</v>
      </c>
      <c r="AA361" s="143">
        <f t="shared" ref="AA361:AF361" si="2186">RANDBETWEEN(0,2)</f>
        <v>1</v>
      </c>
      <c r="AB361" s="143">
        <f t="shared" si="2186"/>
        <v>2</v>
      </c>
      <c r="AC361" s="144">
        <f t="shared" si="2186"/>
        <v>1</v>
      </c>
      <c r="AD361" s="145">
        <f t="shared" si="2186"/>
        <v>2</v>
      </c>
      <c r="AE361" s="145">
        <f t="shared" si="2186"/>
        <v>0</v>
      </c>
      <c r="AF361" s="145">
        <f t="shared" si="2186"/>
        <v>2</v>
      </c>
      <c r="AG361" s="86">
        <f t="shared" si="2057"/>
        <v>5</v>
      </c>
      <c r="AH361" s="144">
        <f t="shared" ref="AH361:AJ361" si="2187">RANDBETWEEN(1,10)</f>
        <v>7</v>
      </c>
      <c r="AI361" s="145">
        <f t="shared" si="2187"/>
        <v>6</v>
      </c>
      <c r="AJ361" s="145">
        <f t="shared" si="2187"/>
        <v>6</v>
      </c>
      <c r="AK361" s="192">
        <f t="shared" si="2059"/>
        <v>19</v>
      </c>
      <c r="AL361" s="144"/>
      <c r="AM361" s="145"/>
      <c r="AN361" s="145"/>
      <c r="AO361" s="145"/>
      <c r="AP361" s="89"/>
      <c r="AQ361" s="144"/>
      <c r="AR361" s="145"/>
      <c r="AS361" s="145"/>
      <c r="AT361" s="193"/>
      <c r="AU361" s="144"/>
      <c r="AV361" s="145"/>
      <c r="AW361" s="145"/>
      <c r="AX361" s="194"/>
      <c r="AY361" s="92">
        <f t="shared" ref="AY361:AZ361" si="2188">RANDBETWEEN(1,10)/10</f>
        <v>0.6</v>
      </c>
      <c r="AZ361" s="92">
        <f t="shared" si="2188"/>
        <v>0.6</v>
      </c>
      <c r="BA361" s="93">
        <v>0.0</v>
      </c>
      <c r="BB361" s="93">
        <v>0.0</v>
      </c>
      <c r="BC361" s="94">
        <f>SUM(BC333,'ГОЧ'!$AY361)</f>
        <v>1207</v>
      </c>
      <c r="BD361" s="94">
        <f>SUM(BD333,'ГОЧ'!$AZ361)</f>
        <v>1207.3</v>
      </c>
      <c r="BE361" s="108"/>
      <c r="BF361" s="108"/>
    </row>
    <row r="362" ht="15.75" customHeight="1">
      <c r="A362" s="67">
        <f t="shared" si="2047"/>
        <v>46266</v>
      </c>
      <c r="B362" s="138" t="s">
        <v>60</v>
      </c>
      <c r="C362" s="157">
        <f t="shared" si="2048"/>
        <v>2</v>
      </c>
      <c r="D362" s="97">
        <f t="shared" ref="D362:L362" si="2189">RANDBETWEEN(0,2)</f>
        <v>1</v>
      </c>
      <c r="E362" s="97">
        <f t="shared" si="2189"/>
        <v>1</v>
      </c>
      <c r="F362" s="97">
        <f t="shared" si="2189"/>
        <v>1</v>
      </c>
      <c r="G362" s="97">
        <f t="shared" si="2189"/>
        <v>2</v>
      </c>
      <c r="H362" s="98">
        <f t="shared" si="2189"/>
        <v>1</v>
      </c>
      <c r="I362" s="99">
        <f t="shared" si="2189"/>
        <v>2</v>
      </c>
      <c r="J362" s="100">
        <f t="shared" si="2189"/>
        <v>2</v>
      </c>
      <c r="K362" s="101">
        <f t="shared" si="2189"/>
        <v>2</v>
      </c>
      <c r="L362" s="101">
        <f t="shared" si="2189"/>
        <v>1</v>
      </c>
      <c r="M362" s="140">
        <f t="shared" si="2176"/>
        <v>30</v>
      </c>
      <c r="N362" s="97">
        <f t="shared" ref="N362:T362" si="2190">RANDBETWEEN(0,10)</f>
        <v>1</v>
      </c>
      <c r="O362" s="97">
        <f t="shared" si="2190"/>
        <v>1</v>
      </c>
      <c r="P362" s="97">
        <f t="shared" si="2190"/>
        <v>5</v>
      </c>
      <c r="Q362" s="97">
        <f t="shared" si="2190"/>
        <v>9</v>
      </c>
      <c r="R362" s="97">
        <f t="shared" si="2190"/>
        <v>2</v>
      </c>
      <c r="S362" s="97">
        <f t="shared" si="2190"/>
        <v>7</v>
      </c>
      <c r="T362" s="97">
        <f t="shared" si="2190"/>
        <v>5</v>
      </c>
      <c r="U362" s="103">
        <f t="shared" si="2178"/>
        <v>20</v>
      </c>
      <c r="V362" s="158">
        <f t="shared" si="2087"/>
        <v>4</v>
      </c>
      <c r="W362" s="97">
        <f t="shared" ref="W362:Y362" si="2191">RANDBETWEEN(0,2)</f>
        <v>2</v>
      </c>
      <c r="X362" s="97">
        <f t="shared" si="2191"/>
        <v>2</v>
      </c>
      <c r="Y362" s="97">
        <f t="shared" si="2191"/>
        <v>0</v>
      </c>
      <c r="Z362" s="105">
        <f t="shared" si="2096"/>
        <v>0</v>
      </c>
      <c r="AA362" s="106">
        <f t="shared" ref="AA362:AF362" si="2192">RANDBETWEEN(0,2)</f>
        <v>0</v>
      </c>
      <c r="AB362" s="106">
        <f t="shared" si="2192"/>
        <v>0</v>
      </c>
      <c r="AC362" s="107">
        <f t="shared" si="2192"/>
        <v>0</v>
      </c>
      <c r="AD362" s="108">
        <f t="shared" si="2192"/>
        <v>2</v>
      </c>
      <c r="AE362" s="108">
        <f t="shared" si="2192"/>
        <v>2</v>
      </c>
      <c r="AF362" s="108">
        <f t="shared" si="2192"/>
        <v>1</v>
      </c>
      <c r="AG362" s="86">
        <f t="shared" si="2057"/>
        <v>5</v>
      </c>
      <c r="AH362" s="107">
        <f t="shared" ref="AH362:AJ362" si="2193">RANDBETWEEN(1,10)</f>
        <v>3</v>
      </c>
      <c r="AI362" s="108">
        <f t="shared" si="2193"/>
        <v>3</v>
      </c>
      <c r="AJ362" s="108">
        <f t="shared" si="2193"/>
        <v>3</v>
      </c>
      <c r="AK362" s="192">
        <f t="shared" si="2059"/>
        <v>9</v>
      </c>
      <c r="AL362" s="107"/>
      <c r="AM362" s="108"/>
      <c r="AN362" s="108"/>
      <c r="AO362" s="108"/>
      <c r="AP362" s="89"/>
      <c r="AQ362" s="107"/>
      <c r="AR362" s="108"/>
      <c r="AS362" s="108"/>
      <c r="AT362" s="193"/>
      <c r="AU362" s="107"/>
      <c r="AV362" s="108"/>
      <c r="AW362" s="108"/>
      <c r="AX362" s="194"/>
      <c r="AY362" s="92">
        <f t="shared" ref="AY362:AZ362" si="2194">RANDBETWEEN(1,10)/10</f>
        <v>0.3</v>
      </c>
      <c r="AZ362" s="92">
        <f t="shared" si="2194"/>
        <v>0.4</v>
      </c>
      <c r="BA362" s="93">
        <v>0.0</v>
      </c>
      <c r="BB362" s="93">
        <v>0.0</v>
      </c>
      <c r="BC362" s="94">
        <f>SUM(BC334,'ГОЧ'!$AY362)</f>
        <v>1205.7</v>
      </c>
      <c r="BD362" s="94">
        <f>SUM(BD334,'ГОЧ'!$AZ362)</f>
        <v>1205.8</v>
      </c>
      <c r="BE362" s="108"/>
      <c r="BF362" s="108"/>
    </row>
    <row r="363" ht="15.75" customHeight="1">
      <c r="A363" s="67">
        <f t="shared" si="2047"/>
        <v>46266</v>
      </c>
      <c r="B363" s="195" t="s">
        <v>64</v>
      </c>
      <c r="C363" s="157">
        <f t="shared" si="2048"/>
        <v>3</v>
      </c>
      <c r="D363" s="97">
        <f t="shared" ref="D363:L363" si="2195">RANDBETWEEN(0,2)</f>
        <v>2</v>
      </c>
      <c r="E363" s="97">
        <f t="shared" si="2195"/>
        <v>2</v>
      </c>
      <c r="F363" s="97">
        <f t="shared" si="2195"/>
        <v>1</v>
      </c>
      <c r="G363" s="97">
        <f t="shared" si="2195"/>
        <v>1</v>
      </c>
      <c r="H363" s="98">
        <f t="shared" si="2195"/>
        <v>2</v>
      </c>
      <c r="I363" s="99">
        <f t="shared" si="2195"/>
        <v>0</v>
      </c>
      <c r="J363" s="100">
        <f t="shared" si="2195"/>
        <v>0</v>
      </c>
      <c r="K363" s="101">
        <f t="shared" si="2195"/>
        <v>2</v>
      </c>
      <c r="L363" s="101">
        <f t="shared" si="2195"/>
        <v>2</v>
      </c>
      <c r="M363" s="140">
        <f t="shared" si="2176"/>
        <v>34</v>
      </c>
      <c r="N363" s="97">
        <f t="shared" ref="N363:T363" si="2196">RANDBETWEEN(0,10)</f>
        <v>9</v>
      </c>
      <c r="O363" s="97">
        <f t="shared" si="2196"/>
        <v>5</v>
      </c>
      <c r="P363" s="97">
        <f t="shared" si="2196"/>
        <v>4</v>
      </c>
      <c r="Q363" s="97">
        <f t="shared" si="2196"/>
        <v>5</v>
      </c>
      <c r="R363" s="97">
        <f t="shared" si="2196"/>
        <v>4</v>
      </c>
      <c r="S363" s="97">
        <f t="shared" si="2196"/>
        <v>5</v>
      </c>
      <c r="T363" s="97">
        <f t="shared" si="2196"/>
        <v>2</v>
      </c>
      <c r="U363" s="103">
        <f t="shared" si="2178"/>
        <v>24</v>
      </c>
      <c r="V363" s="158">
        <f t="shared" si="2087"/>
        <v>1</v>
      </c>
      <c r="W363" s="97">
        <f t="shared" ref="W363:Y363" si="2197">RANDBETWEEN(0,2)</f>
        <v>0</v>
      </c>
      <c r="X363" s="97">
        <f t="shared" si="2197"/>
        <v>0</v>
      </c>
      <c r="Y363" s="97">
        <f t="shared" si="2197"/>
        <v>1</v>
      </c>
      <c r="Z363" s="105">
        <f t="shared" si="2096"/>
        <v>1</v>
      </c>
      <c r="AA363" s="143">
        <f t="shared" ref="AA363:AF363" si="2198">RANDBETWEEN(0,2)</f>
        <v>1</v>
      </c>
      <c r="AB363" s="143">
        <f t="shared" si="2198"/>
        <v>0</v>
      </c>
      <c r="AC363" s="144">
        <f t="shared" si="2198"/>
        <v>2</v>
      </c>
      <c r="AD363" s="145">
        <f t="shared" si="2198"/>
        <v>0</v>
      </c>
      <c r="AE363" s="145">
        <f t="shared" si="2198"/>
        <v>2</v>
      </c>
      <c r="AF363" s="145">
        <f t="shared" si="2198"/>
        <v>2</v>
      </c>
      <c r="AG363" s="86">
        <f t="shared" si="2057"/>
        <v>6</v>
      </c>
      <c r="AH363" s="144">
        <f t="shared" ref="AH363:AJ363" si="2199">RANDBETWEEN(1,10)</f>
        <v>3</v>
      </c>
      <c r="AI363" s="145">
        <f t="shared" si="2199"/>
        <v>6</v>
      </c>
      <c r="AJ363" s="145">
        <f t="shared" si="2199"/>
        <v>9</v>
      </c>
      <c r="AK363" s="192">
        <f t="shared" si="2059"/>
        <v>18</v>
      </c>
      <c r="AL363" s="144"/>
      <c r="AM363" s="145"/>
      <c r="AN363" s="145"/>
      <c r="AO363" s="145"/>
      <c r="AP363" s="89"/>
      <c r="AQ363" s="144"/>
      <c r="AR363" s="145"/>
      <c r="AS363" s="145"/>
      <c r="AT363" s="193"/>
      <c r="AU363" s="144"/>
      <c r="AV363" s="145"/>
      <c r="AW363" s="145"/>
      <c r="AX363" s="194"/>
      <c r="AY363" s="92">
        <f t="shared" ref="AY363:AZ363" si="2200">RANDBETWEEN(1,10)/10</f>
        <v>0.2</v>
      </c>
      <c r="AZ363" s="92">
        <f t="shared" si="2200"/>
        <v>0.6</v>
      </c>
      <c r="BA363" s="93">
        <v>0.0</v>
      </c>
      <c r="BB363" s="93">
        <v>0.0</v>
      </c>
      <c r="BC363" s="94">
        <f>SUM(BC335,'ГОЧ'!$AY363)</f>
        <v>1204.9</v>
      </c>
      <c r="BD363" s="94">
        <f>SUM(BD335,'ГОЧ'!$AZ363)</f>
        <v>1206.1</v>
      </c>
      <c r="BE363" s="108"/>
      <c r="BF363" s="108"/>
    </row>
    <row r="364" ht="15.75" customHeight="1">
      <c r="A364" s="67">
        <f t="shared" si="2047"/>
        <v>46266</v>
      </c>
      <c r="B364" s="201" t="s">
        <v>67</v>
      </c>
      <c r="C364" s="164">
        <f t="shared" si="2048"/>
        <v>9</v>
      </c>
      <c r="D364" s="164">
        <f t="shared" ref="D364:L364" si="2201">SUM(D359:D363)</f>
        <v>4</v>
      </c>
      <c r="E364" s="165">
        <f t="shared" si="2201"/>
        <v>7</v>
      </c>
      <c r="F364" s="165">
        <f t="shared" si="2201"/>
        <v>5</v>
      </c>
      <c r="G364" s="165">
        <f t="shared" si="2201"/>
        <v>6</v>
      </c>
      <c r="H364" s="165">
        <f t="shared" si="2201"/>
        <v>6</v>
      </c>
      <c r="I364" s="165">
        <f t="shared" si="2201"/>
        <v>5</v>
      </c>
      <c r="J364" s="165">
        <f t="shared" si="2201"/>
        <v>6</v>
      </c>
      <c r="K364" s="165">
        <f t="shared" si="2201"/>
        <v>7</v>
      </c>
      <c r="L364" s="165">
        <f t="shared" si="2201"/>
        <v>6</v>
      </c>
      <c r="M364" s="164">
        <f t="shared" si="2176"/>
        <v>179</v>
      </c>
      <c r="N364" s="164">
        <f t="shared" ref="N364:U364" si="2202">SUM(N359:N363)</f>
        <v>22</v>
      </c>
      <c r="O364" s="165">
        <f t="shared" si="2202"/>
        <v>21</v>
      </c>
      <c r="P364" s="165">
        <f t="shared" si="2202"/>
        <v>28</v>
      </c>
      <c r="Q364" s="165">
        <f t="shared" si="2202"/>
        <v>36</v>
      </c>
      <c r="R364" s="165">
        <f t="shared" si="2202"/>
        <v>18</v>
      </c>
      <c r="S364" s="165">
        <f t="shared" si="2202"/>
        <v>32</v>
      </c>
      <c r="T364" s="165">
        <f t="shared" si="2202"/>
        <v>22</v>
      </c>
      <c r="U364" s="164">
        <f t="shared" si="2202"/>
        <v>95</v>
      </c>
      <c r="V364" s="164">
        <f t="shared" si="2087"/>
        <v>16</v>
      </c>
      <c r="W364" s="165">
        <f t="shared" ref="W364:Y364" si="2203">SUM(W359:W363)</f>
        <v>5</v>
      </c>
      <c r="X364" s="165">
        <f t="shared" si="2203"/>
        <v>7</v>
      </c>
      <c r="Y364" s="165">
        <f t="shared" si="2203"/>
        <v>4</v>
      </c>
      <c r="Z364" s="164">
        <f>SUM(AA364:AB364)</f>
        <v>9</v>
      </c>
      <c r="AA364" s="164">
        <f t="shared" ref="AA364:AF364" si="2204">SUM(AA359:AA363)</f>
        <v>5</v>
      </c>
      <c r="AB364" s="165">
        <f t="shared" si="2204"/>
        <v>4</v>
      </c>
      <c r="AC364" s="166">
        <f t="shared" si="2204"/>
        <v>5</v>
      </c>
      <c r="AD364" s="166">
        <f t="shared" si="2204"/>
        <v>5</v>
      </c>
      <c r="AE364" s="166">
        <f t="shared" si="2204"/>
        <v>5</v>
      </c>
      <c r="AF364" s="166">
        <f t="shared" si="2204"/>
        <v>6</v>
      </c>
      <c r="AG364" s="168">
        <f t="shared" si="2057"/>
        <v>21</v>
      </c>
      <c r="AH364" s="166">
        <f t="shared" ref="AH364:AJ364" si="2205">SUM(AH359:AH363)</f>
        <v>23</v>
      </c>
      <c r="AI364" s="167">
        <f t="shared" si="2205"/>
        <v>25</v>
      </c>
      <c r="AJ364" s="167">
        <f t="shared" si="2205"/>
        <v>28</v>
      </c>
      <c r="AK364" s="168">
        <f t="shared" si="2059"/>
        <v>76</v>
      </c>
      <c r="AL364" s="166"/>
      <c r="AM364" s="166"/>
      <c r="AN364" s="166"/>
      <c r="AO364" s="166"/>
      <c r="AP364" s="169"/>
      <c r="AQ364" s="166"/>
      <c r="AR364" s="167"/>
      <c r="AS364" s="167"/>
      <c r="AT364" s="170"/>
      <c r="AU364" s="166"/>
      <c r="AV364" s="167"/>
      <c r="AW364" s="167"/>
      <c r="AX364" s="171"/>
      <c r="AY364" s="196">
        <f t="shared" ref="AY364:BD364" si="2206">SUM(AY359:AY363)</f>
        <v>1.6</v>
      </c>
      <c r="AZ364" s="196">
        <f t="shared" si="2206"/>
        <v>2.4</v>
      </c>
      <c r="BA364" s="167">
        <f t="shared" si="2206"/>
        <v>0</v>
      </c>
      <c r="BB364" s="167">
        <f t="shared" si="2206"/>
        <v>0</v>
      </c>
      <c r="BC364" s="197">
        <f t="shared" si="2206"/>
        <v>6029</v>
      </c>
      <c r="BD364" s="197">
        <f t="shared" si="2206"/>
        <v>6030.2</v>
      </c>
      <c r="BE364" s="154" t="str">
        <f t="shared" ref="BE364:BF364" si="2207">TEXTJOIN(", ",TRUE,BE359:BE363)</f>
        <v/>
      </c>
      <c r="BF364" s="154" t="str">
        <f t="shared" si="2207"/>
        <v/>
      </c>
    </row>
    <row r="365" ht="15.75" customHeight="1">
      <c r="A365" s="67">
        <f t="shared" si="2047"/>
        <v>46266</v>
      </c>
      <c r="B365" s="202" t="s">
        <v>72</v>
      </c>
      <c r="C365" s="203">
        <f t="shared" ref="C365:AK365" si="2208">SUM(C339+C340+C341+C345,C344,C351,C358,C364)</f>
        <v>38</v>
      </c>
      <c r="D365" s="203">
        <f t="shared" si="2208"/>
        <v>19</v>
      </c>
      <c r="E365" s="203">
        <f t="shared" si="2208"/>
        <v>21</v>
      </c>
      <c r="F365" s="203">
        <f t="shared" si="2208"/>
        <v>19</v>
      </c>
      <c r="G365" s="203">
        <f t="shared" si="2208"/>
        <v>26</v>
      </c>
      <c r="H365" s="203">
        <f t="shared" si="2208"/>
        <v>20</v>
      </c>
      <c r="I365" s="203">
        <f t="shared" si="2208"/>
        <v>24</v>
      </c>
      <c r="J365" s="203">
        <f t="shared" si="2208"/>
        <v>20</v>
      </c>
      <c r="K365" s="203">
        <f t="shared" si="2208"/>
        <v>24</v>
      </c>
      <c r="L365" s="203">
        <f t="shared" si="2208"/>
        <v>23</v>
      </c>
      <c r="M365" s="203">
        <f t="shared" si="2208"/>
        <v>738</v>
      </c>
      <c r="N365" s="203">
        <f t="shared" si="2208"/>
        <v>104</v>
      </c>
      <c r="O365" s="203">
        <f t="shared" si="2208"/>
        <v>92</v>
      </c>
      <c r="P365" s="203">
        <f t="shared" si="2208"/>
        <v>101</v>
      </c>
      <c r="Q365" s="203">
        <f t="shared" si="2208"/>
        <v>125</v>
      </c>
      <c r="R365" s="203">
        <f t="shared" si="2208"/>
        <v>75</v>
      </c>
      <c r="S365" s="203">
        <f t="shared" si="2208"/>
        <v>114</v>
      </c>
      <c r="T365" s="203">
        <f t="shared" si="2208"/>
        <v>127</v>
      </c>
      <c r="U365" s="203">
        <f t="shared" si="2208"/>
        <v>419</v>
      </c>
      <c r="V365" s="203">
        <f t="shared" si="2208"/>
        <v>63</v>
      </c>
      <c r="W365" s="203">
        <f t="shared" si="2208"/>
        <v>20</v>
      </c>
      <c r="X365" s="203">
        <f t="shared" si="2208"/>
        <v>23</v>
      </c>
      <c r="Y365" s="203">
        <f t="shared" si="2208"/>
        <v>20</v>
      </c>
      <c r="Z365" s="203">
        <f t="shared" si="2208"/>
        <v>40</v>
      </c>
      <c r="AA365" s="203">
        <f t="shared" si="2208"/>
        <v>20</v>
      </c>
      <c r="AB365" s="203">
        <f t="shared" si="2208"/>
        <v>20</v>
      </c>
      <c r="AC365" s="204">
        <f t="shared" si="2208"/>
        <v>19</v>
      </c>
      <c r="AD365" s="204">
        <f t="shared" si="2208"/>
        <v>18</v>
      </c>
      <c r="AE365" s="204">
        <f t="shared" si="2208"/>
        <v>21</v>
      </c>
      <c r="AF365" s="204">
        <f t="shared" si="2208"/>
        <v>22</v>
      </c>
      <c r="AG365" s="204">
        <f t="shared" si="2208"/>
        <v>80</v>
      </c>
      <c r="AH365" s="204">
        <f t="shared" si="2208"/>
        <v>137</v>
      </c>
      <c r="AI365" s="204">
        <f t="shared" si="2208"/>
        <v>120</v>
      </c>
      <c r="AJ365" s="204">
        <f t="shared" si="2208"/>
        <v>108</v>
      </c>
      <c r="AK365" s="204">
        <f t="shared" si="2208"/>
        <v>365</v>
      </c>
      <c r="AL365" s="204"/>
      <c r="AM365" s="204"/>
      <c r="AN365" s="204"/>
      <c r="AO365" s="204"/>
      <c r="AP365" s="151"/>
      <c r="AQ365" s="204"/>
      <c r="AR365" s="204"/>
      <c r="AS365" s="204"/>
      <c r="AT365" s="152"/>
      <c r="AU365" s="204"/>
      <c r="AV365" s="204"/>
      <c r="AW365" s="204"/>
      <c r="AX365" s="153"/>
      <c r="AY365" s="205">
        <f t="shared" ref="AY365:BD365" si="2209">SUM(AY339+AY340+AY341+AY345,AY344,AY351,AY358,AY364)</f>
        <v>17.3</v>
      </c>
      <c r="AZ365" s="205">
        <f t="shared" si="2209"/>
        <v>12.2</v>
      </c>
      <c r="BA365" s="206">
        <f t="shared" si="2209"/>
        <v>5</v>
      </c>
      <c r="BB365" s="206">
        <f t="shared" si="2209"/>
        <v>3</v>
      </c>
      <c r="BC365" s="207">
        <f t="shared" si="2209"/>
        <v>26546.5</v>
      </c>
      <c r="BD365" s="207">
        <f t="shared" si="2209"/>
        <v>26547.1</v>
      </c>
      <c r="BE365" s="154" t="str">
        <f t="shared" ref="BE365:BF365" si="2210">TEXTJOIN(", ",TRUE,BE364,BE358,BE351,BE345,BE344,BE341,BE340,BE339)</f>
        <v>Олександівка, Пантелеймонівка, Миколаївка, Курськ, Рильск</v>
      </c>
      <c r="BF365" s="154" t="str">
        <f t="shared" si="2210"/>
        <v>Загреблі, Верхні води, Ступочки</v>
      </c>
    </row>
    <row r="366" ht="15.75" customHeight="1">
      <c r="A366" s="55">
        <f>A365+1</f>
        <v>46267</v>
      </c>
      <c r="B366" s="56"/>
      <c r="C366" s="57"/>
      <c r="D366" s="58"/>
      <c r="E366" s="59"/>
      <c r="F366" s="58"/>
      <c r="G366" s="59"/>
      <c r="H366" s="57"/>
      <c r="I366" s="60"/>
      <c r="J366" s="57"/>
      <c r="K366" s="57"/>
      <c r="L366" s="57"/>
      <c r="M366" s="57"/>
      <c r="N366" s="60"/>
      <c r="O366" s="60"/>
      <c r="P366" s="60"/>
      <c r="Q366" s="60"/>
      <c r="R366" s="60"/>
      <c r="S366" s="60"/>
      <c r="T366" s="60"/>
      <c r="U366" s="57"/>
      <c r="V366" s="58"/>
      <c r="W366" s="61"/>
      <c r="X366" s="61"/>
      <c r="Y366" s="61"/>
      <c r="Z366" s="57"/>
      <c r="AA366" s="60"/>
      <c r="AB366" s="60"/>
      <c r="AC366" s="62"/>
      <c r="AD366" s="62"/>
      <c r="AE366" s="62"/>
      <c r="AF366" s="62"/>
      <c r="AG366" s="62"/>
      <c r="AH366" s="62"/>
      <c r="AI366" s="62"/>
      <c r="AJ366" s="62"/>
      <c r="AK366" s="62"/>
      <c r="AL366" s="62"/>
      <c r="AM366" s="62"/>
      <c r="AN366" s="62"/>
      <c r="AO366" s="62"/>
      <c r="AP366" s="64"/>
      <c r="AQ366" s="62"/>
      <c r="AR366" s="62"/>
      <c r="AS366" s="62"/>
      <c r="AT366" s="65"/>
      <c r="AU366" s="62"/>
      <c r="AV366" s="62"/>
      <c r="AW366" s="62"/>
      <c r="AX366" s="66"/>
      <c r="AY366" s="208"/>
      <c r="AZ366" s="208"/>
      <c r="BA366" s="62"/>
      <c r="BB366" s="62"/>
      <c r="BC366" s="209"/>
      <c r="BD366" s="209"/>
      <c r="BE366" s="62"/>
      <c r="BF366" s="62"/>
    </row>
    <row r="367" ht="15.75" customHeight="1">
      <c r="A367" s="67">
        <f t="shared" ref="A367:A393" si="2217">A366</f>
        <v>46267</v>
      </c>
      <c r="B367" s="70" t="s">
        <v>8</v>
      </c>
      <c r="C367" s="72">
        <f t="shared" ref="C367:C392" si="2218">SUM(D367,F367)</f>
        <v>2</v>
      </c>
      <c r="D367" s="74">
        <f t="shared" ref="D367:L367" si="2211">RANDBETWEEN(0,2)</f>
        <v>1</v>
      </c>
      <c r="E367" s="74">
        <f t="shared" si="2211"/>
        <v>2</v>
      </c>
      <c r="F367" s="74">
        <f t="shared" si="2211"/>
        <v>1</v>
      </c>
      <c r="G367" s="74">
        <f t="shared" si="2211"/>
        <v>0</v>
      </c>
      <c r="H367" s="75">
        <f t="shared" si="2211"/>
        <v>0</v>
      </c>
      <c r="I367" s="76">
        <f t="shared" si="2211"/>
        <v>2</v>
      </c>
      <c r="J367" s="77">
        <f t="shared" si="2211"/>
        <v>2</v>
      </c>
      <c r="K367" s="78">
        <f t="shared" si="2211"/>
        <v>2</v>
      </c>
      <c r="L367" s="78">
        <f t="shared" si="2211"/>
        <v>2</v>
      </c>
      <c r="M367" s="79">
        <f t="shared" ref="M367:M385" si="2220">SUM(N367:T367)</f>
        <v>19</v>
      </c>
      <c r="N367" s="74">
        <f t="shared" ref="N367:T367" si="2212">RANDBETWEEN(0,10)</f>
        <v>3</v>
      </c>
      <c r="O367" s="74">
        <f t="shared" si="2212"/>
        <v>4</v>
      </c>
      <c r="P367" s="74">
        <f t="shared" si="2212"/>
        <v>3</v>
      </c>
      <c r="Q367" s="74">
        <f t="shared" si="2212"/>
        <v>8</v>
      </c>
      <c r="R367" s="74">
        <f t="shared" si="2212"/>
        <v>1</v>
      </c>
      <c r="S367" s="74">
        <f t="shared" si="2212"/>
        <v>0</v>
      </c>
      <c r="T367" s="74">
        <f t="shared" si="2212"/>
        <v>0</v>
      </c>
      <c r="U367" s="81">
        <f t="shared" ref="U367:U368" si="2222">RANDBETWEEN(10,30)</f>
        <v>26</v>
      </c>
      <c r="V367" s="82">
        <f t="shared" ref="V367:V372" si="2223">SUM(W367:Y367)</f>
        <v>3</v>
      </c>
      <c r="W367" s="74">
        <f t="shared" ref="W367:Y367" si="2213">RANDBETWEEN(0,2)</f>
        <v>2</v>
      </c>
      <c r="X367" s="74">
        <f t="shared" si="2213"/>
        <v>0</v>
      </c>
      <c r="Y367" s="74">
        <f t="shared" si="2213"/>
        <v>1</v>
      </c>
      <c r="Z367" s="83">
        <f t="shared" ref="Z367:Z369" si="2225">AA367+AB367</f>
        <v>3</v>
      </c>
      <c r="AA367" s="84">
        <f t="shared" ref="AA367:AF367" si="2214">RANDBETWEEN(0,2)</f>
        <v>2</v>
      </c>
      <c r="AB367" s="84">
        <f t="shared" si="2214"/>
        <v>1</v>
      </c>
      <c r="AC367" s="85">
        <f t="shared" si="2214"/>
        <v>2</v>
      </c>
      <c r="AD367" s="85">
        <f t="shared" si="2214"/>
        <v>2</v>
      </c>
      <c r="AE367" s="85">
        <f t="shared" si="2214"/>
        <v>1</v>
      </c>
      <c r="AF367" s="85">
        <f t="shared" si="2214"/>
        <v>2</v>
      </c>
      <c r="AG367" s="86">
        <f t="shared" ref="AG367:AG392" si="2227">SUM(AC367:AF367)</f>
        <v>7</v>
      </c>
      <c r="AH367" s="87">
        <f t="shared" ref="AH367:AJ367" si="2215">RANDBETWEEN(1,10)</f>
        <v>10</v>
      </c>
      <c r="AI367" s="85">
        <f t="shared" si="2215"/>
        <v>9</v>
      </c>
      <c r="AJ367" s="85">
        <f t="shared" si="2215"/>
        <v>5</v>
      </c>
      <c r="AK367" s="88">
        <f t="shared" ref="AK367:AK392" si="2229">SUM(AH367:AJ367)</f>
        <v>24</v>
      </c>
      <c r="AL367" s="85"/>
      <c r="AM367" s="85"/>
      <c r="AN367" s="85"/>
      <c r="AO367" s="85"/>
      <c r="AP367" s="89"/>
      <c r="AQ367" s="87"/>
      <c r="AR367" s="85"/>
      <c r="AS367" s="85"/>
      <c r="AT367" s="90"/>
      <c r="AU367" s="87"/>
      <c r="AV367" s="85"/>
      <c r="AW367" s="85"/>
      <c r="AX367" s="91"/>
      <c r="AY367" s="92">
        <f t="shared" ref="AY367:AZ367" si="2216">RANDBETWEEN(1,10)/10</f>
        <v>0.3</v>
      </c>
      <c r="AZ367" s="92">
        <f t="shared" si="2216"/>
        <v>0.5</v>
      </c>
      <c r="BA367" s="93">
        <v>0.0</v>
      </c>
      <c r="BB367" s="93">
        <v>0.0</v>
      </c>
      <c r="BC367" s="94">
        <f>SUM(BC339,'ГОЧ'!$AY367)</f>
        <v>1209</v>
      </c>
      <c r="BD367" s="94">
        <f>SUM(BD339,'ГОЧ'!$AZ367)</f>
        <v>1209.7</v>
      </c>
      <c r="BE367" s="85"/>
      <c r="BF367" s="85"/>
    </row>
    <row r="368" ht="15.75" customHeight="1">
      <c r="A368" s="67">
        <f t="shared" si="2217"/>
        <v>46267</v>
      </c>
      <c r="B368" s="95" t="s">
        <v>10</v>
      </c>
      <c r="C368" s="96">
        <f t="shared" si="2218"/>
        <v>2</v>
      </c>
      <c r="D368" s="97">
        <f t="shared" ref="D368:L368" si="2219">RANDBETWEEN(0,2)</f>
        <v>1</v>
      </c>
      <c r="E368" s="97">
        <f t="shared" si="2219"/>
        <v>2</v>
      </c>
      <c r="F368" s="97">
        <f t="shared" si="2219"/>
        <v>1</v>
      </c>
      <c r="G368" s="97">
        <f t="shared" si="2219"/>
        <v>2</v>
      </c>
      <c r="H368" s="98">
        <f t="shared" si="2219"/>
        <v>1</v>
      </c>
      <c r="I368" s="99">
        <f t="shared" si="2219"/>
        <v>0</v>
      </c>
      <c r="J368" s="100">
        <f t="shared" si="2219"/>
        <v>0</v>
      </c>
      <c r="K368" s="101">
        <f t="shared" si="2219"/>
        <v>1</v>
      </c>
      <c r="L368" s="101">
        <f t="shared" si="2219"/>
        <v>2</v>
      </c>
      <c r="M368" s="102">
        <f t="shared" si="2220"/>
        <v>38</v>
      </c>
      <c r="N368" s="97">
        <f t="shared" ref="N368:T368" si="2221">RANDBETWEEN(0,10)</f>
        <v>8</v>
      </c>
      <c r="O368" s="97">
        <f t="shared" si="2221"/>
        <v>4</v>
      </c>
      <c r="P368" s="97">
        <f t="shared" si="2221"/>
        <v>7</v>
      </c>
      <c r="Q368" s="97">
        <f t="shared" si="2221"/>
        <v>5</v>
      </c>
      <c r="R368" s="97">
        <f t="shared" si="2221"/>
        <v>2</v>
      </c>
      <c r="S368" s="97">
        <f t="shared" si="2221"/>
        <v>5</v>
      </c>
      <c r="T368" s="97">
        <f t="shared" si="2221"/>
        <v>7</v>
      </c>
      <c r="U368" s="103">
        <f t="shared" si="2222"/>
        <v>25</v>
      </c>
      <c r="V368" s="104">
        <f t="shared" si="2223"/>
        <v>2</v>
      </c>
      <c r="W368" s="97">
        <f t="shared" ref="W368:Y368" si="2224">RANDBETWEEN(0,2)</f>
        <v>0</v>
      </c>
      <c r="X368" s="97">
        <f t="shared" si="2224"/>
        <v>0</v>
      </c>
      <c r="Y368" s="97">
        <f t="shared" si="2224"/>
        <v>2</v>
      </c>
      <c r="Z368" s="105">
        <f t="shared" si="2225"/>
        <v>2</v>
      </c>
      <c r="AA368" s="106">
        <f t="shared" ref="AA368:AF368" si="2226">RANDBETWEEN(0,2)</f>
        <v>2</v>
      </c>
      <c r="AB368" s="106">
        <f t="shared" si="2226"/>
        <v>0</v>
      </c>
      <c r="AC368" s="107">
        <f t="shared" si="2226"/>
        <v>2</v>
      </c>
      <c r="AD368" s="108">
        <f t="shared" si="2226"/>
        <v>1</v>
      </c>
      <c r="AE368" s="108">
        <f t="shared" si="2226"/>
        <v>2</v>
      </c>
      <c r="AF368" s="108">
        <f t="shared" si="2226"/>
        <v>2</v>
      </c>
      <c r="AG368" s="109">
        <f t="shared" si="2227"/>
        <v>7</v>
      </c>
      <c r="AH368" s="107">
        <f t="shared" ref="AH368:AJ368" si="2228">RANDBETWEEN(1,10)</f>
        <v>3</v>
      </c>
      <c r="AI368" s="108">
        <f t="shared" si="2228"/>
        <v>3</v>
      </c>
      <c r="AJ368" s="108">
        <f t="shared" si="2228"/>
        <v>8</v>
      </c>
      <c r="AK368" s="110">
        <f t="shared" si="2229"/>
        <v>14</v>
      </c>
      <c r="AL368" s="107"/>
      <c r="AM368" s="108"/>
      <c r="AN368" s="108"/>
      <c r="AO368" s="108"/>
      <c r="AP368" s="111"/>
      <c r="AQ368" s="107"/>
      <c r="AR368" s="108"/>
      <c r="AS368" s="108"/>
      <c r="AT368" s="112"/>
      <c r="AU368" s="107"/>
      <c r="AV368" s="108"/>
      <c r="AW368" s="108"/>
      <c r="AX368" s="113"/>
      <c r="AY368" s="92">
        <f t="shared" ref="AY368:AZ368" si="2230">RANDBETWEEN(1,10)/10</f>
        <v>0.1</v>
      </c>
      <c r="AZ368" s="92">
        <f t="shared" si="2230"/>
        <v>0.8</v>
      </c>
      <c r="BA368" s="93">
        <v>0.0</v>
      </c>
      <c r="BB368" s="93">
        <v>0.0</v>
      </c>
      <c r="BC368" s="94">
        <f>SUM(BC340,'ГОЧ'!$AY368)</f>
        <v>1206.3</v>
      </c>
      <c r="BD368" s="94">
        <f>SUM(BD340,'ГОЧ'!$AZ368)</f>
        <v>1207.4</v>
      </c>
      <c r="BE368" s="108"/>
      <c r="BF368" s="108"/>
    </row>
    <row r="369" ht="15.75" customHeight="1">
      <c r="A369" s="67">
        <f t="shared" si="2217"/>
        <v>46267</v>
      </c>
      <c r="B369" s="114" t="s">
        <v>12</v>
      </c>
      <c r="C369" s="115">
        <f t="shared" si="2218"/>
        <v>0</v>
      </c>
      <c r="D369" s="115">
        <v>0.0</v>
      </c>
      <c r="E369" s="116">
        <v>0.0</v>
      </c>
      <c r="F369" s="116">
        <v>0.0</v>
      </c>
      <c r="G369" s="116">
        <v>0.0</v>
      </c>
      <c r="H369" s="115">
        <v>0.0</v>
      </c>
      <c r="I369" s="116">
        <v>0.0</v>
      </c>
      <c r="J369" s="115">
        <v>0.0</v>
      </c>
      <c r="K369" s="116">
        <v>0.0</v>
      </c>
      <c r="L369" s="116">
        <v>0.0</v>
      </c>
      <c r="M369" s="115">
        <f t="shared" si="2220"/>
        <v>0</v>
      </c>
      <c r="N369" s="115">
        <v>0.0</v>
      </c>
      <c r="O369" s="116">
        <v>0.0</v>
      </c>
      <c r="P369" s="116">
        <v>0.0</v>
      </c>
      <c r="Q369" s="116">
        <v>0.0</v>
      </c>
      <c r="R369" s="116">
        <v>0.0</v>
      </c>
      <c r="S369" s="116">
        <v>0.0</v>
      </c>
      <c r="T369" s="116">
        <v>0.0</v>
      </c>
      <c r="U369" s="115">
        <v>0.0</v>
      </c>
      <c r="V369" s="115">
        <f t="shared" si="2223"/>
        <v>0</v>
      </c>
      <c r="W369" s="116">
        <v>0.0</v>
      </c>
      <c r="X369" s="116">
        <v>0.0</v>
      </c>
      <c r="Y369" s="116">
        <v>0.0</v>
      </c>
      <c r="Z369" s="116">
        <f t="shared" si="2225"/>
        <v>0</v>
      </c>
      <c r="AA369" s="116">
        <v>0.0</v>
      </c>
      <c r="AB369" s="116">
        <v>0.0</v>
      </c>
      <c r="AC369" s="117">
        <v>0.0</v>
      </c>
      <c r="AD369" s="118">
        <v>0.0</v>
      </c>
      <c r="AE369" s="118">
        <v>0.0</v>
      </c>
      <c r="AF369" s="118">
        <v>0.0</v>
      </c>
      <c r="AG369" s="119">
        <f t="shared" si="2227"/>
        <v>0</v>
      </c>
      <c r="AH369" s="117">
        <v>0.0</v>
      </c>
      <c r="AI369" s="118">
        <v>0.0</v>
      </c>
      <c r="AJ369" s="118">
        <v>0.0</v>
      </c>
      <c r="AK369" s="119">
        <f t="shared" si="2229"/>
        <v>0</v>
      </c>
      <c r="AL369" s="117"/>
      <c r="AM369" s="118"/>
      <c r="AN369" s="118"/>
      <c r="AO369" s="118"/>
      <c r="AP369" s="111"/>
      <c r="AQ369" s="117"/>
      <c r="AR369" s="118"/>
      <c r="AS369" s="118"/>
      <c r="AT369" s="120"/>
      <c r="AU369" s="117"/>
      <c r="AV369" s="118"/>
      <c r="AW369" s="118"/>
      <c r="AX369" s="121"/>
      <c r="AY369" s="122">
        <f t="shared" ref="AY369:BD369" si="2231">SUM(AY367:AY368)</f>
        <v>0.4</v>
      </c>
      <c r="AZ369" s="122">
        <f t="shared" si="2231"/>
        <v>1.3</v>
      </c>
      <c r="BA369" s="118">
        <f t="shared" si="2231"/>
        <v>0</v>
      </c>
      <c r="BB369" s="118">
        <f t="shared" si="2231"/>
        <v>0</v>
      </c>
      <c r="BC369" s="123">
        <f t="shared" si="2231"/>
        <v>2415.3</v>
      </c>
      <c r="BD369" s="123">
        <f t="shared" si="2231"/>
        <v>2417.1</v>
      </c>
      <c r="BE369" s="118"/>
      <c r="BF369" s="118"/>
    </row>
    <row r="370" ht="15.75" customHeight="1">
      <c r="A370" s="67">
        <f t="shared" si="2217"/>
        <v>46267</v>
      </c>
      <c r="B370" s="124" t="s">
        <v>14</v>
      </c>
      <c r="C370" s="96">
        <f t="shared" si="2218"/>
        <v>1</v>
      </c>
      <c r="D370" s="125">
        <f t="shared" ref="D370:L370" si="2232">RANDBETWEEN(0,2)</f>
        <v>0</v>
      </c>
      <c r="E370" s="125">
        <f t="shared" si="2232"/>
        <v>2</v>
      </c>
      <c r="F370" s="125">
        <f t="shared" si="2232"/>
        <v>1</v>
      </c>
      <c r="G370" s="125">
        <f t="shared" si="2232"/>
        <v>2</v>
      </c>
      <c r="H370" s="126">
        <f t="shared" si="2232"/>
        <v>2</v>
      </c>
      <c r="I370" s="127">
        <f t="shared" si="2232"/>
        <v>1</v>
      </c>
      <c r="J370" s="128">
        <f t="shared" si="2232"/>
        <v>0</v>
      </c>
      <c r="K370" s="130">
        <f t="shared" si="2232"/>
        <v>0</v>
      </c>
      <c r="L370" s="130">
        <f t="shared" si="2232"/>
        <v>2</v>
      </c>
      <c r="M370" s="102">
        <f t="shared" si="2220"/>
        <v>37</v>
      </c>
      <c r="N370" s="125">
        <f t="shared" ref="N370:T370" si="2233">RANDBETWEEN(0,10)</f>
        <v>0</v>
      </c>
      <c r="O370" s="125">
        <f t="shared" si="2233"/>
        <v>0</v>
      </c>
      <c r="P370" s="125">
        <f t="shared" si="2233"/>
        <v>7</v>
      </c>
      <c r="Q370" s="125">
        <f t="shared" si="2233"/>
        <v>6</v>
      </c>
      <c r="R370" s="125">
        <f t="shared" si="2233"/>
        <v>6</v>
      </c>
      <c r="S370" s="125">
        <f t="shared" si="2233"/>
        <v>10</v>
      </c>
      <c r="T370" s="125">
        <f t="shared" si="2233"/>
        <v>8</v>
      </c>
      <c r="U370" s="103">
        <f t="shared" ref="U370:U371" si="2240">RANDBETWEEN(10,30)</f>
        <v>13</v>
      </c>
      <c r="V370" s="131">
        <f t="shared" si="2223"/>
        <v>2</v>
      </c>
      <c r="W370" s="125">
        <f t="shared" ref="W370:Y370" si="2234">RANDBETWEEN(0,2)</f>
        <v>1</v>
      </c>
      <c r="X370" s="125">
        <f t="shared" si="2234"/>
        <v>0</v>
      </c>
      <c r="Y370" s="125">
        <f t="shared" si="2234"/>
        <v>1</v>
      </c>
      <c r="Z370" s="132">
        <f t="shared" ref="Z370:Z373" si="2242">SUM(AA370:AB370)</f>
        <v>4</v>
      </c>
      <c r="AA370" s="133">
        <f t="shared" ref="AA370:AF370" si="2235">RANDBETWEEN(0,2)</f>
        <v>2</v>
      </c>
      <c r="AB370" s="133">
        <f t="shared" si="2235"/>
        <v>2</v>
      </c>
      <c r="AC370" s="134">
        <f t="shared" si="2235"/>
        <v>0</v>
      </c>
      <c r="AD370" s="134">
        <f t="shared" si="2235"/>
        <v>1</v>
      </c>
      <c r="AE370" s="134">
        <f t="shared" si="2235"/>
        <v>1</v>
      </c>
      <c r="AF370" s="134">
        <f t="shared" si="2235"/>
        <v>1</v>
      </c>
      <c r="AG370" s="135">
        <f t="shared" si="2227"/>
        <v>3</v>
      </c>
      <c r="AH370" s="136">
        <f t="shared" ref="AH370:AJ370" si="2236">RANDBETWEEN(1,10)</f>
        <v>5</v>
      </c>
      <c r="AI370" s="134">
        <f t="shared" si="2236"/>
        <v>10</v>
      </c>
      <c r="AJ370" s="134">
        <f t="shared" si="2236"/>
        <v>1</v>
      </c>
      <c r="AK370" s="137">
        <f t="shared" si="2229"/>
        <v>16</v>
      </c>
      <c r="AL370" s="134"/>
      <c r="AM370" s="134"/>
      <c r="AN370" s="134"/>
      <c r="AO370" s="134"/>
      <c r="AP370" s="111"/>
      <c r="AQ370" s="136"/>
      <c r="AR370" s="134"/>
      <c r="AS370" s="134"/>
      <c r="AT370" s="120"/>
      <c r="AU370" s="136"/>
      <c r="AV370" s="134"/>
      <c r="AW370" s="134"/>
      <c r="AX370" s="121"/>
      <c r="AY370" s="92">
        <f t="shared" ref="AY370:AZ370" si="2237">RANDBETWEEN(1,10)/10</f>
        <v>0.3</v>
      </c>
      <c r="AZ370" s="92">
        <f t="shared" si="2237"/>
        <v>0.2</v>
      </c>
      <c r="BA370" s="93">
        <v>0.0</v>
      </c>
      <c r="BB370" s="93">
        <v>0.0</v>
      </c>
      <c r="BC370" s="94">
        <f>SUM(BC342,'ГОЧ'!$AY370)</f>
        <v>1205.5</v>
      </c>
      <c r="BD370" s="94">
        <f>SUM(BD342,'ГОЧ'!$AZ370)</f>
        <v>1205.7</v>
      </c>
      <c r="BE370" s="108"/>
      <c r="BF370" s="108"/>
    </row>
    <row r="371" ht="15.75" customHeight="1">
      <c r="A371" s="67">
        <f t="shared" si="2217"/>
        <v>46267</v>
      </c>
      <c r="B371" s="138" t="s">
        <v>16</v>
      </c>
      <c r="C371" s="139">
        <f t="shared" si="2218"/>
        <v>2</v>
      </c>
      <c r="D371" s="97">
        <f t="shared" ref="D371:L371" si="2238">RANDBETWEEN(0,2)</f>
        <v>1</v>
      </c>
      <c r="E371" s="97">
        <f t="shared" si="2238"/>
        <v>2</v>
      </c>
      <c r="F371" s="97">
        <f t="shared" si="2238"/>
        <v>1</v>
      </c>
      <c r="G371" s="97">
        <f t="shared" si="2238"/>
        <v>0</v>
      </c>
      <c r="H371" s="98">
        <f t="shared" si="2238"/>
        <v>0</v>
      </c>
      <c r="I371" s="99">
        <f t="shared" si="2238"/>
        <v>1</v>
      </c>
      <c r="J371" s="100">
        <f t="shared" si="2238"/>
        <v>2</v>
      </c>
      <c r="K371" s="101">
        <f t="shared" si="2238"/>
        <v>0</v>
      </c>
      <c r="L371" s="101">
        <f t="shared" si="2238"/>
        <v>2</v>
      </c>
      <c r="M371" s="140">
        <f t="shared" si="2220"/>
        <v>31</v>
      </c>
      <c r="N371" s="97">
        <f t="shared" ref="N371:T371" si="2239">RANDBETWEEN(0,10)</f>
        <v>7</v>
      </c>
      <c r="O371" s="97">
        <f t="shared" si="2239"/>
        <v>9</v>
      </c>
      <c r="P371" s="97">
        <f t="shared" si="2239"/>
        <v>3</v>
      </c>
      <c r="Q371" s="97">
        <f t="shared" si="2239"/>
        <v>9</v>
      </c>
      <c r="R371" s="97">
        <f t="shared" si="2239"/>
        <v>1</v>
      </c>
      <c r="S371" s="97">
        <f t="shared" si="2239"/>
        <v>1</v>
      </c>
      <c r="T371" s="97">
        <f t="shared" si="2239"/>
        <v>1</v>
      </c>
      <c r="U371" s="103">
        <f t="shared" si="2240"/>
        <v>13</v>
      </c>
      <c r="V371" s="141">
        <f t="shared" si="2223"/>
        <v>3</v>
      </c>
      <c r="W371" s="97">
        <f t="shared" ref="W371:Y371" si="2241">RANDBETWEEN(0,2)</f>
        <v>0</v>
      </c>
      <c r="X371" s="97">
        <f t="shared" si="2241"/>
        <v>1</v>
      </c>
      <c r="Y371" s="97">
        <f t="shared" si="2241"/>
        <v>2</v>
      </c>
      <c r="Z371" s="142">
        <f t="shared" si="2242"/>
        <v>1</v>
      </c>
      <c r="AA371" s="143">
        <f t="shared" ref="AA371:AF371" si="2243">RANDBETWEEN(0,2)</f>
        <v>1</v>
      </c>
      <c r="AB371" s="143">
        <f t="shared" si="2243"/>
        <v>0</v>
      </c>
      <c r="AC371" s="144">
        <f t="shared" si="2243"/>
        <v>0</v>
      </c>
      <c r="AD371" s="145">
        <f t="shared" si="2243"/>
        <v>0</v>
      </c>
      <c r="AE371" s="145">
        <f t="shared" si="2243"/>
        <v>2</v>
      </c>
      <c r="AF371" s="145">
        <f t="shared" si="2243"/>
        <v>2</v>
      </c>
      <c r="AG371" s="146">
        <f t="shared" si="2227"/>
        <v>4</v>
      </c>
      <c r="AH371" s="144">
        <f t="shared" ref="AH371:AJ371" si="2244">RANDBETWEEN(1,10)</f>
        <v>9</v>
      </c>
      <c r="AI371" s="145">
        <f t="shared" si="2244"/>
        <v>9</v>
      </c>
      <c r="AJ371" s="145">
        <f t="shared" si="2244"/>
        <v>9</v>
      </c>
      <c r="AK371" s="147">
        <f t="shared" si="2229"/>
        <v>27</v>
      </c>
      <c r="AL371" s="144"/>
      <c r="AM371" s="145"/>
      <c r="AN371" s="145"/>
      <c r="AO371" s="145"/>
      <c r="AP371" s="148"/>
      <c r="AQ371" s="144"/>
      <c r="AR371" s="145"/>
      <c r="AS371" s="145"/>
      <c r="AT371" s="149"/>
      <c r="AU371" s="144"/>
      <c r="AV371" s="145"/>
      <c r="AW371" s="145"/>
      <c r="AX371" s="150"/>
      <c r="AY371" s="92">
        <f t="shared" ref="AY371:AZ371" si="2245">RANDBETWEEN(1,10)/10</f>
        <v>1</v>
      </c>
      <c r="AZ371" s="92">
        <f t="shared" si="2245"/>
        <v>1</v>
      </c>
      <c r="BA371" s="93">
        <v>0.0</v>
      </c>
      <c r="BB371" s="93">
        <v>0.0</v>
      </c>
      <c r="BC371" s="94">
        <f>SUM(BC343,'ГОЧ'!$AY371)</f>
        <v>1207</v>
      </c>
      <c r="BD371" s="94">
        <f>SUM(BD343,'ГОЧ'!$AZ371)</f>
        <v>1207.5</v>
      </c>
      <c r="BE371" s="108"/>
      <c r="BF371" s="108"/>
    </row>
    <row r="372" ht="15.75" customHeight="1">
      <c r="A372" s="67">
        <f t="shared" si="2217"/>
        <v>46267</v>
      </c>
      <c r="B372" s="114" t="s">
        <v>18</v>
      </c>
      <c r="C372" s="115">
        <f t="shared" si="2218"/>
        <v>3</v>
      </c>
      <c r="D372" s="115">
        <f t="shared" ref="D372:L372" si="2246">SUM(D370:D371)</f>
        <v>1</v>
      </c>
      <c r="E372" s="116">
        <f t="shared" si="2246"/>
        <v>4</v>
      </c>
      <c r="F372" s="116">
        <f t="shared" si="2246"/>
        <v>2</v>
      </c>
      <c r="G372" s="116">
        <f t="shared" si="2246"/>
        <v>2</v>
      </c>
      <c r="H372" s="115">
        <f t="shared" si="2246"/>
        <v>2</v>
      </c>
      <c r="I372" s="116">
        <f t="shared" si="2246"/>
        <v>2</v>
      </c>
      <c r="J372" s="115">
        <f t="shared" si="2246"/>
        <v>2</v>
      </c>
      <c r="K372" s="116">
        <f t="shared" si="2246"/>
        <v>0</v>
      </c>
      <c r="L372" s="116">
        <f t="shared" si="2246"/>
        <v>4</v>
      </c>
      <c r="M372" s="115">
        <f t="shared" si="2220"/>
        <v>61</v>
      </c>
      <c r="N372" s="115">
        <f t="shared" ref="N372:Q372" si="2247">SUM(N370:N371)</f>
        <v>7</v>
      </c>
      <c r="O372" s="116">
        <f t="shared" si="2247"/>
        <v>9</v>
      </c>
      <c r="P372" s="116">
        <f t="shared" si="2247"/>
        <v>10</v>
      </c>
      <c r="Q372" s="116">
        <f t="shared" si="2247"/>
        <v>15</v>
      </c>
      <c r="R372" s="116">
        <v>0.0</v>
      </c>
      <c r="S372" s="116">
        <f t="shared" ref="S372:U372" si="2248">SUM(S370:S371)</f>
        <v>11</v>
      </c>
      <c r="T372" s="116">
        <f t="shared" si="2248"/>
        <v>9</v>
      </c>
      <c r="U372" s="115">
        <f t="shared" si="2248"/>
        <v>26</v>
      </c>
      <c r="V372" s="115">
        <f t="shared" si="2223"/>
        <v>5</v>
      </c>
      <c r="W372" s="116">
        <f t="shared" ref="W372:Y372" si="2249">SUM(W370:W371)</f>
        <v>1</v>
      </c>
      <c r="X372" s="116">
        <f t="shared" si="2249"/>
        <v>1</v>
      </c>
      <c r="Y372" s="116">
        <f t="shared" si="2249"/>
        <v>3</v>
      </c>
      <c r="Z372" s="116">
        <f t="shared" si="2242"/>
        <v>5</v>
      </c>
      <c r="AA372" s="116">
        <f t="shared" ref="AA372:AF372" si="2250">SUM(AA370:AA371)</f>
        <v>3</v>
      </c>
      <c r="AB372" s="116">
        <f t="shared" si="2250"/>
        <v>2</v>
      </c>
      <c r="AC372" s="118">
        <f t="shared" si="2250"/>
        <v>0</v>
      </c>
      <c r="AD372" s="118">
        <f t="shared" si="2250"/>
        <v>1</v>
      </c>
      <c r="AE372" s="118">
        <f t="shared" si="2250"/>
        <v>3</v>
      </c>
      <c r="AF372" s="118">
        <f t="shared" si="2250"/>
        <v>3</v>
      </c>
      <c r="AG372" s="117">
        <f t="shared" si="2227"/>
        <v>7</v>
      </c>
      <c r="AH372" s="117">
        <f t="shared" ref="AH372:AJ372" si="2251">SUM(AH370:AH371)</f>
        <v>14</v>
      </c>
      <c r="AI372" s="118">
        <f t="shared" si="2251"/>
        <v>19</v>
      </c>
      <c r="AJ372" s="118">
        <f t="shared" si="2251"/>
        <v>10</v>
      </c>
      <c r="AK372" s="117">
        <f t="shared" si="2229"/>
        <v>43</v>
      </c>
      <c r="AL372" s="118"/>
      <c r="AM372" s="118"/>
      <c r="AN372" s="118"/>
      <c r="AO372" s="118"/>
      <c r="AP372" s="151"/>
      <c r="AQ372" s="117"/>
      <c r="AR372" s="118"/>
      <c r="AS372" s="118"/>
      <c r="AT372" s="152"/>
      <c r="AU372" s="117"/>
      <c r="AV372" s="118"/>
      <c r="AW372" s="118"/>
      <c r="AX372" s="153"/>
      <c r="AY372" s="122">
        <f t="shared" ref="AY372:BD372" si="2252">SUM(AY370:AY371)</f>
        <v>1.3</v>
      </c>
      <c r="AZ372" s="122">
        <f t="shared" si="2252"/>
        <v>1.2</v>
      </c>
      <c r="BA372" s="118">
        <f t="shared" si="2252"/>
        <v>0</v>
      </c>
      <c r="BB372" s="118">
        <f t="shared" si="2252"/>
        <v>0</v>
      </c>
      <c r="BC372" s="123">
        <f t="shared" si="2252"/>
        <v>2412.5</v>
      </c>
      <c r="BD372" s="123">
        <f t="shared" si="2252"/>
        <v>2413.2</v>
      </c>
      <c r="BE372" s="154" t="str">
        <f t="shared" ref="BE372:BF372" si="2253">TEXTJOIN(", ",TRUE,BE370:BE371)</f>
        <v/>
      </c>
      <c r="BF372" s="154" t="str">
        <f t="shared" si="2253"/>
        <v/>
      </c>
    </row>
    <row r="373" ht="15.75" customHeight="1">
      <c r="A373" s="67">
        <f t="shared" si="2217"/>
        <v>46267</v>
      </c>
      <c r="B373" s="114" t="s">
        <v>20</v>
      </c>
      <c r="C373" s="115">
        <f t="shared" si="2218"/>
        <v>5</v>
      </c>
      <c r="D373" s="115">
        <v>3.0</v>
      </c>
      <c r="E373" s="116">
        <v>0.0</v>
      </c>
      <c r="F373" s="116">
        <v>2.0</v>
      </c>
      <c r="G373" s="116">
        <v>2.0</v>
      </c>
      <c r="H373" s="115">
        <v>0.0</v>
      </c>
      <c r="I373" s="116">
        <v>0.0</v>
      </c>
      <c r="J373" s="115">
        <v>1.0</v>
      </c>
      <c r="K373" s="116">
        <v>1.0</v>
      </c>
      <c r="L373" s="116">
        <v>0.0</v>
      </c>
      <c r="M373" s="115">
        <f t="shared" si="2220"/>
        <v>38</v>
      </c>
      <c r="N373" s="115">
        <v>0.0</v>
      </c>
      <c r="O373" s="116">
        <v>0.0</v>
      </c>
      <c r="P373" s="116">
        <v>0.0</v>
      </c>
      <c r="Q373" s="116">
        <v>9.0</v>
      </c>
      <c r="R373" s="116">
        <v>0.0</v>
      </c>
      <c r="S373" s="116">
        <v>0.0</v>
      </c>
      <c r="T373" s="116">
        <v>29.0</v>
      </c>
      <c r="U373" s="115">
        <v>7.0</v>
      </c>
      <c r="V373" s="115">
        <f t="shared" ref="V373:V392" si="2257">W373+X373+Y373</f>
        <v>0</v>
      </c>
      <c r="W373" s="116">
        <v>0.0</v>
      </c>
      <c r="X373" s="116">
        <v>0.0</v>
      </c>
      <c r="Y373" s="116">
        <v>0.0</v>
      </c>
      <c r="Z373" s="116">
        <f t="shared" si="2242"/>
        <v>0</v>
      </c>
      <c r="AA373" s="116">
        <v>0.0</v>
      </c>
      <c r="AB373" s="116">
        <v>0.0</v>
      </c>
      <c r="AC373" s="117">
        <v>0.0</v>
      </c>
      <c r="AD373" s="118">
        <v>1.0</v>
      </c>
      <c r="AE373" s="118">
        <v>0.0</v>
      </c>
      <c r="AF373" s="118">
        <v>0.0</v>
      </c>
      <c r="AG373" s="119">
        <f t="shared" si="2227"/>
        <v>1</v>
      </c>
      <c r="AH373" s="117">
        <v>6.0</v>
      </c>
      <c r="AI373" s="118">
        <v>5.0</v>
      </c>
      <c r="AJ373" s="118">
        <v>0.0</v>
      </c>
      <c r="AK373" s="119">
        <f t="shared" si="2229"/>
        <v>11</v>
      </c>
      <c r="AL373" s="117"/>
      <c r="AM373" s="118"/>
      <c r="AN373" s="118"/>
      <c r="AO373" s="118"/>
      <c r="AP373" s="111"/>
      <c r="AQ373" s="117"/>
      <c r="AR373" s="118"/>
      <c r="AS373" s="118"/>
      <c r="AT373" s="120"/>
      <c r="AU373" s="117"/>
      <c r="AV373" s="118"/>
      <c r="AW373" s="118"/>
      <c r="AX373" s="121"/>
      <c r="AY373" s="122">
        <f t="shared" ref="AY373:AZ373" si="2254">RANDBETWEEN(1,10)</f>
        <v>3</v>
      </c>
      <c r="AZ373" s="122">
        <f t="shared" si="2254"/>
        <v>3</v>
      </c>
      <c r="BA373" s="118">
        <v>2.0</v>
      </c>
      <c r="BB373" s="118">
        <v>0.0</v>
      </c>
      <c r="BC373" s="123">
        <v>1.0</v>
      </c>
      <c r="BD373" s="123">
        <v>2.0</v>
      </c>
      <c r="BE373" s="118" t="s">
        <v>157</v>
      </c>
      <c r="BF373" s="118"/>
    </row>
    <row r="374" ht="15.75" customHeight="1">
      <c r="A374" s="67">
        <f t="shared" si="2217"/>
        <v>46267</v>
      </c>
      <c r="B374" s="124" t="s">
        <v>21</v>
      </c>
      <c r="C374" s="155">
        <f t="shared" si="2218"/>
        <v>2</v>
      </c>
      <c r="D374" s="125">
        <f t="shared" ref="D374:L374" si="2255">RANDBETWEEN(0,2)</f>
        <v>1</v>
      </c>
      <c r="E374" s="125">
        <f t="shared" si="2255"/>
        <v>1</v>
      </c>
      <c r="F374" s="125">
        <f t="shared" si="2255"/>
        <v>1</v>
      </c>
      <c r="G374" s="125">
        <f t="shared" si="2255"/>
        <v>1</v>
      </c>
      <c r="H374" s="126">
        <f t="shared" si="2255"/>
        <v>1</v>
      </c>
      <c r="I374" s="127">
        <f t="shared" si="2255"/>
        <v>0</v>
      </c>
      <c r="J374" s="128">
        <f t="shared" si="2255"/>
        <v>0</v>
      </c>
      <c r="K374" s="130">
        <f t="shared" si="2255"/>
        <v>2</v>
      </c>
      <c r="L374" s="130">
        <f t="shared" si="2255"/>
        <v>1</v>
      </c>
      <c r="M374" s="102">
        <f t="shared" si="2220"/>
        <v>26</v>
      </c>
      <c r="N374" s="125">
        <f t="shared" ref="N374:T374" si="2256">RANDBETWEEN(0,10)</f>
        <v>4</v>
      </c>
      <c r="O374" s="125">
        <f t="shared" si="2256"/>
        <v>9</v>
      </c>
      <c r="P374" s="125">
        <f t="shared" si="2256"/>
        <v>3</v>
      </c>
      <c r="Q374" s="125">
        <f t="shared" si="2256"/>
        <v>0</v>
      </c>
      <c r="R374" s="125">
        <f t="shared" si="2256"/>
        <v>3</v>
      </c>
      <c r="S374" s="125">
        <f t="shared" si="2256"/>
        <v>2</v>
      </c>
      <c r="T374" s="125">
        <f t="shared" si="2256"/>
        <v>5</v>
      </c>
      <c r="U374" s="103">
        <f t="shared" ref="U374:U378" si="2264">RANDBETWEEN(10,30)</f>
        <v>18</v>
      </c>
      <c r="V374" s="104">
        <f t="shared" si="2257"/>
        <v>2</v>
      </c>
      <c r="W374" s="125">
        <f t="shared" ref="W374:Y374" si="2258">RANDBETWEEN(0,2)</f>
        <v>0</v>
      </c>
      <c r="X374" s="125">
        <f t="shared" si="2258"/>
        <v>1</v>
      </c>
      <c r="Y374" s="125">
        <f t="shared" si="2258"/>
        <v>1</v>
      </c>
      <c r="Z374" s="105">
        <f t="shared" ref="Z374:Z391" si="2266">AA374+AB374</f>
        <v>3</v>
      </c>
      <c r="AA374" s="133">
        <f t="shared" ref="AA374:AF374" si="2259">RANDBETWEEN(0,2)</f>
        <v>2</v>
      </c>
      <c r="AB374" s="133">
        <f t="shared" si="2259"/>
        <v>1</v>
      </c>
      <c r="AC374" s="136">
        <f t="shared" si="2259"/>
        <v>0</v>
      </c>
      <c r="AD374" s="134">
        <f t="shared" si="2259"/>
        <v>2</v>
      </c>
      <c r="AE374" s="134">
        <f t="shared" si="2259"/>
        <v>2</v>
      </c>
      <c r="AF374" s="134">
        <f t="shared" si="2259"/>
        <v>2</v>
      </c>
      <c r="AG374" s="156">
        <f t="shared" si="2227"/>
        <v>6</v>
      </c>
      <c r="AH374" s="136">
        <f t="shared" ref="AH374:AJ374" si="2260">RANDBETWEEN(1,10)</f>
        <v>2</v>
      </c>
      <c r="AI374" s="134">
        <f t="shared" si="2260"/>
        <v>5</v>
      </c>
      <c r="AJ374" s="134">
        <f t="shared" si="2260"/>
        <v>8</v>
      </c>
      <c r="AK374" s="137">
        <f t="shared" si="2229"/>
        <v>15</v>
      </c>
      <c r="AL374" s="136"/>
      <c r="AM374" s="134"/>
      <c r="AN374" s="134"/>
      <c r="AO374" s="134"/>
      <c r="AP374" s="111"/>
      <c r="AQ374" s="136"/>
      <c r="AR374" s="134"/>
      <c r="AS374" s="134"/>
      <c r="AT374" s="120"/>
      <c r="AU374" s="136"/>
      <c r="AV374" s="134"/>
      <c r="AW374" s="134"/>
      <c r="AX374" s="121"/>
      <c r="AY374" s="92">
        <f t="shared" ref="AY374:AZ374" si="2261">RANDBETWEEN(1,10)/10</f>
        <v>0.4</v>
      </c>
      <c r="AZ374" s="92">
        <f t="shared" si="2261"/>
        <v>0.7</v>
      </c>
      <c r="BA374" s="93">
        <v>1.0</v>
      </c>
      <c r="BB374" s="93">
        <v>0.0</v>
      </c>
      <c r="BC374" s="94">
        <f>SUM(BC346,'ГОЧ'!$AY374)</f>
        <v>1208.5</v>
      </c>
      <c r="BD374" s="94">
        <f>SUM(BD346,'ГОЧ'!$AZ374)</f>
        <v>1206.9</v>
      </c>
      <c r="BE374" s="108" t="s">
        <v>162</v>
      </c>
      <c r="BF374" s="108"/>
    </row>
    <row r="375" ht="15.75" customHeight="1">
      <c r="A375" s="67">
        <f t="shared" si="2217"/>
        <v>46267</v>
      </c>
      <c r="B375" s="138" t="s">
        <v>23</v>
      </c>
      <c r="C375" s="157">
        <f t="shared" si="2218"/>
        <v>2</v>
      </c>
      <c r="D375" s="97">
        <f t="shared" ref="D375:L375" si="2262">RANDBETWEEN(0,2)</f>
        <v>0</v>
      </c>
      <c r="E375" s="97">
        <f t="shared" si="2262"/>
        <v>1</v>
      </c>
      <c r="F375" s="97">
        <f t="shared" si="2262"/>
        <v>2</v>
      </c>
      <c r="G375" s="97">
        <f t="shared" si="2262"/>
        <v>2</v>
      </c>
      <c r="H375" s="98">
        <f t="shared" si="2262"/>
        <v>0</v>
      </c>
      <c r="I375" s="99">
        <f t="shared" si="2262"/>
        <v>0</v>
      </c>
      <c r="J375" s="100">
        <f t="shared" si="2262"/>
        <v>0</v>
      </c>
      <c r="K375" s="101">
        <f t="shared" si="2262"/>
        <v>2</v>
      </c>
      <c r="L375" s="101">
        <f t="shared" si="2262"/>
        <v>1</v>
      </c>
      <c r="M375" s="140">
        <f t="shared" si="2220"/>
        <v>43</v>
      </c>
      <c r="N375" s="97">
        <f t="shared" ref="N375:T375" si="2263">RANDBETWEEN(0,10)</f>
        <v>6</v>
      </c>
      <c r="O375" s="97">
        <f t="shared" si="2263"/>
        <v>10</v>
      </c>
      <c r="P375" s="97">
        <f t="shared" si="2263"/>
        <v>2</v>
      </c>
      <c r="Q375" s="97">
        <f t="shared" si="2263"/>
        <v>10</v>
      </c>
      <c r="R375" s="97">
        <f t="shared" si="2263"/>
        <v>8</v>
      </c>
      <c r="S375" s="97">
        <f t="shared" si="2263"/>
        <v>3</v>
      </c>
      <c r="T375" s="97">
        <f t="shared" si="2263"/>
        <v>4</v>
      </c>
      <c r="U375" s="103">
        <f t="shared" si="2264"/>
        <v>10</v>
      </c>
      <c r="V375" s="158">
        <f t="shared" si="2257"/>
        <v>3</v>
      </c>
      <c r="W375" s="97">
        <f t="shared" ref="W375:Y375" si="2265">RANDBETWEEN(0,2)</f>
        <v>1</v>
      </c>
      <c r="X375" s="97">
        <f t="shared" si="2265"/>
        <v>0</v>
      </c>
      <c r="Y375" s="97">
        <f t="shared" si="2265"/>
        <v>2</v>
      </c>
      <c r="Z375" s="159">
        <f t="shared" si="2266"/>
        <v>3</v>
      </c>
      <c r="AA375" s="143">
        <f t="shared" ref="AA375:AF375" si="2267">RANDBETWEEN(0,2)</f>
        <v>1</v>
      </c>
      <c r="AB375" s="143">
        <f t="shared" si="2267"/>
        <v>2</v>
      </c>
      <c r="AC375" s="144">
        <f t="shared" si="2267"/>
        <v>2</v>
      </c>
      <c r="AD375" s="145">
        <f t="shared" si="2267"/>
        <v>0</v>
      </c>
      <c r="AE375" s="145">
        <f t="shared" si="2267"/>
        <v>1</v>
      </c>
      <c r="AF375" s="145">
        <f t="shared" si="2267"/>
        <v>1</v>
      </c>
      <c r="AG375" s="160">
        <f t="shared" si="2227"/>
        <v>4</v>
      </c>
      <c r="AH375" s="144">
        <f t="shared" ref="AH375:AJ375" si="2268">RANDBETWEEN(1,10)</f>
        <v>10</v>
      </c>
      <c r="AI375" s="145">
        <f t="shared" si="2268"/>
        <v>2</v>
      </c>
      <c r="AJ375" s="145">
        <f t="shared" si="2268"/>
        <v>4</v>
      </c>
      <c r="AK375" s="147">
        <f t="shared" si="2229"/>
        <v>16</v>
      </c>
      <c r="AL375" s="144"/>
      <c r="AM375" s="145"/>
      <c r="AN375" s="145"/>
      <c r="AO375" s="145"/>
      <c r="AP375" s="148"/>
      <c r="AQ375" s="144"/>
      <c r="AR375" s="145"/>
      <c r="AS375" s="145"/>
      <c r="AT375" s="149"/>
      <c r="AU375" s="144"/>
      <c r="AV375" s="145"/>
      <c r="AW375" s="145"/>
      <c r="AX375" s="150"/>
      <c r="AY375" s="92">
        <f t="shared" ref="AY375:AZ375" si="2269">RANDBETWEEN(1,10)/10</f>
        <v>0.4</v>
      </c>
      <c r="AZ375" s="92">
        <f t="shared" si="2269"/>
        <v>0.3</v>
      </c>
      <c r="BA375" s="93">
        <v>1.0</v>
      </c>
      <c r="BB375" s="93">
        <v>2.0</v>
      </c>
      <c r="BC375" s="94">
        <f>SUM(BC347,'ГОЧ'!$AY375)</f>
        <v>1208.5</v>
      </c>
      <c r="BD375" s="94">
        <f>SUM(BD347,'ГОЧ'!$AZ375)</f>
        <v>1207.3</v>
      </c>
      <c r="BE375" s="108" t="s">
        <v>165</v>
      </c>
      <c r="BF375" s="108" t="s">
        <v>166</v>
      </c>
    </row>
    <row r="376" ht="15.75" customHeight="1">
      <c r="A376" s="67">
        <f t="shared" si="2217"/>
        <v>46267</v>
      </c>
      <c r="B376" s="138" t="s">
        <v>25</v>
      </c>
      <c r="C376" s="157">
        <f t="shared" si="2218"/>
        <v>0</v>
      </c>
      <c r="D376" s="97">
        <f t="shared" ref="D376:L376" si="2270">RANDBETWEEN(0,2)</f>
        <v>0</v>
      </c>
      <c r="E376" s="97">
        <f t="shared" si="2270"/>
        <v>0</v>
      </c>
      <c r="F376" s="97">
        <f t="shared" si="2270"/>
        <v>0</v>
      </c>
      <c r="G376" s="97">
        <f t="shared" si="2270"/>
        <v>1</v>
      </c>
      <c r="H376" s="98">
        <f t="shared" si="2270"/>
        <v>0</v>
      </c>
      <c r="I376" s="99">
        <f t="shared" si="2270"/>
        <v>0</v>
      </c>
      <c r="J376" s="100">
        <f t="shared" si="2270"/>
        <v>0</v>
      </c>
      <c r="K376" s="101">
        <f t="shared" si="2270"/>
        <v>0</v>
      </c>
      <c r="L376" s="101">
        <f t="shared" si="2270"/>
        <v>0</v>
      </c>
      <c r="M376" s="140">
        <f t="shared" si="2220"/>
        <v>39</v>
      </c>
      <c r="N376" s="97">
        <f t="shared" ref="N376:T376" si="2271">RANDBETWEEN(0,10)</f>
        <v>9</v>
      </c>
      <c r="O376" s="97">
        <f t="shared" si="2271"/>
        <v>5</v>
      </c>
      <c r="P376" s="97">
        <f t="shared" si="2271"/>
        <v>8</v>
      </c>
      <c r="Q376" s="97">
        <f t="shared" si="2271"/>
        <v>9</v>
      </c>
      <c r="R376" s="97">
        <f t="shared" si="2271"/>
        <v>4</v>
      </c>
      <c r="S376" s="97">
        <f t="shared" si="2271"/>
        <v>2</v>
      </c>
      <c r="T376" s="97">
        <f t="shared" si="2271"/>
        <v>2</v>
      </c>
      <c r="U376" s="103">
        <f t="shared" si="2264"/>
        <v>11</v>
      </c>
      <c r="V376" s="158">
        <f t="shared" si="2257"/>
        <v>5</v>
      </c>
      <c r="W376" s="97">
        <f t="shared" ref="W376:Y376" si="2272">RANDBETWEEN(0,2)</f>
        <v>2</v>
      </c>
      <c r="X376" s="97">
        <f t="shared" si="2272"/>
        <v>2</v>
      </c>
      <c r="Y376" s="97">
        <f t="shared" si="2272"/>
        <v>1</v>
      </c>
      <c r="Z376" s="159">
        <f t="shared" si="2266"/>
        <v>3</v>
      </c>
      <c r="AA376" s="106">
        <f t="shared" ref="AA376:AF376" si="2273">RANDBETWEEN(0,2)</f>
        <v>1</v>
      </c>
      <c r="AB376" s="106">
        <f t="shared" si="2273"/>
        <v>2</v>
      </c>
      <c r="AC376" s="107">
        <f t="shared" si="2273"/>
        <v>1</v>
      </c>
      <c r="AD376" s="108">
        <f t="shared" si="2273"/>
        <v>2</v>
      </c>
      <c r="AE376" s="108">
        <f t="shared" si="2273"/>
        <v>0</v>
      </c>
      <c r="AF376" s="108">
        <f t="shared" si="2273"/>
        <v>0</v>
      </c>
      <c r="AG376" s="160">
        <f t="shared" si="2227"/>
        <v>3</v>
      </c>
      <c r="AH376" s="107">
        <f t="shared" ref="AH376:AJ376" si="2274">RANDBETWEEN(1,10)</f>
        <v>4</v>
      </c>
      <c r="AI376" s="108">
        <f t="shared" si="2274"/>
        <v>10</v>
      </c>
      <c r="AJ376" s="108">
        <f t="shared" si="2274"/>
        <v>4</v>
      </c>
      <c r="AK376" s="147">
        <f t="shared" si="2229"/>
        <v>18</v>
      </c>
      <c r="AL376" s="107"/>
      <c r="AM376" s="108"/>
      <c r="AN376" s="108"/>
      <c r="AO376" s="108"/>
      <c r="AP376" s="148"/>
      <c r="AQ376" s="107"/>
      <c r="AR376" s="108"/>
      <c r="AS376" s="108"/>
      <c r="AT376" s="149"/>
      <c r="AU376" s="107"/>
      <c r="AV376" s="108"/>
      <c r="AW376" s="108"/>
      <c r="AX376" s="150"/>
      <c r="AY376" s="92">
        <f t="shared" ref="AY376:AZ376" si="2275">RANDBETWEEN(1,10)/10</f>
        <v>0.1</v>
      </c>
      <c r="AZ376" s="92">
        <f t="shared" si="2275"/>
        <v>0.8</v>
      </c>
      <c r="BA376" s="93">
        <v>0.0</v>
      </c>
      <c r="BB376" s="93">
        <v>0.0</v>
      </c>
      <c r="BC376" s="94">
        <f>SUM(BC348,'ГОЧ'!$AY376)</f>
        <v>1206.9</v>
      </c>
      <c r="BD376" s="94">
        <f>SUM(BD348,'ГОЧ'!$AZ376)</f>
        <v>1206.6</v>
      </c>
      <c r="BE376" s="108"/>
      <c r="BF376" s="108"/>
    </row>
    <row r="377" ht="15.75" customHeight="1">
      <c r="A377" s="67">
        <f t="shared" si="2217"/>
        <v>46267</v>
      </c>
      <c r="B377" s="138" t="s">
        <v>26</v>
      </c>
      <c r="C377" s="157">
        <f t="shared" si="2218"/>
        <v>3</v>
      </c>
      <c r="D377" s="97">
        <f t="shared" ref="D377:L377" si="2276">RANDBETWEEN(0,2)</f>
        <v>1</v>
      </c>
      <c r="E377" s="97">
        <f t="shared" si="2276"/>
        <v>0</v>
      </c>
      <c r="F377" s="97">
        <f t="shared" si="2276"/>
        <v>2</v>
      </c>
      <c r="G377" s="97">
        <f t="shared" si="2276"/>
        <v>1</v>
      </c>
      <c r="H377" s="98">
        <f t="shared" si="2276"/>
        <v>0</v>
      </c>
      <c r="I377" s="99">
        <f t="shared" si="2276"/>
        <v>1</v>
      </c>
      <c r="J377" s="100">
        <f t="shared" si="2276"/>
        <v>0</v>
      </c>
      <c r="K377" s="101">
        <f t="shared" si="2276"/>
        <v>0</v>
      </c>
      <c r="L377" s="101">
        <f t="shared" si="2276"/>
        <v>2</v>
      </c>
      <c r="M377" s="140">
        <f t="shared" si="2220"/>
        <v>25</v>
      </c>
      <c r="N377" s="97">
        <f t="shared" ref="N377:T377" si="2277">RANDBETWEEN(0,10)</f>
        <v>2</v>
      </c>
      <c r="O377" s="97">
        <f t="shared" si="2277"/>
        <v>1</v>
      </c>
      <c r="P377" s="97">
        <f t="shared" si="2277"/>
        <v>5</v>
      </c>
      <c r="Q377" s="97">
        <f t="shared" si="2277"/>
        <v>10</v>
      </c>
      <c r="R377" s="97">
        <f t="shared" si="2277"/>
        <v>5</v>
      </c>
      <c r="S377" s="97">
        <f t="shared" si="2277"/>
        <v>2</v>
      </c>
      <c r="T377" s="97">
        <f t="shared" si="2277"/>
        <v>0</v>
      </c>
      <c r="U377" s="103">
        <f t="shared" si="2264"/>
        <v>19</v>
      </c>
      <c r="V377" s="158">
        <f t="shared" si="2257"/>
        <v>4</v>
      </c>
      <c r="W377" s="97">
        <f t="shared" ref="W377:Y377" si="2278">RANDBETWEEN(0,2)</f>
        <v>0</v>
      </c>
      <c r="X377" s="97">
        <f t="shared" si="2278"/>
        <v>2</v>
      </c>
      <c r="Y377" s="97">
        <f t="shared" si="2278"/>
        <v>2</v>
      </c>
      <c r="Z377" s="159">
        <f t="shared" si="2266"/>
        <v>1</v>
      </c>
      <c r="AA377" s="143">
        <f t="shared" ref="AA377:AF377" si="2279">RANDBETWEEN(0,2)</f>
        <v>0</v>
      </c>
      <c r="AB377" s="143">
        <f t="shared" si="2279"/>
        <v>1</v>
      </c>
      <c r="AC377" s="144">
        <f t="shared" si="2279"/>
        <v>2</v>
      </c>
      <c r="AD377" s="145">
        <f t="shared" si="2279"/>
        <v>0</v>
      </c>
      <c r="AE377" s="145">
        <f t="shared" si="2279"/>
        <v>2</v>
      </c>
      <c r="AF377" s="145">
        <f t="shared" si="2279"/>
        <v>0</v>
      </c>
      <c r="AG377" s="160">
        <f t="shared" si="2227"/>
        <v>4</v>
      </c>
      <c r="AH377" s="144">
        <f t="shared" ref="AH377:AJ377" si="2280">RANDBETWEEN(1,10)</f>
        <v>6</v>
      </c>
      <c r="AI377" s="145">
        <f t="shared" si="2280"/>
        <v>6</v>
      </c>
      <c r="AJ377" s="145">
        <f t="shared" si="2280"/>
        <v>9</v>
      </c>
      <c r="AK377" s="147">
        <f t="shared" si="2229"/>
        <v>21</v>
      </c>
      <c r="AL377" s="144"/>
      <c r="AM377" s="145"/>
      <c r="AN377" s="145"/>
      <c r="AO377" s="145"/>
      <c r="AP377" s="148"/>
      <c r="AQ377" s="144"/>
      <c r="AR377" s="145"/>
      <c r="AS377" s="145"/>
      <c r="AT377" s="149"/>
      <c r="AU377" s="144"/>
      <c r="AV377" s="145"/>
      <c r="AW377" s="145"/>
      <c r="AX377" s="150"/>
      <c r="AY377" s="92">
        <f t="shared" ref="AY377:AZ377" si="2281">RANDBETWEEN(1,10)/10</f>
        <v>0.4</v>
      </c>
      <c r="AZ377" s="92">
        <f t="shared" si="2281"/>
        <v>1</v>
      </c>
      <c r="BA377" s="93">
        <v>1.0</v>
      </c>
      <c r="BB377" s="93">
        <v>0.0</v>
      </c>
      <c r="BC377" s="94">
        <f>SUM(BC349,'ГОЧ'!$AY377)</f>
        <v>1205.9</v>
      </c>
      <c r="BD377" s="94">
        <f>SUM(BD349,'ГОЧ'!$AZ377)</f>
        <v>1207.7</v>
      </c>
      <c r="BE377" s="108" t="s">
        <v>167</v>
      </c>
      <c r="BF377" s="108"/>
    </row>
    <row r="378" ht="15.75" customHeight="1">
      <c r="A378" s="67">
        <f t="shared" si="2217"/>
        <v>46267</v>
      </c>
      <c r="B378" s="138" t="s">
        <v>28</v>
      </c>
      <c r="C378" s="157">
        <f t="shared" si="2218"/>
        <v>4</v>
      </c>
      <c r="D378" s="97">
        <f t="shared" ref="D378:L378" si="2282">RANDBETWEEN(0,2)</f>
        <v>2</v>
      </c>
      <c r="E378" s="97">
        <f t="shared" si="2282"/>
        <v>0</v>
      </c>
      <c r="F378" s="97">
        <f t="shared" si="2282"/>
        <v>2</v>
      </c>
      <c r="G378" s="97">
        <f t="shared" si="2282"/>
        <v>0</v>
      </c>
      <c r="H378" s="98">
        <f t="shared" si="2282"/>
        <v>0</v>
      </c>
      <c r="I378" s="99">
        <f t="shared" si="2282"/>
        <v>0</v>
      </c>
      <c r="J378" s="100">
        <f t="shared" si="2282"/>
        <v>1</v>
      </c>
      <c r="K378" s="101">
        <f t="shared" si="2282"/>
        <v>2</v>
      </c>
      <c r="L378" s="101">
        <f t="shared" si="2282"/>
        <v>0</v>
      </c>
      <c r="M378" s="140">
        <f t="shared" si="2220"/>
        <v>36</v>
      </c>
      <c r="N378" s="97">
        <f t="shared" ref="N378:T378" si="2283">RANDBETWEEN(0,10)</f>
        <v>8</v>
      </c>
      <c r="O378" s="97">
        <f t="shared" si="2283"/>
        <v>2</v>
      </c>
      <c r="P378" s="97">
        <f t="shared" si="2283"/>
        <v>2</v>
      </c>
      <c r="Q378" s="97">
        <f t="shared" si="2283"/>
        <v>5</v>
      </c>
      <c r="R378" s="97">
        <f t="shared" si="2283"/>
        <v>8</v>
      </c>
      <c r="S378" s="97">
        <f t="shared" si="2283"/>
        <v>7</v>
      </c>
      <c r="T378" s="97">
        <f t="shared" si="2283"/>
        <v>4</v>
      </c>
      <c r="U378" s="103">
        <f t="shared" si="2264"/>
        <v>24</v>
      </c>
      <c r="V378" s="158">
        <f t="shared" si="2257"/>
        <v>5</v>
      </c>
      <c r="W378" s="97">
        <f t="shared" ref="W378:Y378" si="2284">RANDBETWEEN(0,2)</f>
        <v>2</v>
      </c>
      <c r="X378" s="97">
        <f t="shared" si="2284"/>
        <v>1</v>
      </c>
      <c r="Y378" s="97">
        <f t="shared" si="2284"/>
        <v>2</v>
      </c>
      <c r="Z378" s="159">
        <f t="shared" si="2266"/>
        <v>2</v>
      </c>
      <c r="AA378" s="106">
        <f t="shared" ref="AA378:AF378" si="2285">RANDBETWEEN(0,2)</f>
        <v>2</v>
      </c>
      <c r="AB378" s="106">
        <f t="shared" si="2285"/>
        <v>0</v>
      </c>
      <c r="AC378" s="107">
        <f t="shared" si="2285"/>
        <v>1</v>
      </c>
      <c r="AD378" s="108">
        <f t="shared" si="2285"/>
        <v>1</v>
      </c>
      <c r="AE378" s="108">
        <f t="shared" si="2285"/>
        <v>0</v>
      </c>
      <c r="AF378" s="108">
        <f t="shared" si="2285"/>
        <v>1</v>
      </c>
      <c r="AG378" s="160">
        <f t="shared" si="2227"/>
        <v>3</v>
      </c>
      <c r="AH378" s="107">
        <f t="shared" ref="AH378:AJ378" si="2286">RANDBETWEEN(1,10)</f>
        <v>2</v>
      </c>
      <c r="AI378" s="108">
        <f t="shared" si="2286"/>
        <v>10</v>
      </c>
      <c r="AJ378" s="108">
        <f t="shared" si="2286"/>
        <v>7</v>
      </c>
      <c r="AK378" s="147">
        <f t="shared" si="2229"/>
        <v>19</v>
      </c>
      <c r="AL378" s="107"/>
      <c r="AM378" s="108"/>
      <c r="AN378" s="108"/>
      <c r="AO378" s="108"/>
      <c r="AP378" s="148"/>
      <c r="AQ378" s="107"/>
      <c r="AR378" s="108"/>
      <c r="AS378" s="108"/>
      <c r="AT378" s="149"/>
      <c r="AU378" s="107"/>
      <c r="AV378" s="108"/>
      <c r="AW378" s="108"/>
      <c r="AX378" s="150"/>
      <c r="AY378" s="92">
        <f t="shared" ref="AY378:AZ378" si="2287">RANDBETWEEN(1,10)/10</f>
        <v>0.2</v>
      </c>
      <c r="AZ378" s="92">
        <f t="shared" si="2287"/>
        <v>0.7</v>
      </c>
      <c r="BA378" s="93">
        <v>0.0</v>
      </c>
      <c r="BB378" s="93">
        <v>1.0</v>
      </c>
      <c r="BC378" s="94">
        <f>SUM(BC350,'ГОЧ'!$AY378)</f>
        <v>1208</v>
      </c>
      <c r="BD378" s="94">
        <f>SUM(BD350,'ГОЧ'!$AZ378)</f>
        <v>1207.6</v>
      </c>
      <c r="BE378" s="108"/>
      <c r="BF378" s="108" t="s">
        <v>168</v>
      </c>
    </row>
    <row r="379" ht="15.75" customHeight="1">
      <c r="A379" s="67">
        <f t="shared" si="2217"/>
        <v>46267</v>
      </c>
      <c r="B379" s="114" t="s">
        <v>29</v>
      </c>
      <c r="C379" s="164">
        <f t="shared" si="2218"/>
        <v>11</v>
      </c>
      <c r="D379" s="165">
        <f t="shared" ref="D379:L379" si="2288">D374+D375+D376+D377+D378</f>
        <v>4</v>
      </c>
      <c r="E379" s="165">
        <f t="shared" si="2288"/>
        <v>2</v>
      </c>
      <c r="F379" s="165">
        <f t="shared" si="2288"/>
        <v>7</v>
      </c>
      <c r="G379" s="165">
        <f t="shared" si="2288"/>
        <v>5</v>
      </c>
      <c r="H379" s="164">
        <f t="shared" si="2288"/>
        <v>1</v>
      </c>
      <c r="I379" s="165">
        <f t="shared" si="2288"/>
        <v>1</v>
      </c>
      <c r="J379" s="164">
        <f t="shared" si="2288"/>
        <v>1</v>
      </c>
      <c r="K379" s="165">
        <f t="shared" si="2288"/>
        <v>6</v>
      </c>
      <c r="L379" s="165">
        <f t="shared" si="2288"/>
        <v>4</v>
      </c>
      <c r="M379" s="164">
        <f t="shared" si="2220"/>
        <v>169</v>
      </c>
      <c r="N379" s="164">
        <f t="shared" ref="N379:U379" si="2289">N374+N375+N376+N377+N378</f>
        <v>29</v>
      </c>
      <c r="O379" s="165">
        <f t="shared" si="2289"/>
        <v>27</v>
      </c>
      <c r="P379" s="165">
        <f t="shared" si="2289"/>
        <v>20</v>
      </c>
      <c r="Q379" s="165">
        <f t="shared" si="2289"/>
        <v>34</v>
      </c>
      <c r="R379" s="165">
        <f t="shared" si="2289"/>
        <v>28</v>
      </c>
      <c r="S379" s="165">
        <f t="shared" si="2289"/>
        <v>16</v>
      </c>
      <c r="T379" s="165">
        <f t="shared" si="2289"/>
        <v>15</v>
      </c>
      <c r="U379" s="164">
        <f t="shared" si="2289"/>
        <v>82</v>
      </c>
      <c r="V379" s="164">
        <f t="shared" si="2257"/>
        <v>19</v>
      </c>
      <c r="W379" s="165">
        <f t="shared" ref="W379:Y379" si="2290">W374+W375+W376+W377+W378</f>
        <v>5</v>
      </c>
      <c r="X379" s="165">
        <f t="shared" si="2290"/>
        <v>6</v>
      </c>
      <c r="Y379" s="165">
        <f t="shared" si="2290"/>
        <v>8</v>
      </c>
      <c r="Z379" s="165">
        <f t="shared" si="2266"/>
        <v>12</v>
      </c>
      <c r="AA379" s="165">
        <f t="shared" ref="AA379:AC379" si="2291">AA374+AA375+AA376+AA377+AA378</f>
        <v>6</v>
      </c>
      <c r="AB379" s="165">
        <f t="shared" si="2291"/>
        <v>6</v>
      </c>
      <c r="AC379" s="166">
        <f t="shared" si="2291"/>
        <v>6</v>
      </c>
      <c r="AD379" s="167">
        <f>AE374+AD375+AD376+AD377+AD378</f>
        <v>5</v>
      </c>
      <c r="AE379" s="167">
        <f t="shared" ref="AE379:AF379" si="2292">AE374+AE375+AE376+AE377+AE378</f>
        <v>5</v>
      </c>
      <c r="AF379" s="167">
        <f t="shared" si="2292"/>
        <v>4</v>
      </c>
      <c r="AG379" s="168">
        <f t="shared" si="2227"/>
        <v>20</v>
      </c>
      <c r="AH379" s="166">
        <f t="shared" ref="AH379:AJ379" si="2293">AH374+AH375+AH376+AH377+AH378</f>
        <v>24</v>
      </c>
      <c r="AI379" s="166">
        <f t="shared" si="2293"/>
        <v>33</v>
      </c>
      <c r="AJ379" s="166">
        <f t="shared" si="2293"/>
        <v>32</v>
      </c>
      <c r="AK379" s="168">
        <f t="shared" si="2229"/>
        <v>89</v>
      </c>
      <c r="AL379" s="166"/>
      <c r="AM379" s="167"/>
      <c r="AN379" s="167"/>
      <c r="AO379" s="167"/>
      <c r="AP379" s="169"/>
      <c r="AQ379" s="166"/>
      <c r="AR379" s="166"/>
      <c r="AS379" s="166"/>
      <c r="AT379" s="170"/>
      <c r="AU379" s="166"/>
      <c r="AV379" s="166"/>
      <c r="AW379" s="166"/>
      <c r="AX379" s="171"/>
      <c r="AY379" s="172">
        <f t="shared" ref="AY379:BD379" si="2294">AY374+AY375+AY376+AY377+AY378</f>
        <v>1.5</v>
      </c>
      <c r="AZ379" s="172">
        <f t="shared" si="2294"/>
        <v>3.5</v>
      </c>
      <c r="BA379" s="166">
        <f t="shared" si="2294"/>
        <v>3</v>
      </c>
      <c r="BB379" s="166">
        <f t="shared" si="2294"/>
        <v>3</v>
      </c>
      <c r="BC379" s="173">
        <f t="shared" si="2294"/>
        <v>6037.8</v>
      </c>
      <c r="BD379" s="173">
        <f t="shared" si="2294"/>
        <v>6036.1</v>
      </c>
      <c r="BE379" s="154" t="str">
        <f t="shared" ref="BE379:BF379" si="2295">TEXTJOIN(", ",TRUE,BE374:BE378)</f>
        <v>Олександівка, Пантелеймонівка, Миколаївка</v>
      </c>
      <c r="BF379" s="154" t="str">
        <f t="shared" si="2295"/>
        <v>Загреблі, Верхні води, Ступочки</v>
      </c>
    </row>
    <row r="380" ht="15.75" customHeight="1">
      <c r="A380" s="67">
        <f t="shared" si="2217"/>
        <v>46267</v>
      </c>
      <c r="B380" s="124" t="s">
        <v>31</v>
      </c>
      <c r="C380" s="174">
        <f t="shared" si="2218"/>
        <v>2</v>
      </c>
      <c r="D380" s="175">
        <f t="shared" ref="D380:L380" si="2296">RANDBETWEEN(0,2)</f>
        <v>0</v>
      </c>
      <c r="E380" s="175">
        <f t="shared" si="2296"/>
        <v>0</v>
      </c>
      <c r="F380" s="175">
        <f t="shared" si="2296"/>
        <v>2</v>
      </c>
      <c r="G380" s="175">
        <f t="shared" si="2296"/>
        <v>2</v>
      </c>
      <c r="H380" s="176">
        <f t="shared" si="2296"/>
        <v>1</v>
      </c>
      <c r="I380" s="177">
        <f t="shared" si="2296"/>
        <v>2</v>
      </c>
      <c r="J380" s="178">
        <f t="shared" si="2296"/>
        <v>1</v>
      </c>
      <c r="K380" s="179">
        <f t="shared" si="2296"/>
        <v>2</v>
      </c>
      <c r="L380" s="179">
        <f t="shared" si="2296"/>
        <v>1</v>
      </c>
      <c r="M380" s="180">
        <f t="shared" si="2220"/>
        <v>40</v>
      </c>
      <c r="N380" s="175">
        <f t="shared" ref="N380:T380" si="2297">RANDBETWEEN(0,10)</f>
        <v>3</v>
      </c>
      <c r="O380" s="175">
        <f t="shared" si="2297"/>
        <v>7</v>
      </c>
      <c r="P380" s="175">
        <f t="shared" si="2297"/>
        <v>6</v>
      </c>
      <c r="Q380" s="175">
        <f t="shared" si="2297"/>
        <v>5</v>
      </c>
      <c r="R380" s="175">
        <f t="shared" si="2297"/>
        <v>7</v>
      </c>
      <c r="S380" s="175">
        <f t="shared" si="2297"/>
        <v>3</v>
      </c>
      <c r="T380" s="175">
        <f t="shared" si="2297"/>
        <v>9</v>
      </c>
      <c r="U380" s="181">
        <f t="shared" ref="U380:U385" si="2304">RANDBETWEEN(10,30)</f>
        <v>14</v>
      </c>
      <c r="V380" s="182">
        <f t="shared" si="2257"/>
        <v>3</v>
      </c>
      <c r="W380" s="175">
        <f t="shared" ref="W380:Y380" si="2298">RANDBETWEEN(0,2)</f>
        <v>1</v>
      </c>
      <c r="X380" s="175">
        <f t="shared" si="2298"/>
        <v>2</v>
      </c>
      <c r="Y380" s="175">
        <f t="shared" si="2298"/>
        <v>0</v>
      </c>
      <c r="Z380" s="183">
        <f t="shared" si="2266"/>
        <v>3</v>
      </c>
      <c r="AA380" s="184">
        <f t="shared" ref="AA380:AF380" si="2299">RANDBETWEEN(0,2)</f>
        <v>2</v>
      </c>
      <c r="AB380" s="184">
        <f t="shared" si="2299"/>
        <v>1</v>
      </c>
      <c r="AC380" s="185">
        <f t="shared" si="2299"/>
        <v>1</v>
      </c>
      <c r="AD380" s="186">
        <f t="shared" si="2299"/>
        <v>2</v>
      </c>
      <c r="AE380" s="186">
        <f t="shared" si="2299"/>
        <v>2</v>
      </c>
      <c r="AF380" s="186">
        <f t="shared" si="2299"/>
        <v>1</v>
      </c>
      <c r="AG380" s="187">
        <f t="shared" si="2227"/>
        <v>6</v>
      </c>
      <c r="AH380" s="185">
        <f t="shared" ref="AH380:AJ380" si="2300">RANDBETWEEN(1,10)</f>
        <v>10</v>
      </c>
      <c r="AI380" s="186">
        <f t="shared" si="2300"/>
        <v>2</v>
      </c>
      <c r="AJ380" s="186">
        <f t="shared" si="2300"/>
        <v>10</v>
      </c>
      <c r="AK380" s="188">
        <f t="shared" si="2229"/>
        <v>22</v>
      </c>
      <c r="AL380" s="185"/>
      <c r="AM380" s="186"/>
      <c r="AN380" s="186"/>
      <c r="AO380" s="186"/>
      <c r="AP380" s="189"/>
      <c r="AQ380" s="185"/>
      <c r="AR380" s="186"/>
      <c r="AS380" s="186"/>
      <c r="AT380" s="190"/>
      <c r="AU380" s="185"/>
      <c r="AV380" s="186"/>
      <c r="AW380" s="186"/>
      <c r="AX380" s="191"/>
      <c r="AY380" s="92">
        <f t="shared" ref="AY380:AZ380" si="2301">RANDBETWEEN(1,10)/10</f>
        <v>0.1</v>
      </c>
      <c r="AZ380" s="92">
        <f t="shared" si="2301"/>
        <v>0.4</v>
      </c>
      <c r="BA380" s="93">
        <v>0.0</v>
      </c>
      <c r="BB380" s="93">
        <v>0.0</v>
      </c>
      <c r="BC380" s="94">
        <f>SUM(BC352,'ГОЧ'!$AY380)</f>
        <v>1207.1</v>
      </c>
      <c r="BD380" s="94">
        <f>SUM(BD352,'ГОЧ'!$AZ380)</f>
        <v>1207.5</v>
      </c>
      <c r="BE380" s="186"/>
      <c r="BF380" s="186"/>
    </row>
    <row r="381" ht="15.75" customHeight="1">
      <c r="A381" s="67">
        <f t="shared" si="2217"/>
        <v>46267</v>
      </c>
      <c r="B381" s="138" t="s">
        <v>33</v>
      </c>
      <c r="C381" s="157">
        <f t="shared" si="2218"/>
        <v>4</v>
      </c>
      <c r="D381" s="97">
        <f t="shared" ref="D381:L381" si="2302">RANDBETWEEN(0,2)</f>
        <v>2</v>
      </c>
      <c r="E381" s="97">
        <f t="shared" si="2302"/>
        <v>0</v>
      </c>
      <c r="F381" s="97">
        <f t="shared" si="2302"/>
        <v>2</v>
      </c>
      <c r="G381" s="97">
        <f t="shared" si="2302"/>
        <v>0</v>
      </c>
      <c r="H381" s="98">
        <f t="shared" si="2302"/>
        <v>1</v>
      </c>
      <c r="I381" s="99">
        <f t="shared" si="2302"/>
        <v>0</v>
      </c>
      <c r="J381" s="100">
        <f t="shared" si="2302"/>
        <v>1</v>
      </c>
      <c r="K381" s="101">
        <f t="shared" si="2302"/>
        <v>1</v>
      </c>
      <c r="L381" s="101">
        <f t="shared" si="2302"/>
        <v>2</v>
      </c>
      <c r="M381" s="140">
        <f t="shared" si="2220"/>
        <v>40</v>
      </c>
      <c r="N381" s="97">
        <f t="shared" ref="N381:T381" si="2303">RANDBETWEEN(0,10)</f>
        <v>8</v>
      </c>
      <c r="O381" s="97">
        <f t="shared" si="2303"/>
        <v>6</v>
      </c>
      <c r="P381" s="97">
        <f t="shared" si="2303"/>
        <v>6</v>
      </c>
      <c r="Q381" s="97">
        <f t="shared" si="2303"/>
        <v>6</v>
      </c>
      <c r="R381" s="97">
        <f t="shared" si="2303"/>
        <v>0</v>
      </c>
      <c r="S381" s="97">
        <f t="shared" si="2303"/>
        <v>7</v>
      </c>
      <c r="T381" s="97">
        <f t="shared" si="2303"/>
        <v>7</v>
      </c>
      <c r="U381" s="103">
        <f t="shared" si="2304"/>
        <v>22</v>
      </c>
      <c r="V381" s="158">
        <f t="shared" si="2257"/>
        <v>2</v>
      </c>
      <c r="W381" s="97">
        <f t="shared" ref="W381:Y381" si="2305">RANDBETWEEN(0,2)</f>
        <v>1</v>
      </c>
      <c r="X381" s="97">
        <f t="shared" si="2305"/>
        <v>1</v>
      </c>
      <c r="Y381" s="97">
        <f t="shared" si="2305"/>
        <v>0</v>
      </c>
      <c r="Z381" s="105">
        <f t="shared" si="2266"/>
        <v>3</v>
      </c>
      <c r="AA381" s="143">
        <f t="shared" ref="AA381:AF381" si="2306">RANDBETWEEN(0,2)</f>
        <v>1</v>
      </c>
      <c r="AB381" s="143">
        <f t="shared" si="2306"/>
        <v>2</v>
      </c>
      <c r="AC381" s="144">
        <f t="shared" si="2306"/>
        <v>2</v>
      </c>
      <c r="AD381" s="145">
        <f t="shared" si="2306"/>
        <v>0</v>
      </c>
      <c r="AE381" s="145">
        <f t="shared" si="2306"/>
        <v>1</v>
      </c>
      <c r="AF381" s="145">
        <f t="shared" si="2306"/>
        <v>0</v>
      </c>
      <c r="AG381" s="86">
        <f t="shared" si="2227"/>
        <v>3</v>
      </c>
      <c r="AH381" s="144">
        <f t="shared" ref="AH381:AJ381" si="2307">RANDBETWEEN(1,10)</f>
        <v>9</v>
      </c>
      <c r="AI381" s="145">
        <f t="shared" si="2307"/>
        <v>1</v>
      </c>
      <c r="AJ381" s="145">
        <f t="shared" si="2307"/>
        <v>3</v>
      </c>
      <c r="AK381" s="192">
        <f t="shared" si="2229"/>
        <v>13</v>
      </c>
      <c r="AL381" s="144"/>
      <c r="AM381" s="145"/>
      <c r="AN381" s="145"/>
      <c r="AO381" s="145"/>
      <c r="AP381" s="89"/>
      <c r="AQ381" s="144"/>
      <c r="AR381" s="145"/>
      <c r="AS381" s="145"/>
      <c r="AT381" s="193"/>
      <c r="AU381" s="144"/>
      <c r="AV381" s="145"/>
      <c r="AW381" s="145"/>
      <c r="AX381" s="194"/>
      <c r="AY381" s="92">
        <f t="shared" ref="AY381:AZ381" si="2308">RANDBETWEEN(1,10)/10</f>
        <v>0.1</v>
      </c>
      <c r="AZ381" s="92">
        <f t="shared" si="2308"/>
        <v>0.8</v>
      </c>
      <c r="BA381" s="93">
        <v>0.0</v>
      </c>
      <c r="BB381" s="93">
        <v>0.0</v>
      </c>
      <c r="BC381" s="94">
        <f>SUM(BC353,'ГОЧ'!$AY381)</f>
        <v>1206.9</v>
      </c>
      <c r="BD381" s="94">
        <f>SUM(BD353,'ГОЧ'!$AZ381)</f>
        <v>1206.7</v>
      </c>
      <c r="BE381" s="108"/>
      <c r="BF381" s="108"/>
    </row>
    <row r="382" ht="15.75" customHeight="1">
      <c r="A382" s="67">
        <f t="shared" si="2217"/>
        <v>46267</v>
      </c>
      <c r="B382" s="138" t="s">
        <v>35</v>
      </c>
      <c r="C382" s="157">
        <f t="shared" si="2218"/>
        <v>2</v>
      </c>
      <c r="D382" s="97">
        <f t="shared" ref="D382:L382" si="2309">RANDBETWEEN(0,2)</f>
        <v>0</v>
      </c>
      <c r="E382" s="97">
        <f t="shared" si="2309"/>
        <v>2</v>
      </c>
      <c r="F382" s="97">
        <f t="shared" si="2309"/>
        <v>2</v>
      </c>
      <c r="G382" s="97">
        <f t="shared" si="2309"/>
        <v>1</v>
      </c>
      <c r="H382" s="98">
        <f t="shared" si="2309"/>
        <v>1</v>
      </c>
      <c r="I382" s="99">
        <f t="shared" si="2309"/>
        <v>1</v>
      </c>
      <c r="J382" s="100">
        <f t="shared" si="2309"/>
        <v>2</v>
      </c>
      <c r="K382" s="101">
        <f t="shared" si="2309"/>
        <v>2</v>
      </c>
      <c r="L382" s="101">
        <f t="shared" si="2309"/>
        <v>1</v>
      </c>
      <c r="M382" s="140">
        <f t="shared" si="2220"/>
        <v>33</v>
      </c>
      <c r="N382" s="97">
        <f t="shared" ref="N382:T382" si="2310">RANDBETWEEN(0,10)</f>
        <v>3</v>
      </c>
      <c r="O382" s="97">
        <f t="shared" si="2310"/>
        <v>6</v>
      </c>
      <c r="P382" s="97">
        <f t="shared" si="2310"/>
        <v>1</v>
      </c>
      <c r="Q382" s="97">
        <f t="shared" si="2310"/>
        <v>6</v>
      </c>
      <c r="R382" s="97">
        <f t="shared" si="2310"/>
        <v>8</v>
      </c>
      <c r="S382" s="97">
        <f t="shared" si="2310"/>
        <v>2</v>
      </c>
      <c r="T382" s="97">
        <f t="shared" si="2310"/>
        <v>7</v>
      </c>
      <c r="U382" s="103">
        <f t="shared" si="2304"/>
        <v>20</v>
      </c>
      <c r="V382" s="158">
        <f t="shared" si="2257"/>
        <v>3</v>
      </c>
      <c r="W382" s="97">
        <f t="shared" ref="W382:Y382" si="2311">RANDBETWEEN(0,2)</f>
        <v>1</v>
      </c>
      <c r="X382" s="97">
        <f t="shared" si="2311"/>
        <v>0</v>
      </c>
      <c r="Y382" s="97">
        <f t="shared" si="2311"/>
        <v>2</v>
      </c>
      <c r="Z382" s="105">
        <f t="shared" si="2266"/>
        <v>3</v>
      </c>
      <c r="AA382" s="106">
        <f t="shared" ref="AA382:AF382" si="2312">RANDBETWEEN(0,2)</f>
        <v>1</v>
      </c>
      <c r="AB382" s="106">
        <f t="shared" si="2312"/>
        <v>2</v>
      </c>
      <c r="AC382" s="107">
        <f t="shared" si="2312"/>
        <v>2</v>
      </c>
      <c r="AD382" s="108">
        <f t="shared" si="2312"/>
        <v>1</v>
      </c>
      <c r="AE382" s="108">
        <f t="shared" si="2312"/>
        <v>1</v>
      </c>
      <c r="AF382" s="108">
        <f t="shared" si="2312"/>
        <v>2</v>
      </c>
      <c r="AG382" s="86">
        <f t="shared" si="2227"/>
        <v>6</v>
      </c>
      <c r="AH382" s="107">
        <f t="shared" ref="AH382:AJ382" si="2313">RANDBETWEEN(1,10)</f>
        <v>10</v>
      </c>
      <c r="AI382" s="108">
        <f t="shared" si="2313"/>
        <v>2</v>
      </c>
      <c r="AJ382" s="108">
        <f t="shared" si="2313"/>
        <v>6</v>
      </c>
      <c r="AK382" s="192">
        <f t="shared" si="2229"/>
        <v>18</v>
      </c>
      <c r="AL382" s="107"/>
      <c r="AM382" s="108"/>
      <c r="AN382" s="108"/>
      <c r="AO382" s="108"/>
      <c r="AP382" s="89"/>
      <c r="AQ382" s="107"/>
      <c r="AR382" s="108"/>
      <c r="AS382" s="108"/>
      <c r="AT382" s="193"/>
      <c r="AU382" s="107"/>
      <c r="AV382" s="108"/>
      <c r="AW382" s="108"/>
      <c r="AX382" s="194"/>
      <c r="AY382" s="92">
        <f t="shared" ref="AY382:AZ382" si="2314">RANDBETWEEN(1,10)/10</f>
        <v>0.4</v>
      </c>
      <c r="AZ382" s="92">
        <f t="shared" si="2314"/>
        <v>0.5</v>
      </c>
      <c r="BA382" s="93">
        <v>0.0</v>
      </c>
      <c r="BB382" s="93">
        <v>0.0</v>
      </c>
      <c r="BC382" s="94">
        <f>SUM(BC354,'ГОЧ'!$AY382)</f>
        <v>1207.3</v>
      </c>
      <c r="BD382" s="94">
        <f>SUM(BD354,'ГОЧ'!$AZ382)</f>
        <v>1207.9</v>
      </c>
      <c r="BE382" s="108"/>
      <c r="BF382" s="108"/>
    </row>
    <row r="383" ht="15.75" customHeight="1">
      <c r="A383" s="67">
        <f t="shared" si="2217"/>
        <v>46267</v>
      </c>
      <c r="B383" s="138" t="s">
        <v>36</v>
      </c>
      <c r="C383" s="157">
        <f t="shared" si="2218"/>
        <v>4</v>
      </c>
      <c r="D383" s="97">
        <f t="shared" ref="D383:L383" si="2315">RANDBETWEEN(0,2)</f>
        <v>2</v>
      </c>
      <c r="E383" s="97">
        <f t="shared" si="2315"/>
        <v>0</v>
      </c>
      <c r="F383" s="97">
        <f t="shared" si="2315"/>
        <v>2</v>
      </c>
      <c r="G383" s="97">
        <f t="shared" si="2315"/>
        <v>0</v>
      </c>
      <c r="H383" s="98">
        <f t="shared" si="2315"/>
        <v>0</v>
      </c>
      <c r="I383" s="99">
        <f t="shared" si="2315"/>
        <v>2</v>
      </c>
      <c r="J383" s="100">
        <f t="shared" si="2315"/>
        <v>2</v>
      </c>
      <c r="K383" s="101">
        <f t="shared" si="2315"/>
        <v>2</v>
      </c>
      <c r="L383" s="101">
        <f t="shared" si="2315"/>
        <v>0</v>
      </c>
      <c r="M383" s="140">
        <f t="shared" si="2220"/>
        <v>41</v>
      </c>
      <c r="N383" s="97">
        <f t="shared" ref="N383:T383" si="2316">RANDBETWEEN(0,10)</f>
        <v>5</v>
      </c>
      <c r="O383" s="97">
        <f t="shared" si="2316"/>
        <v>1</v>
      </c>
      <c r="P383" s="97">
        <f t="shared" si="2316"/>
        <v>3</v>
      </c>
      <c r="Q383" s="97">
        <f t="shared" si="2316"/>
        <v>7</v>
      </c>
      <c r="R383" s="97">
        <f t="shared" si="2316"/>
        <v>9</v>
      </c>
      <c r="S383" s="97">
        <f t="shared" si="2316"/>
        <v>10</v>
      </c>
      <c r="T383" s="97">
        <f t="shared" si="2316"/>
        <v>6</v>
      </c>
      <c r="U383" s="103">
        <f t="shared" si="2304"/>
        <v>16</v>
      </c>
      <c r="V383" s="158">
        <f t="shared" si="2257"/>
        <v>3</v>
      </c>
      <c r="W383" s="97">
        <f t="shared" ref="W383:Y383" si="2317">RANDBETWEEN(0,2)</f>
        <v>2</v>
      </c>
      <c r="X383" s="97">
        <f t="shared" si="2317"/>
        <v>0</v>
      </c>
      <c r="Y383" s="97">
        <f t="shared" si="2317"/>
        <v>1</v>
      </c>
      <c r="Z383" s="105">
        <f t="shared" si="2266"/>
        <v>2</v>
      </c>
      <c r="AA383" s="143">
        <f t="shared" ref="AA383:AF383" si="2318">RANDBETWEEN(0,2)</f>
        <v>0</v>
      </c>
      <c r="AB383" s="143">
        <f t="shared" si="2318"/>
        <v>2</v>
      </c>
      <c r="AC383" s="144">
        <f t="shared" si="2318"/>
        <v>0</v>
      </c>
      <c r="AD383" s="145">
        <f t="shared" si="2318"/>
        <v>2</v>
      </c>
      <c r="AE383" s="145">
        <f t="shared" si="2318"/>
        <v>1</v>
      </c>
      <c r="AF383" s="145">
        <f t="shared" si="2318"/>
        <v>0</v>
      </c>
      <c r="AG383" s="86">
        <f t="shared" si="2227"/>
        <v>3</v>
      </c>
      <c r="AH383" s="144">
        <f t="shared" ref="AH383:AJ383" si="2319">RANDBETWEEN(1,10)</f>
        <v>8</v>
      </c>
      <c r="AI383" s="145">
        <f t="shared" si="2319"/>
        <v>2</v>
      </c>
      <c r="AJ383" s="145">
        <f t="shared" si="2319"/>
        <v>5</v>
      </c>
      <c r="AK383" s="192">
        <f t="shared" si="2229"/>
        <v>15</v>
      </c>
      <c r="AL383" s="144"/>
      <c r="AM383" s="145"/>
      <c r="AN383" s="145"/>
      <c r="AO383" s="145"/>
      <c r="AP383" s="89"/>
      <c r="AQ383" s="144"/>
      <c r="AR383" s="145"/>
      <c r="AS383" s="145"/>
      <c r="AT383" s="193"/>
      <c r="AU383" s="144"/>
      <c r="AV383" s="145"/>
      <c r="AW383" s="145"/>
      <c r="AX383" s="194"/>
      <c r="AY383" s="92">
        <f t="shared" ref="AY383:AZ383" si="2320">RANDBETWEEN(1,10)/10</f>
        <v>0.4</v>
      </c>
      <c r="AZ383" s="92">
        <f t="shared" si="2320"/>
        <v>0.3</v>
      </c>
      <c r="BA383" s="93">
        <v>0.0</v>
      </c>
      <c r="BB383" s="93">
        <v>0.0</v>
      </c>
      <c r="BC383" s="94">
        <f>SUM(BC355,'ГОЧ'!$AY383)</f>
        <v>1207.1</v>
      </c>
      <c r="BD383" s="94">
        <f>SUM(BD355,'ГОЧ'!$AZ383)</f>
        <v>1206.9</v>
      </c>
      <c r="BE383" s="108"/>
      <c r="BF383" s="108"/>
    </row>
    <row r="384" ht="15.75" customHeight="1">
      <c r="A384" s="67">
        <f t="shared" si="2217"/>
        <v>46267</v>
      </c>
      <c r="B384" s="195" t="s">
        <v>38</v>
      </c>
      <c r="C384" s="157">
        <f t="shared" si="2218"/>
        <v>2</v>
      </c>
      <c r="D384" s="97">
        <f t="shared" ref="D384:L384" si="2321">RANDBETWEEN(0,2)</f>
        <v>1</v>
      </c>
      <c r="E384" s="97">
        <f t="shared" si="2321"/>
        <v>1</v>
      </c>
      <c r="F384" s="97">
        <f t="shared" si="2321"/>
        <v>1</v>
      </c>
      <c r="G384" s="97">
        <f t="shared" si="2321"/>
        <v>1</v>
      </c>
      <c r="H384" s="98">
        <f t="shared" si="2321"/>
        <v>1</v>
      </c>
      <c r="I384" s="99">
        <f t="shared" si="2321"/>
        <v>1</v>
      </c>
      <c r="J384" s="100">
        <f t="shared" si="2321"/>
        <v>2</v>
      </c>
      <c r="K384" s="101">
        <f t="shared" si="2321"/>
        <v>0</v>
      </c>
      <c r="L384" s="101">
        <f t="shared" si="2321"/>
        <v>2</v>
      </c>
      <c r="M384" s="140">
        <f t="shared" si="2220"/>
        <v>40</v>
      </c>
      <c r="N384" s="97">
        <f t="shared" ref="N384:T384" si="2322">RANDBETWEEN(0,10)</f>
        <v>6</v>
      </c>
      <c r="O384" s="97">
        <f t="shared" si="2322"/>
        <v>3</v>
      </c>
      <c r="P384" s="97">
        <f t="shared" si="2322"/>
        <v>4</v>
      </c>
      <c r="Q384" s="97">
        <f t="shared" si="2322"/>
        <v>9</v>
      </c>
      <c r="R384" s="97">
        <f t="shared" si="2322"/>
        <v>8</v>
      </c>
      <c r="S384" s="97">
        <f t="shared" si="2322"/>
        <v>4</v>
      </c>
      <c r="T384" s="97">
        <f t="shared" si="2322"/>
        <v>6</v>
      </c>
      <c r="U384" s="103">
        <f t="shared" si="2304"/>
        <v>29</v>
      </c>
      <c r="V384" s="158">
        <f t="shared" si="2257"/>
        <v>2</v>
      </c>
      <c r="W384" s="97">
        <f t="shared" ref="W384:Y384" si="2323">RANDBETWEEN(0,2)</f>
        <v>0</v>
      </c>
      <c r="X384" s="97">
        <f t="shared" si="2323"/>
        <v>2</v>
      </c>
      <c r="Y384" s="97">
        <f t="shared" si="2323"/>
        <v>0</v>
      </c>
      <c r="Z384" s="105">
        <f t="shared" si="2266"/>
        <v>2</v>
      </c>
      <c r="AA384" s="106">
        <f t="shared" ref="AA384:AF384" si="2324">RANDBETWEEN(0,2)</f>
        <v>2</v>
      </c>
      <c r="AB384" s="106">
        <f t="shared" si="2324"/>
        <v>0</v>
      </c>
      <c r="AC384" s="107">
        <f t="shared" si="2324"/>
        <v>2</v>
      </c>
      <c r="AD384" s="108">
        <f t="shared" si="2324"/>
        <v>2</v>
      </c>
      <c r="AE384" s="108">
        <f t="shared" si="2324"/>
        <v>0</v>
      </c>
      <c r="AF384" s="108">
        <f t="shared" si="2324"/>
        <v>0</v>
      </c>
      <c r="AG384" s="86">
        <f t="shared" si="2227"/>
        <v>4</v>
      </c>
      <c r="AH384" s="107">
        <f t="shared" ref="AH384:AJ384" si="2325">RANDBETWEEN(1,10)</f>
        <v>1</v>
      </c>
      <c r="AI384" s="108">
        <f t="shared" si="2325"/>
        <v>4</v>
      </c>
      <c r="AJ384" s="108">
        <f t="shared" si="2325"/>
        <v>1</v>
      </c>
      <c r="AK384" s="192">
        <f t="shared" si="2229"/>
        <v>6</v>
      </c>
      <c r="AL384" s="107"/>
      <c r="AM384" s="108"/>
      <c r="AN384" s="108"/>
      <c r="AO384" s="108"/>
      <c r="AP384" s="89"/>
      <c r="AQ384" s="107"/>
      <c r="AR384" s="108"/>
      <c r="AS384" s="108"/>
      <c r="AT384" s="193"/>
      <c r="AU384" s="107"/>
      <c r="AV384" s="108"/>
      <c r="AW384" s="108"/>
      <c r="AX384" s="194"/>
      <c r="AY384" s="92">
        <f t="shared" ref="AY384:AZ384" si="2326">RANDBETWEEN(1,10)/10</f>
        <v>0.7</v>
      </c>
      <c r="AZ384" s="92">
        <f t="shared" si="2326"/>
        <v>0.3</v>
      </c>
      <c r="BA384" s="93">
        <v>0.0</v>
      </c>
      <c r="BB384" s="93">
        <v>0.0</v>
      </c>
      <c r="BC384" s="94">
        <f>SUM(BC356,'ГОЧ'!$AY384)</f>
        <v>1205.8</v>
      </c>
      <c r="BD384" s="94">
        <f>SUM(BD356,'ГОЧ'!$AZ384)</f>
        <v>1205.2</v>
      </c>
      <c r="BE384" s="108"/>
      <c r="BF384" s="108"/>
    </row>
    <row r="385" ht="15.75" customHeight="1">
      <c r="A385" s="67">
        <f t="shared" si="2217"/>
        <v>46267</v>
      </c>
      <c r="B385" s="138" t="s">
        <v>41</v>
      </c>
      <c r="C385" s="157">
        <f t="shared" si="2218"/>
        <v>2</v>
      </c>
      <c r="D385" s="97">
        <f t="shared" ref="D385:L385" si="2327">RANDBETWEEN(0,2)</f>
        <v>1</v>
      </c>
      <c r="E385" s="97">
        <f t="shared" si="2327"/>
        <v>0</v>
      </c>
      <c r="F385" s="97">
        <f t="shared" si="2327"/>
        <v>1</v>
      </c>
      <c r="G385" s="97">
        <f t="shared" si="2327"/>
        <v>0</v>
      </c>
      <c r="H385" s="98">
        <f t="shared" si="2327"/>
        <v>1</v>
      </c>
      <c r="I385" s="99">
        <f t="shared" si="2327"/>
        <v>2</v>
      </c>
      <c r="J385" s="100">
        <f t="shared" si="2327"/>
        <v>2</v>
      </c>
      <c r="K385" s="101">
        <f t="shared" si="2327"/>
        <v>0</v>
      </c>
      <c r="L385" s="101">
        <f t="shared" si="2327"/>
        <v>0</v>
      </c>
      <c r="M385" s="140">
        <f t="shared" si="2220"/>
        <v>43</v>
      </c>
      <c r="N385" s="97">
        <f t="shared" ref="N385:T385" si="2328">RANDBETWEEN(0,10)</f>
        <v>1</v>
      </c>
      <c r="O385" s="97">
        <f t="shared" si="2328"/>
        <v>4</v>
      </c>
      <c r="P385" s="97">
        <f t="shared" si="2328"/>
        <v>7</v>
      </c>
      <c r="Q385" s="97">
        <f t="shared" si="2328"/>
        <v>8</v>
      </c>
      <c r="R385" s="97">
        <f t="shared" si="2328"/>
        <v>4</v>
      </c>
      <c r="S385" s="97">
        <f t="shared" si="2328"/>
        <v>10</v>
      </c>
      <c r="T385" s="97">
        <f t="shared" si="2328"/>
        <v>9</v>
      </c>
      <c r="U385" s="103">
        <f t="shared" si="2304"/>
        <v>29</v>
      </c>
      <c r="V385" s="158">
        <f t="shared" si="2257"/>
        <v>0</v>
      </c>
      <c r="W385" s="97">
        <f t="shared" ref="W385:Y385" si="2329">RANDBETWEEN(0,2)</f>
        <v>0</v>
      </c>
      <c r="X385" s="97">
        <f t="shared" si="2329"/>
        <v>0</v>
      </c>
      <c r="Y385" s="97">
        <f t="shared" si="2329"/>
        <v>0</v>
      </c>
      <c r="Z385" s="105">
        <f t="shared" si="2266"/>
        <v>3</v>
      </c>
      <c r="AA385" s="143">
        <f t="shared" ref="AA385:AF385" si="2330">RANDBETWEEN(0,2)</f>
        <v>1</v>
      </c>
      <c r="AB385" s="143">
        <f t="shared" si="2330"/>
        <v>2</v>
      </c>
      <c r="AC385" s="144">
        <f t="shared" si="2330"/>
        <v>1</v>
      </c>
      <c r="AD385" s="145">
        <f t="shared" si="2330"/>
        <v>2</v>
      </c>
      <c r="AE385" s="145">
        <f t="shared" si="2330"/>
        <v>0</v>
      </c>
      <c r="AF385" s="145">
        <f t="shared" si="2330"/>
        <v>0</v>
      </c>
      <c r="AG385" s="86">
        <f t="shared" si="2227"/>
        <v>3</v>
      </c>
      <c r="AH385" s="144">
        <f t="shared" ref="AH385:AJ385" si="2331">RANDBETWEEN(1,10)</f>
        <v>2</v>
      </c>
      <c r="AI385" s="145">
        <f t="shared" si="2331"/>
        <v>3</v>
      </c>
      <c r="AJ385" s="145">
        <f t="shared" si="2331"/>
        <v>9</v>
      </c>
      <c r="AK385" s="192">
        <f t="shared" si="2229"/>
        <v>14</v>
      </c>
      <c r="AL385" s="144"/>
      <c r="AM385" s="145"/>
      <c r="AN385" s="145"/>
      <c r="AO385" s="145"/>
      <c r="AP385" s="89"/>
      <c r="AQ385" s="144"/>
      <c r="AR385" s="145"/>
      <c r="AS385" s="145"/>
      <c r="AT385" s="193"/>
      <c r="AU385" s="144"/>
      <c r="AV385" s="145"/>
      <c r="AW385" s="145"/>
      <c r="AX385" s="194"/>
      <c r="AY385" s="92">
        <f t="shared" ref="AY385:AZ385" si="2332">RANDBETWEEN(1,10)/10</f>
        <v>0.9</v>
      </c>
      <c r="AZ385" s="92">
        <f t="shared" si="2332"/>
        <v>1</v>
      </c>
      <c r="BA385" s="93">
        <v>0.0</v>
      </c>
      <c r="BB385" s="93">
        <v>0.0</v>
      </c>
      <c r="BC385" s="94">
        <f>SUM(BC357,'ГОЧ'!$AY385)</f>
        <v>1207.6</v>
      </c>
      <c r="BD385" s="94">
        <f>SUM(BD357,'ГОЧ'!$AZ385)</f>
        <v>1207.8</v>
      </c>
      <c r="BE385" s="108"/>
      <c r="BF385" s="108"/>
    </row>
    <row r="386" ht="15.75" customHeight="1">
      <c r="A386" s="67">
        <f t="shared" si="2217"/>
        <v>46267</v>
      </c>
      <c r="B386" s="114" t="s">
        <v>45</v>
      </c>
      <c r="C386" s="164">
        <f t="shared" si="2218"/>
        <v>16</v>
      </c>
      <c r="D386" s="164">
        <f t="shared" ref="D386:U386" si="2333">SUM(D380:D385)</f>
        <v>6</v>
      </c>
      <c r="E386" s="165">
        <f t="shared" si="2333"/>
        <v>3</v>
      </c>
      <c r="F386" s="165">
        <f t="shared" si="2333"/>
        <v>10</v>
      </c>
      <c r="G386" s="165">
        <f t="shared" si="2333"/>
        <v>4</v>
      </c>
      <c r="H386" s="165">
        <f t="shared" si="2333"/>
        <v>5</v>
      </c>
      <c r="I386" s="165">
        <f t="shared" si="2333"/>
        <v>8</v>
      </c>
      <c r="J386" s="165">
        <f t="shared" si="2333"/>
        <v>10</v>
      </c>
      <c r="K386" s="165">
        <f t="shared" si="2333"/>
        <v>7</v>
      </c>
      <c r="L386" s="165">
        <f t="shared" si="2333"/>
        <v>6</v>
      </c>
      <c r="M386" s="164">
        <f t="shared" si="2333"/>
        <v>237</v>
      </c>
      <c r="N386" s="164">
        <f t="shared" si="2333"/>
        <v>26</v>
      </c>
      <c r="O386" s="165">
        <f t="shared" si="2333"/>
        <v>27</v>
      </c>
      <c r="P386" s="165">
        <f t="shared" si="2333"/>
        <v>27</v>
      </c>
      <c r="Q386" s="165">
        <f t="shared" si="2333"/>
        <v>41</v>
      </c>
      <c r="R386" s="165">
        <f t="shared" si="2333"/>
        <v>36</v>
      </c>
      <c r="S386" s="165">
        <f t="shared" si="2333"/>
        <v>36</v>
      </c>
      <c r="T386" s="165">
        <f t="shared" si="2333"/>
        <v>44</v>
      </c>
      <c r="U386" s="164">
        <f t="shared" si="2333"/>
        <v>130</v>
      </c>
      <c r="V386" s="164">
        <f t="shared" si="2257"/>
        <v>13</v>
      </c>
      <c r="W386" s="165">
        <f t="shared" ref="W386:Y386" si="2334">SUM(W380:W385)</f>
        <v>5</v>
      </c>
      <c r="X386" s="165">
        <f t="shared" si="2334"/>
        <v>5</v>
      </c>
      <c r="Y386" s="165">
        <f t="shared" si="2334"/>
        <v>3</v>
      </c>
      <c r="Z386" s="165">
        <f t="shared" si="2266"/>
        <v>16</v>
      </c>
      <c r="AA386" s="165">
        <f t="shared" ref="AA386:AF386" si="2335">SUM(AA380:AA385)</f>
        <v>7</v>
      </c>
      <c r="AB386" s="165">
        <f t="shared" si="2335"/>
        <v>9</v>
      </c>
      <c r="AC386" s="166">
        <f t="shared" si="2335"/>
        <v>8</v>
      </c>
      <c r="AD386" s="166">
        <f t="shared" si="2335"/>
        <v>9</v>
      </c>
      <c r="AE386" s="166">
        <f t="shared" si="2335"/>
        <v>5</v>
      </c>
      <c r="AF386" s="166">
        <f t="shared" si="2335"/>
        <v>3</v>
      </c>
      <c r="AG386" s="168">
        <f t="shared" si="2227"/>
        <v>25</v>
      </c>
      <c r="AH386" s="166">
        <f t="shared" ref="AH386:AJ386" si="2336">SUM(AH380:AH385)</f>
        <v>40</v>
      </c>
      <c r="AI386" s="167">
        <f t="shared" si="2336"/>
        <v>14</v>
      </c>
      <c r="AJ386" s="167">
        <f t="shared" si="2336"/>
        <v>34</v>
      </c>
      <c r="AK386" s="168">
        <f t="shared" si="2229"/>
        <v>88</v>
      </c>
      <c r="AL386" s="166"/>
      <c r="AM386" s="166"/>
      <c r="AN386" s="166"/>
      <c r="AO386" s="166"/>
      <c r="AP386" s="169"/>
      <c r="AQ386" s="166"/>
      <c r="AR386" s="167"/>
      <c r="AS386" s="167"/>
      <c r="AT386" s="170"/>
      <c r="AU386" s="166"/>
      <c r="AV386" s="167"/>
      <c r="AW386" s="167"/>
      <c r="AX386" s="171"/>
      <c r="AY386" s="196">
        <f t="shared" ref="AY386:BD386" si="2337">SUM(AY380:AY385)</f>
        <v>2.6</v>
      </c>
      <c r="AZ386" s="196">
        <f t="shared" si="2337"/>
        <v>3.3</v>
      </c>
      <c r="BA386" s="167">
        <f t="shared" si="2337"/>
        <v>0</v>
      </c>
      <c r="BB386" s="167">
        <f t="shared" si="2337"/>
        <v>0</v>
      </c>
      <c r="BC386" s="197">
        <f t="shared" si="2337"/>
        <v>7241.8</v>
      </c>
      <c r="BD386" s="197">
        <f t="shared" si="2337"/>
        <v>7242</v>
      </c>
      <c r="BE386" s="154" t="str">
        <f t="shared" ref="BE386:BF386" si="2338">TEXTJOIN(", ",TRUE,BE380:BE385)</f>
        <v/>
      </c>
      <c r="BF386" s="154" t="str">
        <f t="shared" si="2338"/>
        <v/>
      </c>
    </row>
    <row r="387" ht="15.75" customHeight="1">
      <c r="A387" s="67">
        <f t="shared" si="2217"/>
        <v>46267</v>
      </c>
      <c r="B387" s="124" t="s">
        <v>49</v>
      </c>
      <c r="C387" s="174">
        <f t="shared" si="2218"/>
        <v>2</v>
      </c>
      <c r="D387" s="175">
        <f t="shared" ref="D387:L387" si="2339">RANDBETWEEN(0,2)</f>
        <v>0</v>
      </c>
      <c r="E387" s="175">
        <f t="shared" si="2339"/>
        <v>1</v>
      </c>
      <c r="F387" s="175">
        <f t="shared" si="2339"/>
        <v>2</v>
      </c>
      <c r="G387" s="175">
        <f t="shared" si="2339"/>
        <v>0</v>
      </c>
      <c r="H387" s="176">
        <f t="shared" si="2339"/>
        <v>1</v>
      </c>
      <c r="I387" s="177">
        <f t="shared" si="2339"/>
        <v>0</v>
      </c>
      <c r="J387" s="178">
        <f t="shared" si="2339"/>
        <v>1</v>
      </c>
      <c r="K387" s="179">
        <f t="shared" si="2339"/>
        <v>1</v>
      </c>
      <c r="L387" s="179">
        <f t="shared" si="2339"/>
        <v>2</v>
      </c>
      <c r="M387" s="180">
        <f t="shared" ref="M387:M392" si="2346">SUM(N387:T387)</f>
        <v>53</v>
      </c>
      <c r="N387" s="175">
        <f t="shared" ref="N387:T387" si="2340">RANDBETWEEN(0,10)</f>
        <v>9</v>
      </c>
      <c r="O387" s="175">
        <f t="shared" si="2340"/>
        <v>4</v>
      </c>
      <c r="P387" s="175">
        <f t="shared" si="2340"/>
        <v>10</v>
      </c>
      <c r="Q387" s="175">
        <f t="shared" si="2340"/>
        <v>8</v>
      </c>
      <c r="R387" s="175">
        <f t="shared" si="2340"/>
        <v>5</v>
      </c>
      <c r="S387" s="175">
        <f t="shared" si="2340"/>
        <v>9</v>
      </c>
      <c r="T387" s="175">
        <f t="shared" si="2340"/>
        <v>8</v>
      </c>
      <c r="U387" s="181">
        <f t="shared" ref="U387:U391" si="2348">RANDBETWEEN(10,30)</f>
        <v>25</v>
      </c>
      <c r="V387" s="182">
        <f t="shared" si="2257"/>
        <v>5</v>
      </c>
      <c r="W387" s="175">
        <f t="shared" ref="W387:Y387" si="2341">RANDBETWEEN(0,2)</f>
        <v>2</v>
      </c>
      <c r="X387" s="175">
        <f t="shared" si="2341"/>
        <v>2</v>
      </c>
      <c r="Y387" s="175">
        <f t="shared" si="2341"/>
        <v>1</v>
      </c>
      <c r="Z387" s="183">
        <f t="shared" si="2266"/>
        <v>1</v>
      </c>
      <c r="AA387" s="198">
        <f t="shared" ref="AA387:AF387" si="2342">RANDBETWEEN(0,2)</f>
        <v>1</v>
      </c>
      <c r="AB387" s="198">
        <f t="shared" si="2342"/>
        <v>0</v>
      </c>
      <c r="AC387" s="199">
        <f t="shared" si="2342"/>
        <v>2</v>
      </c>
      <c r="AD387" s="200">
        <f t="shared" si="2342"/>
        <v>0</v>
      </c>
      <c r="AE387" s="200">
        <f t="shared" si="2342"/>
        <v>1</v>
      </c>
      <c r="AF387" s="200">
        <f t="shared" si="2342"/>
        <v>2</v>
      </c>
      <c r="AG387" s="187">
        <f t="shared" si="2227"/>
        <v>5</v>
      </c>
      <c r="AH387" s="199">
        <f t="shared" ref="AH387:AJ387" si="2343">RANDBETWEEN(1,10)</f>
        <v>8</v>
      </c>
      <c r="AI387" s="200">
        <f t="shared" si="2343"/>
        <v>10</v>
      </c>
      <c r="AJ387" s="200">
        <f t="shared" si="2343"/>
        <v>5</v>
      </c>
      <c r="AK387" s="188">
        <f t="shared" si="2229"/>
        <v>23</v>
      </c>
      <c r="AL387" s="199"/>
      <c r="AM387" s="200"/>
      <c r="AN387" s="200"/>
      <c r="AO387" s="200"/>
      <c r="AP387" s="189"/>
      <c r="AQ387" s="199"/>
      <c r="AR387" s="200"/>
      <c r="AS387" s="200"/>
      <c r="AT387" s="190"/>
      <c r="AU387" s="199"/>
      <c r="AV387" s="200"/>
      <c r="AW387" s="200"/>
      <c r="AX387" s="191"/>
      <c r="AY387" s="92">
        <f t="shared" ref="AY387:AZ387" si="2344">RANDBETWEEN(1,10)/10</f>
        <v>0.5</v>
      </c>
      <c r="AZ387" s="92">
        <f t="shared" si="2344"/>
        <v>0.2</v>
      </c>
      <c r="BA387" s="93">
        <v>0.0</v>
      </c>
      <c r="BB387" s="93">
        <v>0.0</v>
      </c>
      <c r="BC387" s="94">
        <f>SUM(BC359,'ГОЧ'!$AY387)</f>
        <v>1206.5</v>
      </c>
      <c r="BD387" s="94">
        <f>SUM(BD359,'ГОЧ'!$AZ387)</f>
        <v>1205.6</v>
      </c>
      <c r="BE387" s="186"/>
      <c r="BF387" s="186"/>
    </row>
    <row r="388" ht="15.75" customHeight="1">
      <c r="A388" s="67">
        <f t="shared" si="2217"/>
        <v>46267</v>
      </c>
      <c r="B388" s="195" t="s">
        <v>53</v>
      </c>
      <c r="C388" s="157">
        <f t="shared" si="2218"/>
        <v>2</v>
      </c>
      <c r="D388" s="97">
        <f t="shared" ref="D388:L388" si="2345">RANDBETWEEN(0,2)</f>
        <v>1</v>
      </c>
      <c r="E388" s="97">
        <f t="shared" si="2345"/>
        <v>0</v>
      </c>
      <c r="F388" s="97">
        <f t="shared" si="2345"/>
        <v>1</v>
      </c>
      <c r="G388" s="97">
        <f t="shared" si="2345"/>
        <v>2</v>
      </c>
      <c r="H388" s="98">
        <f t="shared" si="2345"/>
        <v>2</v>
      </c>
      <c r="I388" s="99">
        <f t="shared" si="2345"/>
        <v>0</v>
      </c>
      <c r="J388" s="100">
        <f t="shared" si="2345"/>
        <v>0</v>
      </c>
      <c r="K388" s="101">
        <f t="shared" si="2345"/>
        <v>0</v>
      </c>
      <c r="L388" s="101">
        <f t="shared" si="2345"/>
        <v>2</v>
      </c>
      <c r="M388" s="140">
        <f t="shared" si="2346"/>
        <v>32</v>
      </c>
      <c r="N388" s="97">
        <f t="shared" ref="N388:T388" si="2347">RANDBETWEEN(0,10)</f>
        <v>5</v>
      </c>
      <c r="O388" s="97">
        <f t="shared" si="2347"/>
        <v>0</v>
      </c>
      <c r="P388" s="97">
        <f t="shared" si="2347"/>
        <v>10</v>
      </c>
      <c r="Q388" s="97">
        <f t="shared" si="2347"/>
        <v>1</v>
      </c>
      <c r="R388" s="97">
        <f t="shared" si="2347"/>
        <v>8</v>
      </c>
      <c r="S388" s="97">
        <f t="shared" si="2347"/>
        <v>5</v>
      </c>
      <c r="T388" s="97">
        <f t="shared" si="2347"/>
        <v>3</v>
      </c>
      <c r="U388" s="103">
        <f t="shared" si="2348"/>
        <v>26</v>
      </c>
      <c r="V388" s="158">
        <f t="shared" si="2257"/>
        <v>2</v>
      </c>
      <c r="W388" s="97">
        <f t="shared" ref="W388:Y388" si="2349">RANDBETWEEN(0,2)</f>
        <v>0</v>
      </c>
      <c r="X388" s="97">
        <f t="shared" si="2349"/>
        <v>2</v>
      </c>
      <c r="Y388" s="97">
        <f t="shared" si="2349"/>
        <v>0</v>
      </c>
      <c r="Z388" s="105">
        <f t="shared" si="2266"/>
        <v>4</v>
      </c>
      <c r="AA388" s="106">
        <f t="shared" ref="AA388:AF388" si="2350">RANDBETWEEN(0,2)</f>
        <v>2</v>
      </c>
      <c r="AB388" s="106">
        <f t="shared" si="2350"/>
        <v>2</v>
      </c>
      <c r="AC388" s="107">
        <f t="shared" si="2350"/>
        <v>2</v>
      </c>
      <c r="AD388" s="108">
        <f t="shared" si="2350"/>
        <v>1</v>
      </c>
      <c r="AE388" s="108">
        <f t="shared" si="2350"/>
        <v>1</v>
      </c>
      <c r="AF388" s="108">
        <f t="shared" si="2350"/>
        <v>2</v>
      </c>
      <c r="AG388" s="86">
        <f t="shared" si="2227"/>
        <v>6</v>
      </c>
      <c r="AH388" s="107">
        <f t="shared" ref="AH388:AJ388" si="2351">RANDBETWEEN(1,10)</f>
        <v>1</v>
      </c>
      <c r="AI388" s="108">
        <f t="shared" si="2351"/>
        <v>10</v>
      </c>
      <c r="AJ388" s="108">
        <f t="shared" si="2351"/>
        <v>8</v>
      </c>
      <c r="AK388" s="192">
        <f t="shared" si="2229"/>
        <v>19</v>
      </c>
      <c r="AL388" s="107"/>
      <c r="AM388" s="108"/>
      <c r="AN388" s="108"/>
      <c r="AO388" s="108"/>
      <c r="AP388" s="89"/>
      <c r="AQ388" s="107"/>
      <c r="AR388" s="108"/>
      <c r="AS388" s="108"/>
      <c r="AT388" s="193"/>
      <c r="AU388" s="107"/>
      <c r="AV388" s="108"/>
      <c r="AW388" s="108"/>
      <c r="AX388" s="194"/>
      <c r="AY388" s="92">
        <f t="shared" ref="AY388:AZ388" si="2352">RANDBETWEEN(1,10)/10</f>
        <v>0.4</v>
      </c>
      <c r="AZ388" s="92">
        <f t="shared" si="2352"/>
        <v>1</v>
      </c>
      <c r="BA388" s="93">
        <v>0.0</v>
      </c>
      <c r="BB388" s="93">
        <v>0.0</v>
      </c>
      <c r="BC388" s="94">
        <f>SUM(BC360,'ГОЧ'!$AY388)</f>
        <v>1205.8</v>
      </c>
      <c r="BD388" s="94">
        <f>SUM(BD360,'ГОЧ'!$AZ388)</f>
        <v>1206.6</v>
      </c>
      <c r="BE388" s="108"/>
      <c r="BF388" s="108"/>
    </row>
    <row r="389" ht="15.75" customHeight="1">
      <c r="A389" s="67">
        <f t="shared" si="2217"/>
        <v>46267</v>
      </c>
      <c r="B389" s="138" t="s">
        <v>57</v>
      </c>
      <c r="C389" s="157">
        <f t="shared" si="2218"/>
        <v>0</v>
      </c>
      <c r="D389" s="97">
        <f t="shared" ref="D389:L389" si="2353">RANDBETWEEN(0,2)</f>
        <v>0</v>
      </c>
      <c r="E389" s="97">
        <f t="shared" si="2353"/>
        <v>2</v>
      </c>
      <c r="F389" s="97">
        <f t="shared" si="2353"/>
        <v>0</v>
      </c>
      <c r="G389" s="97">
        <f t="shared" si="2353"/>
        <v>0</v>
      </c>
      <c r="H389" s="98">
        <f t="shared" si="2353"/>
        <v>2</v>
      </c>
      <c r="I389" s="99">
        <f t="shared" si="2353"/>
        <v>1</v>
      </c>
      <c r="J389" s="100">
        <f t="shared" si="2353"/>
        <v>2</v>
      </c>
      <c r="K389" s="101">
        <f t="shared" si="2353"/>
        <v>0</v>
      </c>
      <c r="L389" s="101">
        <f t="shared" si="2353"/>
        <v>1</v>
      </c>
      <c r="M389" s="140">
        <f t="shared" si="2346"/>
        <v>28</v>
      </c>
      <c r="N389" s="97">
        <f t="shared" ref="N389:T389" si="2354">RANDBETWEEN(0,10)</f>
        <v>4</v>
      </c>
      <c r="O389" s="97">
        <f t="shared" si="2354"/>
        <v>0</v>
      </c>
      <c r="P389" s="97">
        <f t="shared" si="2354"/>
        <v>4</v>
      </c>
      <c r="Q389" s="97">
        <f t="shared" si="2354"/>
        <v>7</v>
      </c>
      <c r="R389" s="97">
        <f t="shared" si="2354"/>
        <v>9</v>
      </c>
      <c r="S389" s="97">
        <f t="shared" si="2354"/>
        <v>4</v>
      </c>
      <c r="T389" s="97">
        <f t="shared" si="2354"/>
        <v>0</v>
      </c>
      <c r="U389" s="103">
        <f t="shared" si="2348"/>
        <v>15</v>
      </c>
      <c r="V389" s="158">
        <f t="shared" si="2257"/>
        <v>2</v>
      </c>
      <c r="W389" s="97">
        <f t="shared" ref="W389:Y389" si="2355">RANDBETWEEN(0,2)</f>
        <v>0</v>
      </c>
      <c r="X389" s="97">
        <f t="shared" si="2355"/>
        <v>1</v>
      </c>
      <c r="Y389" s="97">
        <f t="shared" si="2355"/>
        <v>1</v>
      </c>
      <c r="Z389" s="105">
        <f t="shared" si="2266"/>
        <v>1</v>
      </c>
      <c r="AA389" s="143">
        <f t="shared" ref="AA389:AF389" si="2356">RANDBETWEEN(0,2)</f>
        <v>1</v>
      </c>
      <c r="AB389" s="143">
        <f t="shared" si="2356"/>
        <v>0</v>
      </c>
      <c r="AC389" s="144">
        <f t="shared" si="2356"/>
        <v>1</v>
      </c>
      <c r="AD389" s="145">
        <f t="shared" si="2356"/>
        <v>1</v>
      </c>
      <c r="AE389" s="145">
        <f t="shared" si="2356"/>
        <v>1</v>
      </c>
      <c r="AF389" s="145">
        <f t="shared" si="2356"/>
        <v>2</v>
      </c>
      <c r="AG389" s="86">
        <f t="shared" si="2227"/>
        <v>5</v>
      </c>
      <c r="AH389" s="144">
        <f t="shared" ref="AH389:AJ389" si="2357">RANDBETWEEN(1,10)</f>
        <v>5</v>
      </c>
      <c r="AI389" s="145">
        <f t="shared" si="2357"/>
        <v>8</v>
      </c>
      <c r="AJ389" s="145">
        <f t="shared" si="2357"/>
        <v>7</v>
      </c>
      <c r="AK389" s="192">
        <f t="shared" si="2229"/>
        <v>20</v>
      </c>
      <c r="AL389" s="144"/>
      <c r="AM389" s="145"/>
      <c r="AN389" s="145"/>
      <c r="AO389" s="145"/>
      <c r="AP389" s="89"/>
      <c r="AQ389" s="144"/>
      <c r="AR389" s="145"/>
      <c r="AS389" s="145"/>
      <c r="AT389" s="193"/>
      <c r="AU389" s="144"/>
      <c r="AV389" s="145"/>
      <c r="AW389" s="145"/>
      <c r="AX389" s="194"/>
      <c r="AY389" s="92">
        <f t="shared" ref="AY389:AZ389" si="2358">RANDBETWEEN(1,10)/10</f>
        <v>1</v>
      </c>
      <c r="AZ389" s="92">
        <f t="shared" si="2358"/>
        <v>0.1</v>
      </c>
      <c r="BA389" s="93">
        <v>0.0</v>
      </c>
      <c r="BB389" s="93">
        <v>0.0</v>
      </c>
      <c r="BC389" s="94">
        <f>SUM(BC361,'ГОЧ'!$AY389)</f>
        <v>1208</v>
      </c>
      <c r="BD389" s="94">
        <f>SUM(BD361,'ГОЧ'!$AZ389)</f>
        <v>1207.4</v>
      </c>
      <c r="BE389" s="108"/>
      <c r="BF389" s="108"/>
    </row>
    <row r="390" ht="15.75" customHeight="1">
      <c r="A390" s="67">
        <f t="shared" si="2217"/>
        <v>46267</v>
      </c>
      <c r="B390" s="138" t="s">
        <v>60</v>
      </c>
      <c r="C390" s="157">
        <f t="shared" si="2218"/>
        <v>2</v>
      </c>
      <c r="D390" s="97">
        <f t="shared" ref="D390:L390" si="2359">RANDBETWEEN(0,2)</f>
        <v>1</v>
      </c>
      <c r="E390" s="97">
        <f t="shared" si="2359"/>
        <v>1</v>
      </c>
      <c r="F390" s="97">
        <f t="shared" si="2359"/>
        <v>1</v>
      </c>
      <c r="G390" s="97">
        <f t="shared" si="2359"/>
        <v>2</v>
      </c>
      <c r="H390" s="98">
        <f t="shared" si="2359"/>
        <v>0</v>
      </c>
      <c r="I390" s="99">
        <f t="shared" si="2359"/>
        <v>2</v>
      </c>
      <c r="J390" s="100">
        <f t="shared" si="2359"/>
        <v>1</v>
      </c>
      <c r="K390" s="101">
        <f t="shared" si="2359"/>
        <v>2</v>
      </c>
      <c r="L390" s="101">
        <f t="shared" si="2359"/>
        <v>0</v>
      </c>
      <c r="M390" s="140">
        <f t="shared" si="2346"/>
        <v>32</v>
      </c>
      <c r="N390" s="97">
        <f t="shared" ref="N390:T390" si="2360">RANDBETWEEN(0,10)</f>
        <v>2</v>
      </c>
      <c r="O390" s="97">
        <f t="shared" si="2360"/>
        <v>4</v>
      </c>
      <c r="P390" s="97">
        <f t="shared" si="2360"/>
        <v>0</v>
      </c>
      <c r="Q390" s="97">
        <f t="shared" si="2360"/>
        <v>7</v>
      </c>
      <c r="R390" s="97">
        <f t="shared" si="2360"/>
        <v>7</v>
      </c>
      <c r="S390" s="97">
        <f t="shared" si="2360"/>
        <v>5</v>
      </c>
      <c r="T390" s="97">
        <f t="shared" si="2360"/>
        <v>7</v>
      </c>
      <c r="U390" s="103">
        <f t="shared" si="2348"/>
        <v>15</v>
      </c>
      <c r="V390" s="158">
        <f t="shared" si="2257"/>
        <v>4</v>
      </c>
      <c r="W390" s="97">
        <f t="shared" ref="W390:Y390" si="2361">RANDBETWEEN(0,2)</f>
        <v>2</v>
      </c>
      <c r="X390" s="97">
        <f t="shared" si="2361"/>
        <v>0</v>
      </c>
      <c r="Y390" s="97">
        <f t="shared" si="2361"/>
        <v>2</v>
      </c>
      <c r="Z390" s="105">
        <f t="shared" si="2266"/>
        <v>2</v>
      </c>
      <c r="AA390" s="106">
        <f t="shared" ref="AA390:AF390" si="2362">RANDBETWEEN(0,2)</f>
        <v>0</v>
      </c>
      <c r="AB390" s="106">
        <f t="shared" si="2362"/>
        <v>2</v>
      </c>
      <c r="AC390" s="107">
        <f t="shared" si="2362"/>
        <v>0</v>
      </c>
      <c r="AD390" s="108">
        <f t="shared" si="2362"/>
        <v>0</v>
      </c>
      <c r="AE390" s="108">
        <f t="shared" si="2362"/>
        <v>2</v>
      </c>
      <c r="AF390" s="108">
        <f t="shared" si="2362"/>
        <v>1</v>
      </c>
      <c r="AG390" s="86">
        <f t="shared" si="2227"/>
        <v>3</v>
      </c>
      <c r="AH390" s="107">
        <f t="shared" ref="AH390:AJ390" si="2363">RANDBETWEEN(1,10)</f>
        <v>9</v>
      </c>
      <c r="AI390" s="108">
        <f t="shared" si="2363"/>
        <v>8</v>
      </c>
      <c r="AJ390" s="108">
        <f t="shared" si="2363"/>
        <v>9</v>
      </c>
      <c r="AK390" s="192">
        <f t="shared" si="2229"/>
        <v>26</v>
      </c>
      <c r="AL390" s="107"/>
      <c r="AM390" s="108"/>
      <c r="AN390" s="108"/>
      <c r="AO390" s="108"/>
      <c r="AP390" s="89"/>
      <c r="AQ390" s="107"/>
      <c r="AR390" s="108"/>
      <c r="AS390" s="108"/>
      <c r="AT390" s="193"/>
      <c r="AU390" s="107"/>
      <c r="AV390" s="108"/>
      <c r="AW390" s="108"/>
      <c r="AX390" s="194"/>
      <c r="AY390" s="92">
        <f t="shared" ref="AY390:AZ390" si="2364">RANDBETWEEN(1,10)/10</f>
        <v>0.5</v>
      </c>
      <c r="AZ390" s="92">
        <f t="shared" si="2364"/>
        <v>0.1</v>
      </c>
      <c r="BA390" s="93">
        <v>0.0</v>
      </c>
      <c r="BB390" s="93">
        <v>0.0</v>
      </c>
      <c r="BC390" s="94">
        <f>SUM(BC362,'ГОЧ'!$AY390)</f>
        <v>1206.2</v>
      </c>
      <c r="BD390" s="94">
        <f>SUM(BD362,'ГОЧ'!$AZ390)</f>
        <v>1205.9</v>
      </c>
      <c r="BE390" s="108"/>
      <c r="BF390" s="108"/>
    </row>
    <row r="391" ht="15.75" customHeight="1">
      <c r="A391" s="67">
        <f t="shared" si="2217"/>
        <v>46267</v>
      </c>
      <c r="B391" s="195" t="s">
        <v>64</v>
      </c>
      <c r="C391" s="157">
        <f t="shared" si="2218"/>
        <v>1</v>
      </c>
      <c r="D391" s="97">
        <f t="shared" ref="D391:L391" si="2365">RANDBETWEEN(0,2)</f>
        <v>0</v>
      </c>
      <c r="E391" s="97">
        <f t="shared" si="2365"/>
        <v>1</v>
      </c>
      <c r="F391" s="97">
        <f t="shared" si="2365"/>
        <v>1</v>
      </c>
      <c r="G391" s="97">
        <f t="shared" si="2365"/>
        <v>2</v>
      </c>
      <c r="H391" s="98">
        <f t="shared" si="2365"/>
        <v>1</v>
      </c>
      <c r="I391" s="99">
        <f t="shared" si="2365"/>
        <v>2</v>
      </c>
      <c r="J391" s="100">
        <f t="shared" si="2365"/>
        <v>2</v>
      </c>
      <c r="K391" s="101">
        <f t="shared" si="2365"/>
        <v>1</v>
      </c>
      <c r="L391" s="101">
        <f t="shared" si="2365"/>
        <v>0</v>
      </c>
      <c r="M391" s="140">
        <f t="shared" si="2346"/>
        <v>43</v>
      </c>
      <c r="N391" s="97">
        <f t="shared" ref="N391:T391" si="2366">RANDBETWEEN(0,10)</f>
        <v>0</v>
      </c>
      <c r="O391" s="97">
        <f t="shared" si="2366"/>
        <v>9</v>
      </c>
      <c r="P391" s="97">
        <f t="shared" si="2366"/>
        <v>9</v>
      </c>
      <c r="Q391" s="97">
        <f t="shared" si="2366"/>
        <v>0</v>
      </c>
      <c r="R391" s="97">
        <f t="shared" si="2366"/>
        <v>10</v>
      </c>
      <c r="S391" s="97">
        <f t="shared" si="2366"/>
        <v>10</v>
      </c>
      <c r="T391" s="97">
        <f t="shared" si="2366"/>
        <v>5</v>
      </c>
      <c r="U391" s="103">
        <f t="shared" si="2348"/>
        <v>12</v>
      </c>
      <c r="V391" s="158">
        <f t="shared" si="2257"/>
        <v>5</v>
      </c>
      <c r="W391" s="97">
        <f t="shared" ref="W391:Y391" si="2367">RANDBETWEEN(0,2)</f>
        <v>1</v>
      </c>
      <c r="X391" s="97">
        <f t="shared" si="2367"/>
        <v>2</v>
      </c>
      <c r="Y391" s="97">
        <f t="shared" si="2367"/>
        <v>2</v>
      </c>
      <c r="Z391" s="105">
        <f t="shared" si="2266"/>
        <v>2</v>
      </c>
      <c r="AA391" s="143">
        <f t="shared" ref="AA391:AF391" si="2368">RANDBETWEEN(0,2)</f>
        <v>1</v>
      </c>
      <c r="AB391" s="143">
        <f t="shared" si="2368"/>
        <v>1</v>
      </c>
      <c r="AC391" s="144">
        <f t="shared" si="2368"/>
        <v>0</v>
      </c>
      <c r="AD391" s="145">
        <f t="shared" si="2368"/>
        <v>0</v>
      </c>
      <c r="AE391" s="145">
        <f t="shared" si="2368"/>
        <v>2</v>
      </c>
      <c r="AF391" s="145">
        <f t="shared" si="2368"/>
        <v>2</v>
      </c>
      <c r="AG391" s="86">
        <f t="shared" si="2227"/>
        <v>4</v>
      </c>
      <c r="AH391" s="144">
        <f t="shared" ref="AH391:AJ391" si="2369">RANDBETWEEN(1,10)</f>
        <v>9</v>
      </c>
      <c r="AI391" s="145">
        <f t="shared" si="2369"/>
        <v>6</v>
      </c>
      <c r="AJ391" s="145">
        <f t="shared" si="2369"/>
        <v>6</v>
      </c>
      <c r="AK391" s="192">
        <f t="shared" si="2229"/>
        <v>21</v>
      </c>
      <c r="AL391" s="144"/>
      <c r="AM391" s="145"/>
      <c r="AN391" s="145"/>
      <c r="AO391" s="145"/>
      <c r="AP391" s="89"/>
      <c r="AQ391" s="144"/>
      <c r="AR391" s="145"/>
      <c r="AS391" s="145"/>
      <c r="AT391" s="193"/>
      <c r="AU391" s="144"/>
      <c r="AV391" s="145"/>
      <c r="AW391" s="145"/>
      <c r="AX391" s="194"/>
      <c r="AY391" s="92">
        <f t="shared" ref="AY391:AZ391" si="2370">RANDBETWEEN(1,10)/10</f>
        <v>0.7</v>
      </c>
      <c r="AZ391" s="92">
        <f t="shared" si="2370"/>
        <v>0.3</v>
      </c>
      <c r="BA391" s="93">
        <v>0.0</v>
      </c>
      <c r="BB391" s="93">
        <v>0.0</v>
      </c>
      <c r="BC391" s="94">
        <f>SUM(BC363,'ГОЧ'!$AY391)</f>
        <v>1205.6</v>
      </c>
      <c r="BD391" s="94">
        <f>SUM(BD363,'ГОЧ'!$AZ391)</f>
        <v>1206.4</v>
      </c>
      <c r="BE391" s="108"/>
      <c r="BF391" s="108"/>
    </row>
    <row r="392" ht="15.75" customHeight="1">
      <c r="A392" s="67">
        <f t="shared" si="2217"/>
        <v>46267</v>
      </c>
      <c r="B392" s="201" t="s">
        <v>67</v>
      </c>
      <c r="C392" s="164">
        <f t="shared" si="2218"/>
        <v>7</v>
      </c>
      <c r="D392" s="164">
        <f t="shared" ref="D392:L392" si="2371">SUM(D387:D391)</f>
        <v>2</v>
      </c>
      <c r="E392" s="165">
        <f t="shared" si="2371"/>
        <v>5</v>
      </c>
      <c r="F392" s="165">
        <f t="shared" si="2371"/>
        <v>5</v>
      </c>
      <c r="G392" s="165">
        <f t="shared" si="2371"/>
        <v>6</v>
      </c>
      <c r="H392" s="165">
        <f t="shared" si="2371"/>
        <v>6</v>
      </c>
      <c r="I392" s="165">
        <f t="shared" si="2371"/>
        <v>5</v>
      </c>
      <c r="J392" s="165">
        <f t="shared" si="2371"/>
        <v>6</v>
      </c>
      <c r="K392" s="165">
        <f t="shared" si="2371"/>
        <v>4</v>
      </c>
      <c r="L392" s="165">
        <f t="shared" si="2371"/>
        <v>5</v>
      </c>
      <c r="M392" s="164">
        <f t="shared" si="2346"/>
        <v>188</v>
      </c>
      <c r="N392" s="164">
        <f t="shared" ref="N392:U392" si="2372">SUM(N387:N391)</f>
        <v>20</v>
      </c>
      <c r="O392" s="165">
        <f t="shared" si="2372"/>
        <v>17</v>
      </c>
      <c r="P392" s="165">
        <f t="shared" si="2372"/>
        <v>33</v>
      </c>
      <c r="Q392" s="165">
        <f t="shared" si="2372"/>
        <v>23</v>
      </c>
      <c r="R392" s="165">
        <f t="shared" si="2372"/>
        <v>39</v>
      </c>
      <c r="S392" s="165">
        <f t="shared" si="2372"/>
        <v>33</v>
      </c>
      <c r="T392" s="165">
        <f t="shared" si="2372"/>
        <v>23</v>
      </c>
      <c r="U392" s="164">
        <f t="shared" si="2372"/>
        <v>93</v>
      </c>
      <c r="V392" s="164">
        <f t="shared" si="2257"/>
        <v>18</v>
      </c>
      <c r="W392" s="165">
        <f t="shared" ref="W392:Y392" si="2373">SUM(W387:W391)</f>
        <v>5</v>
      </c>
      <c r="X392" s="165">
        <f t="shared" si="2373"/>
        <v>7</v>
      </c>
      <c r="Y392" s="165">
        <f t="shared" si="2373"/>
        <v>6</v>
      </c>
      <c r="Z392" s="164">
        <f>SUM(AA392:AB392)</f>
        <v>10</v>
      </c>
      <c r="AA392" s="164">
        <f t="shared" ref="AA392:AF392" si="2374">SUM(AA387:AA391)</f>
        <v>5</v>
      </c>
      <c r="AB392" s="165">
        <f t="shared" si="2374"/>
        <v>5</v>
      </c>
      <c r="AC392" s="166">
        <f t="shared" si="2374"/>
        <v>5</v>
      </c>
      <c r="AD392" s="166">
        <f t="shared" si="2374"/>
        <v>2</v>
      </c>
      <c r="AE392" s="166">
        <f t="shared" si="2374"/>
        <v>7</v>
      </c>
      <c r="AF392" s="166">
        <f t="shared" si="2374"/>
        <v>9</v>
      </c>
      <c r="AG392" s="168">
        <f t="shared" si="2227"/>
        <v>23</v>
      </c>
      <c r="AH392" s="166">
        <f t="shared" ref="AH392:AJ392" si="2375">SUM(AH387:AH391)</f>
        <v>32</v>
      </c>
      <c r="AI392" s="167">
        <f t="shared" si="2375"/>
        <v>42</v>
      </c>
      <c r="AJ392" s="167">
        <f t="shared" si="2375"/>
        <v>35</v>
      </c>
      <c r="AK392" s="168">
        <f t="shared" si="2229"/>
        <v>109</v>
      </c>
      <c r="AL392" s="166"/>
      <c r="AM392" s="166"/>
      <c r="AN392" s="166"/>
      <c r="AO392" s="166"/>
      <c r="AP392" s="169"/>
      <c r="AQ392" s="166"/>
      <c r="AR392" s="167"/>
      <c r="AS392" s="167"/>
      <c r="AT392" s="170"/>
      <c r="AU392" s="166"/>
      <c r="AV392" s="167"/>
      <c r="AW392" s="167"/>
      <c r="AX392" s="171"/>
      <c r="AY392" s="196">
        <f t="shared" ref="AY392:BD392" si="2376">SUM(AY387:AY391)</f>
        <v>3.1</v>
      </c>
      <c r="AZ392" s="196">
        <f t="shared" si="2376"/>
        <v>1.7</v>
      </c>
      <c r="BA392" s="167">
        <f t="shared" si="2376"/>
        <v>0</v>
      </c>
      <c r="BB392" s="167">
        <f t="shared" si="2376"/>
        <v>0</v>
      </c>
      <c r="BC392" s="197">
        <f t="shared" si="2376"/>
        <v>6032.1</v>
      </c>
      <c r="BD392" s="197">
        <f t="shared" si="2376"/>
        <v>6031.9</v>
      </c>
      <c r="BE392" s="154" t="str">
        <f t="shared" ref="BE392:BF392" si="2377">TEXTJOIN(", ",TRUE,BE387:BE391)</f>
        <v/>
      </c>
      <c r="BF392" s="154" t="str">
        <f t="shared" si="2377"/>
        <v/>
      </c>
    </row>
    <row r="393" ht="15.75" customHeight="1">
      <c r="A393" s="67">
        <f t="shared" si="2217"/>
        <v>46267</v>
      </c>
      <c r="B393" s="202" t="s">
        <v>72</v>
      </c>
      <c r="C393" s="203">
        <f t="shared" ref="C393:AK393" si="2378">SUM(C367+C368+C369+C373,C372,C379,C386,C392)</f>
        <v>46</v>
      </c>
      <c r="D393" s="203">
        <f t="shared" si="2378"/>
        <v>18</v>
      </c>
      <c r="E393" s="203">
        <f t="shared" si="2378"/>
        <v>18</v>
      </c>
      <c r="F393" s="203">
        <f t="shared" si="2378"/>
        <v>28</v>
      </c>
      <c r="G393" s="203">
        <f t="shared" si="2378"/>
        <v>21</v>
      </c>
      <c r="H393" s="203">
        <f t="shared" si="2378"/>
        <v>15</v>
      </c>
      <c r="I393" s="203">
        <f t="shared" si="2378"/>
        <v>18</v>
      </c>
      <c r="J393" s="203">
        <f t="shared" si="2378"/>
        <v>22</v>
      </c>
      <c r="K393" s="203">
        <f t="shared" si="2378"/>
        <v>21</v>
      </c>
      <c r="L393" s="203">
        <f t="shared" si="2378"/>
        <v>23</v>
      </c>
      <c r="M393" s="203">
        <f t="shared" si="2378"/>
        <v>750</v>
      </c>
      <c r="N393" s="203">
        <f t="shared" si="2378"/>
        <v>93</v>
      </c>
      <c r="O393" s="203">
        <f t="shared" si="2378"/>
        <v>88</v>
      </c>
      <c r="P393" s="203">
        <f t="shared" si="2378"/>
        <v>100</v>
      </c>
      <c r="Q393" s="203">
        <f t="shared" si="2378"/>
        <v>135</v>
      </c>
      <c r="R393" s="203">
        <f t="shared" si="2378"/>
        <v>106</v>
      </c>
      <c r="S393" s="203">
        <f t="shared" si="2378"/>
        <v>101</v>
      </c>
      <c r="T393" s="203">
        <f t="shared" si="2378"/>
        <v>127</v>
      </c>
      <c r="U393" s="203">
        <f t="shared" si="2378"/>
        <v>389</v>
      </c>
      <c r="V393" s="203">
        <f t="shared" si="2378"/>
        <v>60</v>
      </c>
      <c r="W393" s="203">
        <f t="shared" si="2378"/>
        <v>18</v>
      </c>
      <c r="X393" s="203">
        <f t="shared" si="2378"/>
        <v>19</v>
      </c>
      <c r="Y393" s="203">
        <f t="shared" si="2378"/>
        <v>23</v>
      </c>
      <c r="Z393" s="203">
        <f t="shared" si="2378"/>
        <v>48</v>
      </c>
      <c r="AA393" s="203">
        <f t="shared" si="2378"/>
        <v>25</v>
      </c>
      <c r="AB393" s="203">
        <f t="shared" si="2378"/>
        <v>23</v>
      </c>
      <c r="AC393" s="204">
        <f t="shared" si="2378"/>
        <v>23</v>
      </c>
      <c r="AD393" s="204">
        <f t="shared" si="2378"/>
        <v>21</v>
      </c>
      <c r="AE393" s="204">
        <f t="shared" si="2378"/>
        <v>23</v>
      </c>
      <c r="AF393" s="204">
        <f t="shared" si="2378"/>
        <v>23</v>
      </c>
      <c r="AG393" s="204">
        <f t="shared" si="2378"/>
        <v>90</v>
      </c>
      <c r="AH393" s="204">
        <f t="shared" si="2378"/>
        <v>129</v>
      </c>
      <c r="AI393" s="204">
        <f t="shared" si="2378"/>
        <v>125</v>
      </c>
      <c r="AJ393" s="204">
        <f t="shared" si="2378"/>
        <v>124</v>
      </c>
      <c r="AK393" s="204">
        <f t="shared" si="2378"/>
        <v>378</v>
      </c>
      <c r="AL393" s="204"/>
      <c r="AM393" s="204"/>
      <c r="AN393" s="204"/>
      <c r="AO393" s="204"/>
      <c r="AP393" s="151"/>
      <c r="AQ393" s="204"/>
      <c r="AR393" s="204"/>
      <c r="AS393" s="204"/>
      <c r="AT393" s="152"/>
      <c r="AU393" s="204"/>
      <c r="AV393" s="204"/>
      <c r="AW393" s="204"/>
      <c r="AX393" s="153"/>
      <c r="AY393" s="205">
        <f t="shared" ref="AY393:BD393" si="2379">SUM(AY367+AY368+AY369+AY373,AY372,AY379,AY386,AY392)</f>
        <v>12.3</v>
      </c>
      <c r="AZ393" s="205">
        <f t="shared" si="2379"/>
        <v>15.3</v>
      </c>
      <c r="BA393" s="206">
        <f t="shared" si="2379"/>
        <v>5</v>
      </c>
      <c r="BB393" s="206">
        <f t="shared" si="2379"/>
        <v>3</v>
      </c>
      <c r="BC393" s="207">
        <f t="shared" si="2379"/>
        <v>26555.8</v>
      </c>
      <c r="BD393" s="207">
        <f t="shared" si="2379"/>
        <v>26559.4</v>
      </c>
      <c r="BE393" s="154" t="str">
        <f t="shared" ref="BE393:BF393" si="2380">TEXTJOIN(", ",TRUE,BE392,BE386,BE379,BE373,BE372,BE369,BE368,BE367)</f>
        <v>Олександівка, Пантелеймонівка, Миколаївка, Курськ, Рильск</v>
      </c>
      <c r="BF393" s="154" t="str">
        <f t="shared" si="2380"/>
        <v>Загреблі, Верхні води, Ступочки</v>
      </c>
    </row>
    <row r="394" ht="15.75" customHeight="1">
      <c r="A394" s="55">
        <f>A393+1</f>
        <v>46268</v>
      </c>
      <c r="B394" s="56"/>
      <c r="C394" s="57"/>
      <c r="D394" s="58"/>
      <c r="E394" s="59"/>
      <c r="F394" s="58"/>
      <c r="G394" s="59"/>
      <c r="H394" s="57"/>
      <c r="I394" s="60"/>
      <c r="J394" s="57"/>
      <c r="K394" s="57"/>
      <c r="L394" s="57"/>
      <c r="M394" s="57"/>
      <c r="N394" s="60"/>
      <c r="O394" s="60"/>
      <c r="P394" s="60"/>
      <c r="Q394" s="60"/>
      <c r="R394" s="60"/>
      <c r="S394" s="60"/>
      <c r="T394" s="60"/>
      <c r="U394" s="57"/>
      <c r="V394" s="58"/>
      <c r="W394" s="61"/>
      <c r="X394" s="61"/>
      <c r="Y394" s="61"/>
      <c r="Z394" s="57"/>
      <c r="AA394" s="60"/>
      <c r="AB394" s="60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4"/>
      <c r="AQ394" s="62"/>
      <c r="AR394" s="62"/>
      <c r="AS394" s="62"/>
      <c r="AT394" s="65"/>
      <c r="AU394" s="62"/>
      <c r="AV394" s="62"/>
      <c r="AW394" s="62"/>
      <c r="AX394" s="66"/>
      <c r="AY394" s="208"/>
      <c r="AZ394" s="208"/>
      <c r="BA394" s="62"/>
      <c r="BB394" s="62"/>
      <c r="BC394" s="209"/>
      <c r="BD394" s="209"/>
      <c r="BE394" s="62"/>
      <c r="BF394" s="62"/>
    </row>
    <row r="395" ht="15.75" customHeight="1">
      <c r="A395" s="67">
        <f t="shared" ref="A395:A421" si="2387">A394</f>
        <v>46268</v>
      </c>
      <c r="B395" s="70" t="s">
        <v>8</v>
      </c>
      <c r="C395" s="72">
        <f t="shared" ref="C395:C420" si="2388">SUM(D395,F395)</f>
        <v>2</v>
      </c>
      <c r="D395" s="74">
        <f t="shared" ref="D395:L395" si="2381">RANDBETWEEN(0,2)</f>
        <v>1</v>
      </c>
      <c r="E395" s="74">
        <f t="shared" si="2381"/>
        <v>1</v>
      </c>
      <c r="F395" s="74">
        <f t="shared" si="2381"/>
        <v>1</v>
      </c>
      <c r="G395" s="74">
        <f t="shared" si="2381"/>
        <v>0</v>
      </c>
      <c r="H395" s="75">
        <f t="shared" si="2381"/>
        <v>1</v>
      </c>
      <c r="I395" s="76">
        <f t="shared" si="2381"/>
        <v>1</v>
      </c>
      <c r="J395" s="77">
        <f t="shared" si="2381"/>
        <v>2</v>
      </c>
      <c r="K395" s="78">
        <f t="shared" si="2381"/>
        <v>1</v>
      </c>
      <c r="L395" s="78">
        <f t="shared" si="2381"/>
        <v>1</v>
      </c>
      <c r="M395" s="79">
        <f t="shared" ref="M395:M413" si="2390">SUM(N395:T395)</f>
        <v>38</v>
      </c>
      <c r="N395" s="74">
        <f t="shared" ref="N395:T395" si="2382">RANDBETWEEN(0,10)</f>
        <v>5</v>
      </c>
      <c r="O395" s="74">
        <f t="shared" si="2382"/>
        <v>4</v>
      </c>
      <c r="P395" s="74">
        <f t="shared" si="2382"/>
        <v>8</v>
      </c>
      <c r="Q395" s="74">
        <f t="shared" si="2382"/>
        <v>4</v>
      </c>
      <c r="R395" s="74">
        <f t="shared" si="2382"/>
        <v>8</v>
      </c>
      <c r="S395" s="74">
        <f t="shared" si="2382"/>
        <v>2</v>
      </c>
      <c r="T395" s="74">
        <f t="shared" si="2382"/>
        <v>7</v>
      </c>
      <c r="U395" s="81">
        <f t="shared" ref="U395:U396" si="2392">RANDBETWEEN(10,30)</f>
        <v>29</v>
      </c>
      <c r="V395" s="82">
        <f t="shared" ref="V395:V400" si="2393">SUM(W395:Y395)</f>
        <v>3</v>
      </c>
      <c r="W395" s="74">
        <f t="shared" ref="W395:Y395" si="2383">RANDBETWEEN(0,2)</f>
        <v>2</v>
      </c>
      <c r="X395" s="74">
        <f t="shared" si="2383"/>
        <v>1</v>
      </c>
      <c r="Y395" s="74">
        <f t="shared" si="2383"/>
        <v>0</v>
      </c>
      <c r="Z395" s="83">
        <f t="shared" ref="Z395:Z397" si="2395">AA395+AB395</f>
        <v>2</v>
      </c>
      <c r="AA395" s="84">
        <f t="shared" ref="AA395:AF395" si="2384">RANDBETWEEN(0,2)</f>
        <v>0</v>
      </c>
      <c r="AB395" s="84">
        <f t="shared" si="2384"/>
        <v>2</v>
      </c>
      <c r="AC395" s="85">
        <f t="shared" si="2384"/>
        <v>1</v>
      </c>
      <c r="AD395" s="85">
        <f t="shared" si="2384"/>
        <v>0</v>
      </c>
      <c r="AE395" s="85">
        <f t="shared" si="2384"/>
        <v>2</v>
      </c>
      <c r="AF395" s="85">
        <f t="shared" si="2384"/>
        <v>0</v>
      </c>
      <c r="AG395" s="86">
        <f t="shared" ref="AG395:AG420" si="2397">SUM(AC395:AF395)</f>
        <v>3</v>
      </c>
      <c r="AH395" s="87">
        <f t="shared" ref="AH395:AJ395" si="2385">RANDBETWEEN(1,10)</f>
        <v>4</v>
      </c>
      <c r="AI395" s="85">
        <f t="shared" si="2385"/>
        <v>4</v>
      </c>
      <c r="AJ395" s="85">
        <f t="shared" si="2385"/>
        <v>4</v>
      </c>
      <c r="AK395" s="88">
        <f t="shared" ref="AK395:AK420" si="2399">SUM(AH395:AJ395)</f>
        <v>12</v>
      </c>
      <c r="AL395" s="85"/>
      <c r="AM395" s="85"/>
      <c r="AN395" s="85"/>
      <c r="AO395" s="85"/>
      <c r="AP395" s="89"/>
      <c r="AQ395" s="87"/>
      <c r="AR395" s="85"/>
      <c r="AS395" s="85"/>
      <c r="AT395" s="90"/>
      <c r="AU395" s="87"/>
      <c r="AV395" s="85"/>
      <c r="AW395" s="85"/>
      <c r="AX395" s="91"/>
      <c r="AY395" s="92">
        <f t="shared" ref="AY395:AZ395" si="2386">RANDBETWEEN(1,10)/10</f>
        <v>0.8</v>
      </c>
      <c r="AZ395" s="92">
        <f t="shared" si="2386"/>
        <v>0.8</v>
      </c>
      <c r="BA395" s="93">
        <v>0.0</v>
      </c>
      <c r="BB395" s="93">
        <v>0.0</v>
      </c>
      <c r="BC395" s="94">
        <f>SUM(BC367,'ГОЧ'!$AY395)</f>
        <v>1209.8</v>
      </c>
      <c r="BD395" s="94">
        <f>SUM(BD367,'ГОЧ'!$AZ395)</f>
        <v>1210.5</v>
      </c>
      <c r="BE395" s="85"/>
      <c r="BF395" s="85"/>
    </row>
    <row r="396" ht="15.75" customHeight="1">
      <c r="A396" s="67">
        <f t="shared" si="2387"/>
        <v>46268</v>
      </c>
      <c r="B396" s="95" t="s">
        <v>10</v>
      </c>
      <c r="C396" s="96">
        <f t="shared" si="2388"/>
        <v>1</v>
      </c>
      <c r="D396" s="97">
        <f t="shared" ref="D396:L396" si="2389">RANDBETWEEN(0,2)</f>
        <v>0</v>
      </c>
      <c r="E396" s="97">
        <f t="shared" si="2389"/>
        <v>1</v>
      </c>
      <c r="F396" s="97">
        <f t="shared" si="2389"/>
        <v>1</v>
      </c>
      <c r="G396" s="97">
        <f t="shared" si="2389"/>
        <v>0</v>
      </c>
      <c r="H396" s="98">
        <f t="shared" si="2389"/>
        <v>0</v>
      </c>
      <c r="I396" s="99">
        <f t="shared" si="2389"/>
        <v>0</v>
      </c>
      <c r="J396" s="100">
        <f t="shared" si="2389"/>
        <v>2</v>
      </c>
      <c r="K396" s="101">
        <f t="shared" si="2389"/>
        <v>0</v>
      </c>
      <c r="L396" s="101">
        <f t="shared" si="2389"/>
        <v>1</v>
      </c>
      <c r="M396" s="102">
        <f t="shared" si="2390"/>
        <v>32</v>
      </c>
      <c r="N396" s="97">
        <f t="shared" ref="N396:T396" si="2391">RANDBETWEEN(0,10)</f>
        <v>0</v>
      </c>
      <c r="O396" s="97">
        <f t="shared" si="2391"/>
        <v>8</v>
      </c>
      <c r="P396" s="97">
        <f t="shared" si="2391"/>
        <v>2</v>
      </c>
      <c r="Q396" s="97">
        <f t="shared" si="2391"/>
        <v>6</v>
      </c>
      <c r="R396" s="97">
        <f t="shared" si="2391"/>
        <v>8</v>
      </c>
      <c r="S396" s="97">
        <f t="shared" si="2391"/>
        <v>2</v>
      </c>
      <c r="T396" s="97">
        <f t="shared" si="2391"/>
        <v>6</v>
      </c>
      <c r="U396" s="103">
        <f t="shared" si="2392"/>
        <v>29</v>
      </c>
      <c r="V396" s="104">
        <f t="shared" si="2393"/>
        <v>2</v>
      </c>
      <c r="W396" s="97">
        <f t="shared" ref="W396:Y396" si="2394">RANDBETWEEN(0,2)</f>
        <v>1</v>
      </c>
      <c r="X396" s="97">
        <f t="shared" si="2394"/>
        <v>1</v>
      </c>
      <c r="Y396" s="97">
        <f t="shared" si="2394"/>
        <v>0</v>
      </c>
      <c r="Z396" s="105">
        <f t="shared" si="2395"/>
        <v>1</v>
      </c>
      <c r="AA396" s="106">
        <f t="shared" ref="AA396:AF396" si="2396">RANDBETWEEN(0,2)</f>
        <v>0</v>
      </c>
      <c r="AB396" s="106">
        <f t="shared" si="2396"/>
        <v>1</v>
      </c>
      <c r="AC396" s="107">
        <f t="shared" si="2396"/>
        <v>0</v>
      </c>
      <c r="AD396" s="108">
        <f t="shared" si="2396"/>
        <v>0</v>
      </c>
      <c r="AE396" s="108">
        <f t="shared" si="2396"/>
        <v>1</v>
      </c>
      <c r="AF396" s="108">
        <f t="shared" si="2396"/>
        <v>1</v>
      </c>
      <c r="AG396" s="109">
        <f t="shared" si="2397"/>
        <v>2</v>
      </c>
      <c r="AH396" s="107">
        <f t="shared" ref="AH396:AJ396" si="2398">RANDBETWEEN(1,10)</f>
        <v>2</v>
      </c>
      <c r="AI396" s="108">
        <f t="shared" si="2398"/>
        <v>4</v>
      </c>
      <c r="AJ396" s="108">
        <f t="shared" si="2398"/>
        <v>8</v>
      </c>
      <c r="AK396" s="110">
        <f t="shared" si="2399"/>
        <v>14</v>
      </c>
      <c r="AL396" s="107"/>
      <c r="AM396" s="108"/>
      <c r="AN396" s="108"/>
      <c r="AO396" s="108"/>
      <c r="AP396" s="111"/>
      <c r="AQ396" s="107"/>
      <c r="AR396" s="108"/>
      <c r="AS396" s="108"/>
      <c r="AT396" s="112"/>
      <c r="AU396" s="107"/>
      <c r="AV396" s="108"/>
      <c r="AW396" s="108"/>
      <c r="AX396" s="113"/>
      <c r="AY396" s="92">
        <f t="shared" ref="AY396:AZ396" si="2400">RANDBETWEEN(1,10)/10</f>
        <v>0.7</v>
      </c>
      <c r="AZ396" s="92">
        <f t="shared" si="2400"/>
        <v>0.8</v>
      </c>
      <c r="BA396" s="93">
        <v>0.0</v>
      </c>
      <c r="BB396" s="93">
        <v>0.0</v>
      </c>
      <c r="BC396" s="94">
        <f>SUM(BC368,'ГОЧ'!$AY396)</f>
        <v>1207</v>
      </c>
      <c r="BD396" s="94">
        <f>SUM(BD368,'ГОЧ'!$AZ396)</f>
        <v>1208.2</v>
      </c>
      <c r="BE396" s="108"/>
      <c r="BF396" s="108"/>
    </row>
    <row r="397" ht="15.75" customHeight="1">
      <c r="A397" s="67">
        <f t="shared" si="2387"/>
        <v>46268</v>
      </c>
      <c r="B397" s="114" t="s">
        <v>12</v>
      </c>
      <c r="C397" s="115">
        <f t="shared" si="2388"/>
        <v>0</v>
      </c>
      <c r="D397" s="115">
        <v>0.0</v>
      </c>
      <c r="E397" s="116">
        <v>0.0</v>
      </c>
      <c r="F397" s="116">
        <v>0.0</v>
      </c>
      <c r="G397" s="116">
        <v>0.0</v>
      </c>
      <c r="H397" s="115">
        <v>0.0</v>
      </c>
      <c r="I397" s="116">
        <v>0.0</v>
      </c>
      <c r="J397" s="115">
        <v>0.0</v>
      </c>
      <c r="K397" s="116">
        <v>0.0</v>
      </c>
      <c r="L397" s="116">
        <v>0.0</v>
      </c>
      <c r="M397" s="115">
        <f t="shared" si="2390"/>
        <v>0</v>
      </c>
      <c r="N397" s="115">
        <v>0.0</v>
      </c>
      <c r="O397" s="116">
        <v>0.0</v>
      </c>
      <c r="P397" s="116">
        <v>0.0</v>
      </c>
      <c r="Q397" s="116">
        <v>0.0</v>
      </c>
      <c r="R397" s="116">
        <v>0.0</v>
      </c>
      <c r="S397" s="116">
        <v>0.0</v>
      </c>
      <c r="T397" s="116">
        <v>0.0</v>
      </c>
      <c r="U397" s="115">
        <v>0.0</v>
      </c>
      <c r="V397" s="115">
        <f t="shared" si="2393"/>
        <v>0</v>
      </c>
      <c r="W397" s="116">
        <v>0.0</v>
      </c>
      <c r="X397" s="116">
        <v>0.0</v>
      </c>
      <c r="Y397" s="116">
        <v>0.0</v>
      </c>
      <c r="Z397" s="116">
        <f t="shared" si="2395"/>
        <v>0</v>
      </c>
      <c r="AA397" s="116">
        <v>0.0</v>
      </c>
      <c r="AB397" s="116">
        <v>0.0</v>
      </c>
      <c r="AC397" s="117">
        <v>0.0</v>
      </c>
      <c r="AD397" s="118">
        <v>0.0</v>
      </c>
      <c r="AE397" s="118">
        <v>0.0</v>
      </c>
      <c r="AF397" s="118">
        <v>0.0</v>
      </c>
      <c r="AG397" s="119">
        <f t="shared" si="2397"/>
        <v>0</v>
      </c>
      <c r="AH397" s="117">
        <v>0.0</v>
      </c>
      <c r="AI397" s="118">
        <v>0.0</v>
      </c>
      <c r="AJ397" s="118">
        <v>0.0</v>
      </c>
      <c r="AK397" s="119">
        <f t="shared" si="2399"/>
        <v>0</v>
      </c>
      <c r="AL397" s="117"/>
      <c r="AM397" s="118"/>
      <c r="AN397" s="118"/>
      <c r="AO397" s="118"/>
      <c r="AP397" s="111"/>
      <c r="AQ397" s="117"/>
      <c r="AR397" s="118"/>
      <c r="AS397" s="118"/>
      <c r="AT397" s="120"/>
      <c r="AU397" s="117"/>
      <c r="AV397" s="118"/>
      <c r="AW397" s="118"/>
      <c r="AX397" s="121"/>
      <c r="AY397" s="122">
        <f t="shared" ref="AY397:BD397" si="2401">SUM(AY395:AY396)</f>
        <v>1.5</v>
      </c>
      <c r="AZ397" s="122">
        <f t="shared" si="2401"/>
        <v>1.6</v>
      </c>
      <c r="BA397" s="118">
        <f t="shared" si="2401"/>
        <v>0</v>
      </c>
      <c r="BB397" s="118">
        <f t="shared" si="2401"/>
        <v>0</v>
      </c>
      <c r="BC397" s="123">
        <f t="shared" si="2401"/>
        <v>2416.8</v>
      </c>
      <c r="BD397" s="123">
        <f t="shared" si="2401"/>
        <v>2418.7</v>
      </c>
      <c r="BE397" s="118"/>
      <c r="BF397" s="118"/>
    </row>
    <row r="398" ht="15.75" customHeight="1">
      <c r="A398" s="67">
        <f t="shared" si="2387"/>
        <v>46268</v>
      </c>
      <c r="B398" s="124" t="s">
        <v>14</v>
      </c>
      <c r="C398" s="96">
        <f t="shared" si="2388"/>
        <v>3</v>
      </c>
      <c r="D398" s="125">
        <f t="shared" ref="D398:L398" si="2402">RANDBETWEEN(0,2)</f>
        <v>1</v>
      </c>
      <c r="E398" s="125">
        <f t="shared" si="2402"/>
        <v>2</v>
      </c>
      <c r="F398" s="125">
        <f t="shared" si="2402"/>
        <v>2</v>
      </c>
      <c r="G398" s="125">
        <f t="shared" si="2402"/>
        <v>0</v>
      </c>
      <c r="H398" s="126">
        <f t="shared" si="2402"/>
        <v>2</v>
      </c>
      <c r="I398" s="127">
        <f t="shared" si="2402"/>
        <v>1</v>
      </c>
      <c r="J398" s="128">
        <f t="shared" si="2402"/>
        <v>2</v>
      </c>
      <c r="K398" s="130">
        <f t="shared" si="2402"/>
        <v>0</v>
      </c>
      <c r="L398" s="130">
        <f t="shared" si="2402"/>
        <v>0</v>
      </c>
      <c r="M398" s="102">
        <f t="shared" si="2390"/>
        <v>25</v>
      </c>
      <c r="N398" s="125">
        <f t="shared" ref="N398:T398" si="2403">RANDBETWEEN(0,10)</f>
        <v>0</v>
      </c>
      <c r="O398" s="125">
        <f t="shared" si="2403"/>
        <v>4</v>
      </c>
      <c r="P398" s="125">
        <f t="shared" si="2403"/>
        <v>6</v>
      </c>
      <c r="Q398" s="125">
        <f t="shared" si="2403"/>
        <v>0</v>
      </c>
      <c r="R398" s="125">
        <f t="shared" si="2403"/>
        <v>4</v>
      </c>
      <c r="S398" s="125">
        <f t="shared" si="2403"/>
        <v>3</v>
      </c>
      <c r="T398" s="125">
        <f t="shared" si="2403"/>
        <v>8</v>
      </c>
      <c r="U398" s="103">
        <f t="shared" ref="U398:U399" si="2410">RANDBETWEEN(10,30)</f>
        <v>18</v>
      </c>
      <c r="V398" s="131">
        <f t="shared" si="2393"/>
        <v>5</v>
      </c>
      <c r="W398" s="125">
        <f t="shared" ref="W398:Y398" si="2404">RANDBETWEEN(0,2)</f>
        <v>1</v>
      </c>
      <c r="X398" s="125">
        <f t="shared" si="2404"/>
        <v>2</v>
      </c>
      <c r="Y398" s="125">
        <f t="shared" si="2404"/>
        <v>2</v>
      </c>
      <c r="Z398" s="132">
        <f t="shared" ref="Z398:Z401" si="2412">SUM(AA398:AB398)</f>
        <v>2</v>
      </c>
      <c r="AA398" s="133">
        <f t="shared" ref="AA398:AF398" si="2405">RANDBETWEEN(0,2)</f>
        <v>0</v>
      </c>
      <c r="AB398" s="133">
        <f t="shared" si="2405"/>
        <v>2</v>
      </c>
      <c r="AC398" s="134">
        <f t="shared" si="2405"/>
        <v>1</v>
      </c>
      <c r="AD398" s="134">
        <f t="shared" si="2405"/>
        <v>0</v>
      </c>
      <c r="AE398" s="134">
        <f t="shared" si="2405"/>
        <v>2</v>
      </c>
      <c r="AF398" s="134">
        <f t="shared" si="2405"/>
        <v>2</v>
      </c>
      <c r="AG398" s="135">
        <f t="shared" si="2397"/>
        <v>5</v>
      </c>
      <c r="AH398" s="136">
        <f t="shared" ref="AH398:AJ398" si="2406">RANDBETWEEN(1,10)</f>
        <v>6</v>
      </c>
      <c r="AI398" s="134">
        <f t="shared" si="2406"/>
        <v>4</v>
      </c>
      <c r="AJ398" s="134">
        <f t="shared" si="2406"/>
        <v>7</v>
      </c>
      <c r="AK398" s="137">
        <f t="shared" si="2399"/>
        <v>17</v>
      </c>
      <c r="AL398" s="134"/>
      <c r="AM398" s="134"/>
      <c r="AN398" s="134"/>
      <c r="AO398" s="134"/>
      <c r="AP398" s="111"/>
      <c r="AQ398" s="136"/>
      <c r="AR398" s="134"/>
      <c r="AS398" s="134"/>
      <c r="AT398" s="120"/>
      <c r="AU398" s="136"/>
      <c r="AV398" s="134"/>
      <c r="AW398" s="134"/>
      <c r="AX398" s="121"/>
      <c r="AY398" s="92">
        <f t="shared" ref="AY398:AZ398" si="2407">RANDBETWEEN(1,10)/10</f>
        <v>0.8</v>
      </c>
      <c r="AZ398" s="92">
        <f t="shared" si="2407"/>
        <v>0.3</v>
      </c>
      <c r="BA398" s="93">
        <v>0.0</v>
      </c>
      <c r="BB398" s="93">
        <v>0.0</v>
      </c>
      <c r="BC398" s="94">
        <f>SUM(BC370,'ГОЧ'!$AY398)</f>
        <v>1206.3</v>
      </c>
      <c r="BD398" s="94">
        <f>SUM(BD370,'ГОЧ'!$AZ398)</f>
        <v>1206</v>
      </c>
      <c r="BE398" s="108"/>
      <c r="BF398" s="108"/>
    </row>
    <row r="399" ht="15.75" customHeight="1">
      <c r="A399" s="67">
        <f t="shared" si="2387"/>
        <v>46268</v>
      </c>
      <c r="B399" s="138" t="s">
        <v>16</v>
      </c>
      <c r="C399" s="139">
        <f t="shared" si="2388"/>
        <v>2</v>
      </c>
      <c r="D399" s="97">
        <f t="shared" ref="D399:L399" si="2408">RANDBETWEEN(0,2)</f>
        <v>0</v>
      </c>
      <c r="E399" s="97">
        <f t="shared" si="2408"/>
        <v>0</v>
      </c>
      <c r="F399" s="97">
        <f t="shared" si="2408"/>
        <v>2</v>
      </c>
      <c r="G399" s="97">
        <f t="shared" si="2408"/>
        <v>2</v>
      </c>
      <c r="H399" s="98">
        <f t="shared" si="2408"/>
        <v>2</v>
      </c>
      <c r="I399" s="99">
        <f t="shared" si="2408"/>
        <v>1</v>
      </c>
      <c r="J399" s="100">
        <f t="shared" si="2408"/>
        <v>1</v>
      </c>
      <c r="K399" s="101">
        <f t="shared" si="2408"/>
        <v>2</v>
      </c>
      <c r="L399" s="101">
        <f t="shared" si="2408"/>
        <v>0</v>
      </c>
      <c r="M399" s="140">
        <f t="shared" si="2390"/>
        <v>42</v>
      </c>
      <c r="N399" s="97">
        <f t="shared" ref="N399:T399" si="2409">RANDBETWEEN(0,10)</f>
        <v>4</v>
      </c>
      <c r="O399" s="97">
        <f t="shared" si="2409"/>
        <v>4</v>
      </c>
      <c r="P399" s="97">
        <f t="shared" si="2409"/>
        <v>5</v>
      </c>
      <c r="Q399" s="97">
        <f t="shared" si="2409"/>
        <v>10</v>
      </c>
      <c r="R399" s="97">
        <f t="shared" si="2409"/>
        <v>9</v>
      </c>
      <c r="S399" s="97">
        <f t="shared" si="2409"/>
        <v>7</v>
      </c>
      <c r="T399" s="97">
        <f t="shared" si="2409"/>
        <v>3</v>
      </c>
      <c r="U399" s="103">
        <f t="shared" si="2410"/>
        <v>26</v>
      </c>
      <c r="V399" s="141">
        <f t="shared" si="2393"/>
        <v>1</v>
      </c>
      <c r="W399" s="97">
        <f t="shared" ref="W399:Y399" si="2411">RANDBETWEEN(0,2)</f>
        <v>1</v>
      </c>
      <c r="X399" s="97">
        <f t="shared" si="2411"/>
        <v>0</v>
      </c>
      <c r="Y399" s="97">
        <f t="shared" si="2411"/>
        <v>0</v>
      </c>
      <c r="Z399" s="142">
        <f t="shared" si="2412"/>
        <v>0</v>
      </c>
      <c r="AA399" s="143">
        <f t="shared" ref="AA399:AF399" si="2413">RANDBETWEEN(0,2)</f>
        <v>0</v>
      </c>
      <c r="AB399" s="143">
        <f t="shared" si="2413"/>
        <v>0</v>
      </c>
      <c r="AC399" s="144">
        <f t="shared" si="2413"/>
        <v>2</v>
      </c>
      <c r="AD399" s="145">
        <f t="shared" si="2413"/>
        <v>0</v>
      </c>
      <c r="AE399" s="145">
        <f t="shared" si="2413"/>
        <v>2</v>
      </c>
      <c r="AF399" s="145">
        <f t="shared" si="2413"/>
        <v>1</v>
      </c>
      <c r="AG399" s="146">
        <f t="shared" si="2397"/>
        <v>5</v>
      </c>
      <c r="AH399" s="144">
        <f t="shared" ref="AH399:AJ399" si="2414">RANDBETWEEN(1,10)</f>
        <v>10</v>
      </c>
      <c r="AI399" s="145">
        <f t="shared" si="2414"/>
        <v>5</v>
      </c>
      <c r="AJ399" s="145">
        <f t="shared" si="2414"/>
        <v>4</v>
      </c>
      <c r="AK399" s="147">
        <f t="shared" si="2399"/>
        <v>19</v>
      </c>
      <c r="AL399" s="144"/>
      <c r="AM399" s="145"/>
      <c r="AN399" s="145"/>
      <c r="AO399" s="145"/>
      <c r="AP399" s="148"/>
      <c r="AQ399" s="144"/>
      <c r="AR399" s="145"/>
      <c r="AS399" s="145"/>
      <c r="AT399" s="149"/>
      <c r="AU399" s="144"/>
      <c r="AV399" s="145"/>
      <c r="AW399" s="145"/>
      <c r="AX399" s="150"/>
      <c r="AY399" s="92">
        <f t="shared" ref="AY399:AZ399" si="2415">RANDBETWEEN(1,10)/10</f>
        <v>0.4</v>
      </c>
      <c r="AZ399" s="92">
        <f t="shared" si="2415"/>
        <v>0.9</v>
      </c>
      <c r="BA399" s="93">
        <v>0.0</v>
      </c>
      <c r="BB399" s="93">
        <v>0.0</v>
      </c>
      <c r="BC399" s="94">
        <f>SUM(BC371,'ГОЧ'!$AY399)</f>
        <v>1207.4</v>
      </c>
      <c r="BD399" s="94">
        <f>SUM(BD371,'ГОЧ'!$AZ399)</f>
        <v>1208.4</v>
      </c>
      <c r="BE399" s="108"/>
      <c r="BF399" s="108"/>
    </row>
    <row r="400" ht="15.75" customHeight="1">
      <c r="A400" s="67">
        <f t="shared" si="2387"/>
        <v>46268</v>
      </c>
      <c r="B400" s="114" t="s">
        <v>18</v>
      </c>
      <c r="C400" s="115">
        <f t="shared" si="2388"/>
        <v>5</v>
      </c>
      <c r="D400" s="115">
        <f t="shared" ref="D400:L400" si="2416">SUM(D398:D399)</f>
        <v>1</v>
      </c>
      <c r="E400" s="116">
        <f t="shared" si="2416"/>
        <v>2</v>
      </c>
      <c r="F400" s="116">
        <f t="shared" si="2416"/>
        <v>4</v>
      </c>
      <c r="G400" s="116">
        <f t="shared" si="2416"/>
        <v>2</v>
      </c>
      <c r="H400" s="115">
        <f t="shared" si="2416"/>
        <v>4</v>
      </c>
      <c r="I400" s="116">
        <f t="shared" si="2416"/>
        <v>2</v>
      </c>
      <c r="J400" s="115">
        <f t="shared" si="2416"/>
        <v>3</v>
      </c>
      <c r="K400" s="116">
        <f t="shared" si="2416"/>
        <v>2</v>
      </c>
      <c r="L400" s="116">
        <f t="shared" si="2416"/>
        <v>0</v>
      </c>
      <c r="M400" s="115">
        <f t="shared" si="2390"/>
        <v>54</v>
      </c>
      <c r="N400" s="115">
        <f t="shared" ref="N400:Q400" si="2417">SUM(N398:N399)</f>
        <v>4</v>
      </c>
      <c r="O400" s="116">
        <f t="shared" si="2417"/>
        <v>8</v>
      </c>
      <c r="P400" s="116">
        <f t="shared" si="2417"/>
        <v>11</v>
      </c>
      <c r="Q400" s="116">
        <f t="shared" si="2417"/>
        <v>10</v>
      </c>
      <c r="R400" s="116">
        <v>0.0</v>
      </c>
      <c r="S400" s="116">
        <f t="shared" ref="S400:U400" si="2418">SUM(S398:S399)</f>
        <v>10</v>
      </c>
      <c r="T400" s="116">
        <f t="shared" si="2418"/>
        <v>11</v>
      </c>
      <c r="U400" s="115">
        <f t="shared" si="2418"/>
        <v>44</v>
      </c>
      <c r="V400" s="115">
        <f t="shared" si="2393"/>
        <v>6</v>
      </c>
      <c r="W400" s="116">
        <f t="shared" ref="W400:Y400" si="2419">SUM(W398:W399)</f>
        <v>2</v>
      </c>
      <c r="X400" s="116">
        <f t="shared" si="2419"/>
        <v>2</v>
      </c>
      <c r="Y400" s="116">
        <f t="shared" si="2419"/>
        <v>2</v>
      </c>
      <c r="Z400" s="116">
        <f t="shared" si="2412"/>
        <v>2</v>
      </c>
      <c r="AA400" s="116">
        <f t="shared" ref="AA400:AF400" si="2420">SUM(AA398:AA399)</f>
        <v>0</v>
      </c>
      <c r="AB400" s="116">
        <f t="shared" si="2420"/>
        <v>2</v>
      </c>
      <c r="AC400" s="118">
        <f t="shared" si="2420"/>
        <v>3</v>
      </c>
      <c r="AD400" s="118">
        <f t="shared" si="2420"/>
        <v>0</v>
      </c>
      <c r="AE400" s="118">
        <f t="shared" si="2420"/>
        <v>4</v>
      </c>
      <c r="AF400" s="118">
        <f t="shared" si="2420"/>
        <v>3</v>
      </c>
      <c r="AG400" s="117">
        <f t="shared" si="2397"/>
        <v>10</v>
      </c>
      <c r="AH400" s="117">
        <f t="shared" ref="AH400:AJ400" si="2421">SUM(AH398:AH399)</f>
        <v>16</v>
      </c>
      <c r="AI400" s="118">
        <f t="shared" si="2421"/>
        <v>9</v>
      </c>
      <c r="AJ400" s="118">
        <f t="shared" si="2421"/>
        <v>11</v>
      </c>
      <c r="AK400" s="117">
        <f t="shared" si="2399"/>
        <v>36</v>
      </c>
      <c r="AL400" s="118"/>
      <c r="AM400" s="118"/>
      <c r="AN400" s="118"/>
      <c r="AO400" s="118"/>
      <c r="AP400" s="151"/>
      <c r="AQ400" s="117"/>
      <c r="AR400" s="118"/>
      <c r="AS400" s="118"/>
      <c r="AT400" s="152"/>
      <c r="AU400" s="117"/>
      <c r="AV400" s="118"/>
      <c r="AW400" s="118"/>
      <c r="AX400" s="153"/>
      <c r="AY400" s="122">
        <f t="shared" ref="AY400:BD400" si="2422">SUM(AY398:AY399)</f>
        <v>1.2</v>
      </c>
      <c r="AZ400" s="122">
        <f t="shared" si="2422"/>
        <v>1.2</v>
      </c>
      <c r="BA400" s="118">
        <f t="shared" si="2422"/>
        <v>0</v>
      </c>
      <c r="BB400" s="118">
        <f t="shared" si="2422"/>
        <v>0</v>
      </c>
      <c r="BC400" s="123">
        <f t="shared" si="2422"/>
        <v>2413.7</v>
      </c>
      <c r="BD400" s="123">
        <f t="shared" si="2422"/>
        <v>2414.4</v>
      </c>
      <c r="BE400" s="154" t="str">
        <f t="shared" ref="BE400:BF400" si="2423">TEXTJOIN(", ",TRUE,BE398:BE399)</f>
        <v/>
      </c>
      <c r="BF400" s="154" t="str">
        <f t="shared" si="2423"/>
        <v/>
      </c>
    </row>
    <row r="401" ht="15.75" customHeight="1">
      <c r="A401" s="67">
        <f t="shared" si="2387"/>
        <v>46268</v>
      </c>
      <c r="B401" s="114" t="s">
        <v>20</v>
      </c>
      <c r="C401" s="115">
        <f t="shared" si="2388"/>
        <v>5</v>
      </c>
      <c r="D401" s="115">
        <v>3.0</v>
      </c>
      <c r="E401" s="116">
        <v>0.0</v>
      </c>
      <c r="F401" s="116">
        <v>2.0</v>
      </c>
      <c r="G401" s="116">
        <v>2.0</v>
      </c>
      <c r="H401" s="115">
        <v>0.0</v>
      </c>
      <c r="I401" s="116">
        <v>0.0</v>
      </c>
      <c r="J401" s="115">
        <v>1.0</v>
      </c>
      <c r="K401" s="116">
        <v>1.0</v>
      </c>
      <c r="L401" s="116">
        <v>0.0</v>
      </c>
      <c r="M401" s="115">
        <f t="shared" si="2390"/>
        <v>38</v>
      </c>
      <c r="N401" s="115">
        <v>0.0</v>
      </c>
      <c r="O401" s="116">
        <v>0.0</v>
      </c>
      <c r="P401" s="116">
        <v>0.0</v>
      </c>
      <c r="Q401" s="116">
        <v>9.0</v>
      </c>
      <c r="R401" s="116">
        <v>0.0</v>
      </c>
      <c r="S401" s="116">
        <v>0.0</v>
      </c>
      <c r="T401" s="116">
        <v>29.0</v>
      </c>
      <c r="U401" s="115">
        <v>7.0</v>
      </c>
      <c r="V401" s="115">
        <f t="shared" ref="V401:V420" si="2427">W401+X401+Y401</f>
        <v>0</v>
      </c>
      <c r="W401" s="116">
        <v>0.0</v>
      </c>
      <c r="X401" s="116">
        <v>0.0</v>
      </c>
      <c r="Y401" s="116">
        <v>0.0</v>
      </c>
      <c r="Z401" s="116">
        <f t="shared" si="2412"/>
        <v>0</v>
      </c>
      <c r="AA401" s="116">
        <v>0.0</v>
      </c>
      <c r="AB401" s="116">
        <v>0.0</v>
      </c>
      <c r="AC401" s="117">
        <v>0.0</v>
      </c>
      <c r="AD401" s="118">
        <v>1.0</v>
      </c>
      <c r="AE401" s="118">
        <v>0.0</v>
      </c>
      <c r="AF401" s="118">
        <v>0.0</v>
      </c>
      <c r="AG401" s="119">
        <f t="shared" si="2397"/>
        <v>1</v>
      </c>
      <c r="AH401" s="117">
        <v>6.0</v>
      </c>
      <c r="AI401" s="118">
        <v>5.0</v>
      </c>
      <c r="AJ401" s="118">
        <v>0.0</v>
      </c>
      <c r="AK401" s="119">
        <f t="shared" si="2399"/>
        <v>11</v>
      </c>
      <c r="AL401" s="117"/>
      <c r="AM401" s="118"/>
      <c r="AN401" s="118"/>
      <c r="AO401" s="118"/>
      <c r="AP401" s="111"/>
      <c r="AQ401" s="117"/>
      <c r="AR401" s="118"/>
      <c r="AS401" s="118"/>
      <c r="AT401" s="120"/>
      <c r="AU401" s="117"/>
      <c r="AV401" s="118"/>
      <c r="AW401" s="118"/>
      <c r="AX401" s="121"/>
      <c r="AY401" s="122">
        <f t="shared" ref="AY401:AZ401" si="2424">RANDBETWEEN(1,10)</f>
        <v>2</v>
      </c>
      <c r="AZ401" s="122">
        <f t="shared" si="2424"/>
        <v>4</v>
      </c>
      <c r="BA401" s="118">
        <v>2.0</v>
      </c>
      <c r="BB401" s="118">
        <v>0.0</v>
      </c>
      <c r="BC401" s="123">
        <v>1.0</v>
      </c>
      <c r="BD401" s="123">
        <v>2.0</v>
      </c>
      <c r="BE401" s="118" t="s">
        <v>157</v>
      </c>
      <c r="BF401" s="118"/>
    </row>
    <row r="402" ht="15.75" customHeight="1">
      <c r="A402" s="67">
        <f t="shared" si="2387"/>
        <v>46268</v>
      </c>
      <c r="B402" s="124" t="s">
        <v>21</v>
      </c>
      <c r="C402" s="155">
        <f t="shared" si="2388"/>
        <v>0</v>
      </c>
      <c r="D402" s="125">
        <f t="shared" ref="D402:L402" si="2425">RANDBETWEEN(0,2)</f>
        <v>0</v>
      </c>
      <c r="E402" s="125">
        <f t="shared" si="2425"/>
        <v>0</v>
      </c>
      <c r="F402" s="125">
        <f t="shared" si="2425"/>
        <v>0</v>
      </c>
      <c r="G402" s="125">
        <f t="shared" si="2425"/>
        <v>0</v>
      </c>
      <c r="H402" s="126">
        <f t="shared" si="2425"/>
        <v>0</v>
      </c>
      <c r="I402" s="127">
        <f t="shared" si="2425"/>
        <v>1</v>
      </c>
      <c r="J402" s="128">
        <f t="shared" si="2425"/>
        <v>2</v>
      </c>
      <c r="K402" s="130">
        <f t="shared" si="2425"/>
        <v>0</v>
      </c>
      <c r="L402" s="130">
        <f t="shared" si="2425"/>
        <v>2</v>
      </c>
      <c r="M402" s="102">
        <f t="shared" si="2390"/>
        <v>40</v>
      </c>
      <c r="N402" s="125">
        <f t="shared" ref="N402:T402" si="2426">RANDBETWEEN(0,10)</f>
        <v>4</v>
      </c>
      <c r="O402" s="125">
        <f t="shared" si="2426"/>
        <v>4</v>
      </c>
      <c r="P402" s="125">
        <f t="shared" si="2426"/>
        <v>5</v>
      </c>
      <c r="Q402" s="125">
        <f t="shared" si="2426"/>
        <v>2</v>
      </c>
      <c r="R402" s="125">
        <f t="shared" si="2426"/>
        <v>7</v>
      </c>
      <c r="S402" s="125">
        <f t="shared" si="2426"/>
        <v>8</v>
      </c>
      <c r="T402" s="125">
        <f t="shared" si="2426"/>
        <v>10</v>
      </c>
      <c r="U402" s="103">
        <f t="shared" ref="U402:U406" si="2434">RANDBETWEEN(10,30)</f>
        <v>25</v>
      </c>
      <c r="V402" s="104">
        <f t="shared" si="2427"/>
        <v>4</v>
      </c>
      <c r="W402" s="125">
        <f t="shared" ref="W402:Y402" si="2428">RANDBETWEEN(0,2)</f>
        <v>2</v>
      </c>
      <c r="X402" s="125">
        <f t="shared" si="2428"/>
        <v>2</v>
      </c>
      <c r="Y402" s="125">
        <f t="shared" si="2428"/>
        <v>0</v>
      </c>
      <c r="Z402" s="105">
        <f t="shared" ref="Z402:Z419" si="2436">AA402+AB402</f>
        <v>0</v>
      </c>
      <c r="AA402" s="133">
        <f t="shared" ref="AA402:AF402" si="2429">RANDBETWEEN(0,2)</f>
        <v>0</v>
      </c>
      <c r="AB402" s="133">
        <f t="shared" si="2429"/>
        <v>0</v>
      </c>
      <c r="AC402" s="136">
        <f t="shared" si="2429"/>
        <v>1</v>
      </c>
      <c r="AD402" s="134">
        <f t="shared" si="2429"/>
        <v>1</v>
      </c>
      <c r="AE402" s="134">
        <f t="shared" si="2429"/>
        <v>2</v>
      </c>
      <c r="AF402" s="134">
        <f t="shared" si="2429"/>
        <v>0</v>
      </c>
      <c r="AG402" s="156">
        <f t="shared" si="2397"/>
        <v>4</v>
      </c>
      <c r="AH402" s="136">
        <f t="shared" ref="AH402:AJ402" si="2430">RANDBETWEEN(1,10)</f>
        <v>9</v>
      </c>
      <c r="AI402" s="134">
        <f t="shared" si="2430"/>
        <v>6</v>
      </c>
      <c r="AJ402" s="134">
        <f t="shared" si="2430"/>
        <v>7</v>
      </c>
      <c r="AK402" s="137">
        <f t="shared" si="2399"/>
        <v>22</v>
      </c>
      <c r="AL402" s="136"/>
      <c r="AM402" s="134"/>
      <c r="AN402" s="134"/>
      <c r="AO402" s="134"/>
      <c r="AP402" s="111"/>
      <c r="AQ402" s="136"/>
      <c r="AR402" s="134"/>
      <c r="AS402" s="134"/>
      <c r="AT402" s="120"/>
      <c r="AU402" s="136"/>
      <c r="AV402" s="134"/>
      <c r="AW402" s="134"/>
      <c r="AX402" s="121"/>
      <c r="AY402" s="92">
        <f t="shared" ref="AY402:AZ402" si="2431">RANDBETWEEN(1,10)/10</f>
        <v>0.6</v>
      </c>
      <c r="AZ402" s="92">
        <f t="shared" si="2431"/>
        <v>0.1</v>
      </c>
      <c r="BA402" s="93">
        <v>1.0</v>
      </c>
      <c r="BB402" s="93">
        <v>0.0</v>
      </c>
      <c r="BC402" s="94">
        <f>SUM(BC374,'ГОЧ'!$AY402)</f>
        <v>1209.1</v>
      </c>
      <c r="BD402" s="94">
        <f>SUM(BD374,'ГОЧ'!$AZ402)</f>
        <v>1207</v>
      </c>
      <c r="BE402" s="108" t="s">
        <v>162</v>
      </c>
      <c r="BF402" s="108"/>
    </row>
    <row r="403" ht="15.75" customHeight="1">
      <c r="A403" s="67">
        <f t="shared" si="2387"/>
        <v>46268</v>
      </c>
      <c r="B403" s="138" t="s">
        <v>23</v>
      </c>
      <c r="C403" s="157">
        <f t="shared" si="2388"/>
        <v>2</v>
      </c>
      <c r="D403" s="97">
        <f t="shared" ref="D403:L403" si="2432">RANDBETWEEN(0,2)</f>
        <v>1</v>
      </c>
      <c r="E403" s="97">
        <f t="shared" si="2432"/>
        <v>1</v>
      </c>
      <c r="F403" s="97">
        <f t="shared" si="2432"/>
        <v>1</v>
      </c>
      <c r="G403" s="97">
        <f t="shared" si="2432"/>
        <v>1</v>
      </c>
      <c r="H403" s="98">
        <f t="shared" si="2432"/>
        <v>0</v>
      </c>
      <c r="I403" s="99">
        <f t="shared" si="2432"/>
        <v>2</v>
      </c>
      <c r="J403" s="100">
        <f t="shared" si="2432"/>
        <v>0</v>
      </c>
      <c r="K403" s="101">
        <f t="shared" si="2432"/>
        <v>0</v>
      </c>
      <c r="L403" s="101">
        <f t="shared" si="2432"/>
        <v>0</v>
      </c>
      <c r="M403" s="140">
        <f t="shared" si="2390"/>
        <v>32</v>
      </c>
      <c r="N403" s="97">
        <f t="shared" ref="N403:T403" si="2433">RANDBETWEEN(0,10)</f>
        <v>1</v>
      </c>
      <c r="O403" s="97">
        <f t="shared" si="2433"/>
        <v>0</v>
      </c>
      <c r="P403" s="97">
        <f t="shared" si="2433"/>
        <v>10</v>
      </c>
      <c r="Q403" s="97">
        <f t="shared" si="2433"/>
        <v>1</v>
      </c>
      <c r="R403" s="97">
        <f t="shared" si="2433"/>
        <v>4</v>
      </c>
      <c r="S403" s="97">
        <f t="shared" si="2433"/>
        <v>6</v>
      </c>
      <c r="T403" s="97">
        <f t="shared" si="2433"/>
        <v>10</v>
      </c>
      <c r="U403" s="103">
        <f t="shared" si="2434"/>
        <v>25</v>
      </c>
      <c r="V403" s="158">
        <f t="shared" si="2427"/>
        <v>0</v>
      </c>
      <c r="W403" s="97">
        <f t="shared" ref="W403:Y403" si="2435">RANDBETWEEN(0,2)</f>
        <v>0</v>
      </c>
      <c r="X403" s="97">
        <f t="shared" si="2435"/>
        <v>0</v>
      </c>
      <c r="Y403" s="97">
        <f t="shared" si="2435"/>
        <v>0</v>
      </c>
      <c r="Z403" s="159">
        <f t="shared" si="2436"/>
        <v>3</v>
      </c>
      <c r="AA403" s="143">
        <f t="shared" ref="AA403:AF403" si="2437">RANDBETWEEN(0,2)</f>
        <v>2</v>
      </c>
      <c r="AB403" s="143">
        <f t="shared" si="2437"/>
        <v>1</v>
      </c>
      <c r="AC403" s="144">
        <f t="shared" si="2437"/>
        <v>1</v>
      </c>
      <c r="AD403" s="145">
        <f t="shared" si="2437"/>
        <v>0</v>
      </c>
      <c r="AE403" s="145">
        <f t="shared" si="2437"/>
        <v>2</v>
      </c>
      <c r="AF403" s="145">
        <f t="shared" si="2437"/>
        <v>2</v>
      </c>
      <c r="AG403" s="160">
        <f t="shared" si="2397"/>
        <v>5</v>
      </c>
      <c r="AH403" s="144">
        <f t="shared" ref="AH403:AJ403" si="2438">RANDBETWEEN(1,10)</f>
        <v>10</v>
      </c>
      <c r="AI403" s="145">
        <f t="shared" si="2438"/>
        <v>8</v>
      </c>
      <c r="AJ403" s="145">
        <f t="shared" si="2438"/>
        <v>5</v>
      </c>
      <c r="AK403" s="147">
        <f t="shared" si="2399"/>
        <v>23</v>
      </c>
      <c r="AL403" s="144"/>
      <c r="AM403" s="145"/>
      <c r="AN403" s="145"/>
      <c r="AO403" s="145"/>
      <c r="AP403" s="148"/>
      <c r="AQ403" s="144"/>
      <c r="AR403" s="145"/>
      <c r="AS403" s="145"/>
      <c r="AT403" s="149"/>
      <c r="AU403" s="144"/>
      <c r="AV403" s="145"/>
      <c r="AW403" s="145"/>
      <c r="AX403" s="150"/>
      <c r="AY403" s="92">
        <f t="shared" ref="AY403:AZ403" si="2439">RANDBETWEEN(1,10)/10</f>
        <v>0.6</v>
      </c>
      <c r="AZ403" s="92">
        <f t="shared" si="2439"/>
        <v>0.4</v>
      </c>
      <c r="BA403" s="93">
        <v>1.0</v>
      </c>
      <c r="BB403" s="93">
        <v>2.0</v>
      </c>
      <c r="BC403" s="94">
        <f>SUM(BC375,'ГОЧ'!$AY403)</f>
        <v>1209.1</v>
      </c>
      <c r="BD403" s="94">
        <f>SUM(BD375,'ГОЧ'!$AZ403)</f>
        <v>1207.7</v>
      </c>
      <c r="BE403" s="108" t="s">
        <v>165</v>
      </c>
      <c r="BF403" s="108" t="s">
        <v>166</v>
      </c>
    </row>
    <row r="404" ht="15.75" customHeight="1">
      <c r="A404" s="67">
        <f t="shared" si="2387"/>
        <v>46268</v>
      </c>
      <c r="B404" s="138" t="s">
        <v>25</v>
      </c>
      <c r="C404" s="157">
        <f t="shared" si="2388"/>
        <v>2</v>
      </c>
      <c r="D404" s="97">
        <f t="shared" ref="D404:L404" si="2440">RANDBETWEEN(0,2)</f>
        <v>2</v>
      </c>
      <c r="E404" s="97">
        <f t="shared" si="2440"/>
        <v>2</v>
      </c>
      <c r="F404" s="97">
        <f t="shared" si="2440"/>
        <v>0</v>
      </c>
      <c r="G404" s="97">
        <f t="shared" si="2440"/>
        <v>1</v>
      </c>
      <c r="H404" s="98">
        <f t="shared" si="2440"/>
        <v>0</v>
      </c>
      <c r="I404" s="99">
        <f t="shared" si="2440"/>
        <v>1</v>
      </c>
      <c r="J404" s="100">
        <f t="shared" si="2440"/>
        <v>1</v>
      </c>
      <c r="K404" s="101">
        <f t="shared" si="2440"/>
        <v>0</v>
      </c>
      <c r="L404" s="101">
        <f t="shared" si="2440"/>
        <v>2</v>
      </c>
      <c r="M404" s="140">
        <f t="shared" si="2390"/>
        <v>39</v>
      </c>
      <c r="N404" s="97">
        <f t="shared" ref="N404:T404" si="2441">RANDBETWEEN(0,10)</f>
        <v>7</v>
      </c>
      <c r="O404" s="97">
        <f t="shared" si="2441"/>
        <v>9</v>
      </c>
      <c r="P404" s="97">
        <f t="shared" si="2441"/>
        <v>2</v>
      </c>
      <c r="Q404" s="97">
        <f t="shared" si="2441"/>
        <v>8</v>
      </c>
      <c r="R404" s="97">
        <f t="shared" si="2441"/>
        <v>3</v>
      </c>
      <c r="S404" s="97">
        <f t="shared" si="2441"/>
        <v>9</v>
      </c>
      <c r="T404" s="97">
        <f t="shared" si="2441"/>
        <v>1</v>
      </c>
      <c r="U404" s="103">
        <f t="shared" si="2434"/>
        <v>22</v>
      </c>
      <c r="V404" s="158">
        <f t="shared" si="2427"/>
        <v>2</v>
      </c>
      <c r="W404" s="97">
        <f t="shared" ref="W404:Y404" si="2442">RANDBETWEEN(0,2)</f>
        <v>1</v>
      </c>
      <c r="X404" s="97">
        <f t="shared" si="2442"/>
        <v>1</v>
      </c>
      <c r="Y404" s="97">
        <f t="shared" si="2442"/>
        <v>0</v>
      </c>
      <c r="Z404" s="159">
        <f t="shared" si="2436"/>
        <v>0</v>
      </c>
      <c r="AA404" s="106">
        <f t="shared" ref="AA404:AF404" si="2443">RANDBETWEEN(0,2)</f>
        <v>0</v>
      </c>
      <c r="AB404" s="106">
        <f t="shared" si="2443"/>
        <v>0</v>
      </c>
      <c r="AC404" s="107">
        <f t="shared" si="2443"/>
        <v>0</v>
      </c>
      <c r="AD404" s="108">
        <f t="shared" si="2443"/>
        <v>2</v>
      </c>
      <c r="AE404" s="108">
        <f t="shared" si="2443"/>
        <v>2</v>
      </c>
      <c r="AF404" s="108">
        <f t="shared" si="2443"/>
        <v>1</v>
      </c>
      <c r="AG404" s="160">
        <f t="shared" si="2397"/>
        <v>5</v>
      </c>
      <c r="AH404" s="107">
        <f t="shared" ref="AH404:AJ404" si="2444">RANDBETWEEN(1,10)</f>
        <v>7</v>
      </c>
      <c r="AI404" s="108">
        <f t="shared" si="2444"/>
        <v>8</v>
      </c>
      <c r="AJ404" s="108">
        <f t="shared" si="2444"/>
        <v>6</v>
      </c>
      <c r="AK404" s="147">
        <f t="shared" si="2399"/>
        <v>21</v>
      </c>
      <c r="AL404" s="107"/>
      <c r="AM404" s="108"/>
      <c r="AN404" s="108"/>
      <c r="AO404" s="108"/>
      <c r="AP404" s="148"/>
      <c r="AQ404" s="107"/>
      <c r="AR404" s="108"/>
      <c r="AS404" s="108"/>
      <c r="AT404" s="149"/>
      <c r="AU404" s="107"/>
      <c r="AV404" s="108"/>
      <c r="AW404" s="108"/>
      <c r="AX404" s="150"/>
      <c r="AY404" s="92">
        <f t="shared" ref="AY404:AZ404" si="2445">RANDBETWEEN(1,10)/10</f>
        <v>0.6</v>
      </c>
      <c r="AZ404" s="92">
        <f t="shared" si="2445"/>
        <v>1</v>
      </c>
      <c r="BA404" s="93">
        <v>0.0</v>
      </c>
      <c r="BB404" s="93">
        <v>0.0</v>
      </c>
      <c r="BC404" s="94">
        <f>SUM(BC376,'ГОЧ'!$AY404)</f>
        <v>1207.5</v>
      </c>
      <c r="BD404" s="94">
        <f>SUM(BD376,'ГОЧ'!$AZ404)</f>
        <v>1207.6</v>
      </c>
      <c r="BE404" s="108"/>
      <c r="BF404" s="108"/>
    </row>
    <row r="405" ht="15.75" customHeight="1">
      <c r="A405" s="67">
        <f t="shared" si="2387"/>
        <v>46268</v>
      </c>
      <c r="B405" s="138" t="s">
        <v>26</v>
      </c>
      <c r="C405" s="157">
        <f t="shared" si="2388"/>
        <v>3</v>
      </c>
      <c r="D405" s="97">
        <f t="shared" ref="D405:L405" si="2446">RANDBETWEEN(0,2)</f>
        <v>2</v>
      </c>
      <c r="E405" s="97">
        <f t="shared" si="2446"/>
        <v>2</v>
      </c>
      <c r="F405" s="97">
        <f t="shared" si="2446"/>
        <v>1</v>
      </c>
      <c r="G405" s="97">
        <f t="shared" si="2446"/>
        <v>2</v>
      </c>
      <c r="H405" s="98">
        <f t="shared" si="2446"/>
        <v>0</v>
      </c>
      <c r="I405" s="99">
        <f t="shared" si="2446"/>
        <v>0</v>
      </c>
      <c r="J405" s="100">
        <f t="shared" si="2446"/>
        <v>1</v>
      </c>
      <c r="K405" s="101">
        <f t="shared" si="2446"/>
        <v>2</v>
      </c>
      <c r="L405" s="101">
        <f t="shared" si="2446"/>
        <v>0</v>
      </c>
      <c r="M405" s="140">
        <f t="shared" si="2390"/>
        <v>30</v>
      </c>
      <c r="N405" s="97">
        <f t="shared" ref="N405:T405" si="2447">RANDBETWEEN(0,10)</f>
        <v>2</v>
      </c>
      <c r="O405" s="97">
        <f t="shared" si="2447"/>
        <v>6</v>
      </c>
      <c r="P405" s="97">
        <f t="shared" si="2447"/>
        <v>2</v>
      </c>
      <c r="Q405" s="97">
        <f t="shared" si="2447"/>
        <v>10</v>
      </c>
      <c r="R405" s="97">
        <f t="shared" si="2447"/>
        <v>4</v>
      </c>
      <c r="S405" s="97">
        <f t="shared" si="2447"/>
        <v>1</v>
      </c>
      <c r="T405" s="97">
        <f t="shared" si="2447"/>
        <v>5</v>
      </c>
      <c r="U405" s="103">
        <f t="shared" si="2434"/>
        <v>19</v>
      </c>
      <c r="V405" s="158">
        <f t="shared" si="2427"/>
        <v>3</v>
      </c>
      <c r="W405" s="97">
        <f t="shared" ref="W405:Y405" si="2448">RANDBETWEEN(0,2)</f>
        <v>0</v>
      </c>
      <c r="X405" s="97">
        <f t="shared" si="2448"/>
        <v>2</v>
      </c>
      <c r="Y405" s="97">
        <f t="shared" si="2448"/>
        <v>1</v>
      </c>
      <c r="Z405" s="159">
        <f t="shared" si="2436"/>
        <v>2</v>
      </c>
      <c r="AA405" s="143">
        <f t="shared" ref="AA405:AF405" si="2449">RANDBETWEEN(0,2)</f>
        <v>0</v>
      </c>
      <c r="AB405" s="143">
        <f t="shared" si="2449"/>
        <v>2</v>
      </c>
      <c r="AC405" s="144">
        <f t="shared" si="2449"/>
        <v>1</v>
      </c>
      <c r="AD405" s="145">
        <f t="shared" si="2449"/>
        <v>1</v>
      </c>
      <c r="AE405" s="145">
        <f t="shared" si="2449"/>
        <v>2</v>
      </c>
      <c r="AF405" s="145">
        <f t="shared" si="2449"/>
        <v>1</v>
      </c>
      <c r="AG405" s="160">
        <f t="shared" si="2397"/>
        <v>5</v>
      </c>
      <c r="AH405" s="144">
        <f t="shared" ref="AH405:AJ405" si="2450">RANDBETWEEN(1,10)</f>
        <v>5</v>
      </c>
      <c r="AI405" s="145">
        <f t="shared" si="2450"/>
        <v>10</v>
      </c>
      <c r="AJ405" s="145">
        <f t="shared" si="2450"/>
        <v>5</v>
      </c>
      <c r="AK405" s="147">
        <f t="shared" si="2399"/>
        <v>20</v>
      </c>
      <c r="AL405" s="144"/>
      <c r="AM405" s="145"/>
      <c r="AN405" s="145"/>
      <c r="AO405" s="145"/>
      <c r="AP405" s="148"/>
      <c r="AQ405" s="144"/>
      <c r="AR405" s="145"/>
      <c r="AS405" s="145"/>
      <c r="AT405" s="149"/>
      <c r="AU405" s="144"/>
      <c r="AV405" s="145"/>
      <c r="AW405" s="145"/>
      <c r="AX405" s="150"/>
      <c r="AY405" s="92">
        <f t="shared" ref="AY405:AZ405" si="2451">RANDBETWEEN(1,10)/10</f>
        <v>0.6</v>
      </c>
      <c r="AZ405" s="92">
        <f t="shared" si="2451"/>
        <v>0.1</v>
      </c>
      <c r="BA405" s="93">
        <v>1.0</v>
      </c>
      <c r="BB405" s="93">
        <v>0.0</v>
      </c>
      <c r="BC405" s="94">
        <f>SUM(BC377,'ГОЧ'!$AY405)</f>
        <v>1206.5</v>
      </c>
      <c r="BD405" s="94">
        <f>SUM(BD377,'ГОЧ'!$AZ405)</f>
        <v>1207.8</v>
      </c>
      <c r="BE405" s="108" t="s">
        <v>167</v>
      </c>
      <c r="BF405" s="108"/>
    </row>
    <row r="406" ht="15.75" customHeight="1">
      <c r="A406" s="67">
        <f t="shared" si="2387"/>
        <v>46268</v>
      </c>
      <c r="B406" s="138" t="s">
        <v>28</v>
      </c>
      <c r="C406" s="157">
        <f t="shared" si="2388"/>
        <v>1</v>
      </c>
      <c r="D406" s="97">
        <f t="shared" ref="D406:L406" si="2452">RANDBETWEEN(0,2)</f>
        <v>1</v>
      </c>
      <c r="E406" s="97">
        <f t="shared" si="2452"/>
        <v>1</v>
      </c>
      <c r="F406" s="97">
        <f t="shared" si="2452"/>
        <v>0</v>
      </c>
      <c r="G406" s="97">
        <f t="shared" si="2452"/>
        <v>0</v>
      </c>
      <c r="H406" s="98">
        <f t="shared" si="2452"/>
        <v>0</v>
      </c>
      <c r="I406" s="99">
        <f t="shared" si="2452"/>
        <v>0</v>
      </c>
      <c r="J406" s="100">
        <f t="shared" si="2452"/>
        <v>0</v>
      </c>
      <c r="K406" s="101">
        <f t="shared" si="2452"/>
        <v>0</v>
      </c>
      <c r="L406" s="101">
        <f t="shared" si="2452"/>
        <v>0</v>
      </c>
      <c r="M406" s="140">
        <f t="shared" si="2390"/>
        <v>34</v>
      </c>
      <c r="N406" s="97">
        <f t="shared" ref="N406:T406" si="2453">RANDBETWEEN(0,10)</f>
        <v>2</v>
      </c>
      <c r="O406" s="97">
        <f t="shared" si="2453"/>
        <v>4</v>
      </c>
      <c r="P406" s="97">
        <f t="shared" si="2453"/>
        <v>9</v>
      </c>
      <c r="Q406" s="97">
        <f t="shared" si="2453"/>
        <v>0</v>
      </c>
      <c r="R406" s="97">
        <f t="shared" si="2453"/>
        <v>0</v>
      </c>
      <c r="S406" s="97">
        <f t="shared" si="2453"/>
        <v>10</v>
      </c>
      <c r="T406" s="97">
        <f t="shared" si="2453"/>
        <v>9</v>
      </c>
      <c r="U406" s="103">
        <f t="shared" si="2434"/>
        <v>20</v>
      </c>
      <c r="V406" s="158">
        <f t="shared" si="2427"/>
        <v>4</v>
      </c>
      <c r="W406" s="97">
        <f t="shared" ref="W406:Y406" si="2454">RANDBETWEEN(0,2)</f>
        <v>1</v>
      </c>
      <c r="X406" s="97">
        <f t="shared" si="2454"/>
        <v>1</v>
      </c>
      <c r="Y406" s="97">
        <f t="shared" si="2454"/>
        <v>2</v>
      </c>
      <c r="Z406" s="159">
        <f t="shared" si="2436"/>
        <v>2</v>
      </c>
      <c r="AA406" s="106">
        <f t="shared" ref="AA406:AF406" si="2455">RANDBETWEEN(0,2)</f>
        <v>1</v>
      </c>
      <c r="AB406" s="106">
        <f t="shared" si="2455"/>
        <v>1</v>
      </c>
      <c r="AC406" s="107">
        <f t="shared" si="2455"/>
        <v>2</v>
      </c>
      <c r="AD406" s="108">
        <f t="shared" si="2455"/>
        <v>2</v>
      </c>
      <c r="AE406" s="108">
        <f t="shared" si="2455"/>
        <v>2</v>
      </c>
      <c r="AF406" s="108">
        <f t="shared" si="2455"/>
        <v>2</v>
      </c>
      <c r="AG406" s="160">
        <f t="shared" si="2397"/>
        <v>8</v>
      </c>
      <c r="AH406" s="107">
        <f t="shared" ref="AH406:AJ406" si="2456">RANDBETWEEN(1,10)</f>
        <v>8</v>
      </c>
      <c r="AI406" s="108">
        <f t="shared" si="2456"/>
        <v>3</v>
      </c>
      <c r="AJ406" s="108">
        <f t="shared" si="2456"/>
        <v>5</v>
      </c>
      <c r="AK406" s="147">
        <f t="shared" si="2399"/>
        <v>16</v>
      </c>
      <c r="AL406" s="107"/>
      <c r="AM406" s="108"/>
      <c r="AN406" s="108"/>
      <c r="AO406" s="108"/>
      <c r="AP406" s="148"/>
      <c r="AQ406" s="107"/>
      <c r="AR406" s="108"/>
      <c r="AS406" s="108"/>
      <c r="AT406" s="149"/>
      <c r="AU406" s="107"/>
      <c r="AV406" s="108"/>
      <c r="AW406" s="108"/>
      <c r="AX406" s="150"/>
      <c r="AY406" s="92">
        <f t="shared" ref="AY406:AZ406" si="2457">RANDBETWEEN(1,10)/10</f>
        <v>0.1</v>
      </c>
      <c r="AZ406" s="92">
        <f t="shared" si="2457"/>
        <v>0.6</v>
      </c>
      <c r="BA406" s="93">
        <v>0.0</v>
      </c>
      <c r="BB406" s="93">
        <v>1.0</v>
      </c>
      <c r="BC406" s="94">
        <f>SUM(BC378,'ГОЧ'!$AY406)</f>
        <v>1208.1</v>
      </c>
      <c r="BD406" s="94">
        <f>SUM(BD378,'ГОЧ'!$AZ406)</f>
        <v>1208.2</v>
      </c>
      <c r="BE406" s="108"/>
      <c r="BF406" s="108" t="s">
        <v>168</v>
      </c>
    </row>
    <row r="407" ht="15.75" customHeight="1">
      <c r="A407" s="67">
        <f t="shared" si="2387"/>
        <v>46268</v>
      </c>
      <c r="B407" s="114" t="s">
        <v>29</v>
      </c>
      <c r="C407" s="164">
        <f t="shared" si="2388"/>
        <v>8</v>
      </c>
      <c r="D407" s="165">
        <f t="shared" ref="D407:L407" si="2458">D402+D403+D404+D405+D406</f>
        <v>6</v>
      </c>
      <c r="E407" s="165">
        <f t="shared" si="2458"/>
        <v>6</v>
      </c>
      <c r="F407" s="165">
        <f t="shared" si="2458"/>
        <v>2</v>
      </c>
      <c r="G407" s="165">
        <f t="shared" si="2458"/>
        <v>4</v>
      </c>
      <c r="H407" s="164">
        <f t="shared" si="2458"/>
        <v>0</v>
      </c>
      <c r="I407" s="165">
        <f t="shared" si="2458"/>
        <v>4</v>
      </c>
      <c r="J407" s="164">
        <f t="shared" si="2458"/>
        <v>4</v>
      </c>
      <c r="K407" s="165">
        <f t="shared" si="2458"/>
        <v>2</v>
      </c>
      <c r="L407" s="165">
        <f t="shared" si="2458"/>
        <v>4</v>
      </c>
      <c r="M407" s="164">
        <f t="shared" si="2390"/>
        <v>175</v>
      </c>
      <c r="N407" s="164">
        <f t="shared" ref="N407:U407" si="2459">N402+N403+N404+N405+N406</f>
        <v>16</v>
      </c>
      <c r="O407" s="165">
        <f t="shared" si="2459"/>
        <v>23</v>
      </c>
      <c r="P407" s="165">
        <f t="shared" si="2459"/>
        <v>28</v>
      </c>
      <c r="Q407" s="165">
        <f t="shared" si="2459"/>
        <v>21</v>
      </c>
      <c r="R407" s="165">
        <f t="shared" si="2459"/>
        <v>18</v>
      </c>
      <c r="S407" s="165">
        <f t="shared" si="2459"/>
        <v>34</v>
      </c>
      <c r="T407" s="165">
        <f t="shared" si="2459"/>
        <v>35</v>
      </c>
      <c r="U407" s="164">
        <f t="shared" si="2459"/>
        <v>111</v>
      </c>
      <c r="V407" s="164">
        <f t="shared" si="2427"/>
        <v>13</v>
      </c>
      <c r="W407" s="165">
        <f t="shared" ref="W407:Y407" si="2460">W402+W403+W404+W405+W406</f>
        <v>4</v>
      </c>
      <c r="X407" s="165">
        <f t="shared" si="2460"/>
        <v>6</v>
      </c>
      <c r="Y407" s="165">
        <f t="shared" si="2460"/>
        <v>3</v>
      </c>
      <c r="Z407" s="165">
        <f t="shared" si="2436"/>
        <v>7</v>
      </c>
      <c r="AA407" s="165">
        <f t="shared" ref="AA407:AC407" si="2461">AA402+AA403+AA404+AA405+AA406</f>
        <v>3</v>
      </c>
      <c r="AB407" s="165">
        <f t="shared" si="2461"/>
        <v>4</v>
      </c>
      <c r="AC407" s="166">
        <f t="shared" si="2461"/>
        <v>5</v>
      </c>
      <c r="AD407" s="167">
        <f>AE402+AD403+AD404+AD405+AD406</f>
        <v>7</v>
      </c>
      <c r="AE407" s="167">
        <f t="shared" ref="AE407:AF407" si="2462">AE402+AE403+AE404+AE405+AE406</f>
        <v>10</v>
      </c>
      <c r="AF407" s="167">
        <f t="shared" si="2462"/>
        <v>6</v>
      </c>
      <c r="AG407" s="168">
        <f t="shared" si="2397"/>
        <v>28</v>
      </c>
      <c r="AH407" s="166">
        <f t="shared" ref="AH407:AJ407" si="2463">AH402+AH403+AH404+AH405+AH406</f>
        <v>39</v>
      </c>
      <c r="AI407" s="166">
        <f t="shared" si="2463"/>
        <v>35</v>
      </c>
      <c r="AJ407" s="166">
        <f t="shared" si="2463"/>
        <v>28</v>
      </c>
      <c r="AK407" s="168">
        <f t="shared" si="2399"/>
        <v>102</v>
      </c>
      <c r="AL407" s="166"/>
      <c r="AM407" s="167"/>
      <c r="AN407" s="167"/>
      <c r="AO407" s="167"/>
      <c r="AP407" s="169"/>
      <c r="AQ407" s="166"/>
      <c r="AR407" s="166"/>
      <c r="AS407" s="166"/>
      <c r="AT407" s="170"/>
      <c r="AU407" s="166"/>
      <c r="AV407" s="166"/>
      <c r="AW407" s="166"/>
      <c r="AX407" s="171"/>
      <c r="AY407" s="172">
        <f t="shared" ref="AY407:BD407" si="2464">AY402+AY403+AY404+AY405+AY406</f>
        <v>2.5</v>
      </c>
      <c r="AZ407" s="172">
        <f t="shared" si="2464"/>
        <v>2.2</v>
      </c>
      <c r="BA407" s="166">
        <f t="shared" si="2464"/>
        <v>3</v>
      </c>
      <c r="BB407" s="166">
        <f t="shared" si="2464"/>
        <v>3</v>
      </c>
      <c r="BC407" s="173">
        <f t="shared" si="2464"/>
        <v>6040.3</v>
      </c>
      <c r="BD407" s="173">
        <f t="shared" si="2464"/>
        <v>6038.3</v>
      </c>
      <c r="BE407" s="154" t="str">
        <f t="shared" ref="BE407:BF407" si="2465">TEXTJOIN(", ",TRUE,BE402:BE406)</f>
        <v>Олександівка, Пантелеймонівка, Миколаївка</v>
      </c>
      <c r="BF407" s="154" t="str">
        <f t="shared" si="2465"/>
        <v>Загреблі, Верхні води, Ступочки</v>
      </c>
    </row>
    <row r="408" ht="15.75" customHeight="1">
      <c r="A408" s="67">
        <f t="shared" si="2387"/>
        <v>46268</v>
      </c>
      <c r="B408" s="124" t="s">
        <v>31</v>
      </c>
      <c r="C408" s="174">
        <f t="shared" si="2388"/>
        <v>4</v>
      </c>
      <c r="D408" s="175">
        <f t="shared" ref="D408:L408" si="2466">RANDBETWEEN(0,2)</f>
        <v>2</v>
      </c>
      <c r="E408" s="175">
        <f t="shared" si="2466"/>
        <v>2</v>
      </c>
      <c r="F408" s="175">
        <f t="shared" si="2466"/>
        <v>2</v>
      </c>
      <c r="G408" s="175">
        <f t="shared" si="2466"/>
        <v>1</v>
      </c>
      <c r="H408" s="176">
        <f t="shared" si="2466"/>
        <v>1</v>
      </c>
      <c r="I408" s="177">
        <f t="shared" si="2466"/>
        <v>1</v>
      </c>
      <c r="J408" s="178">
        <f t="shared" si="2466"/>
        <v>2</v>
      </c>
      <c r="K408" s="179">
        <f t="shared" si="2466"/>
        <v>2</v>
      </c>
      <c r="L408" s="179">
        <f t="shared" si="2466"/>
        <v>2</v>
      </c>
      <c r="M408" s="180">
        <f t="shared" si="2390"/>
        <v>49</v>
      </c>
      <c r="N408" s="175">
        <f t="shared" ref="N408:T408" si="2467">RANDBETWEEN(0,10)</f>
        <v>7</v>
      </c>
      <c r="O408" s="175">
        <f t="shared" si="2467"/>
        <v>9</v>
      </c>
      <c r="P408" s="175">
        <f t="shared" si="2467"/>
        <v>6</v>
      </c>
      <c r="Q408" s="175">
        <f t="shared" si="2467"/>
        <v>1</v>
      </c>
      <c r="R408" s="175">
        <f t="shared" si="2467"/>
        <v>10</v>
      </c>
      <c r="S408" s="175">
        <f t="shared" si="2467"/>
        <v>8</v>
      </c>
      <c r="T408" s="175">
        <f t="shared" si="2467"/>
        <v>8</v>
      </c>
      <c r="U408" s="181">
        <f t="shared" ref="U408:U413" si="2474">RANDBETWEEN(10,30)</f>
        <v>14</v>
      </c>
      <c r="V408" s="182">
        <f t="shared" si="2427"/>
        <v>2</v>
      </c>
      <c r="W408" s="175">
        <f t="shared" ref="W408:Y408" si="2468">RANDBETWEEN(0,2)</f>
        <v>1</v>
      </c>
      <c r="X408" s="175">
        <f t="shared" si="2468"/>
        <v>0</v>
      </c>
      <c r="Y408" s="175">
        <f t="shared" si="2468"/>
        <v>1</v>
      </c>
      <c r="Z408" s="183">
        <f t="shared" si="2436"/>
        <v>2</v>
      </c>
      <c r="AA408" s="184">
        <f t="shared" ref="AA408:AF408" si="2469">RANDBETWEEN(0,2)</f>
        <v>0</v>
      </c>
      <c r="AB408" s="184">
        <f t="shared" si="2469"/>
        <v>2</v>
      </c>
      <c r="AC408" s="185">
        <f t="shared" si="2469"/>
        <v>0</v>
      </c>
      <c r="AD408" s="186">
        <f t="shared" si="2469"/>
        <v>0</v>
      </c>
      <c r="AE408" s="186">
        <f t="shared" si="2469"/>
        <v>1</v>
      </c>
      <c r="AF408" s="186">
        <f t="shared" si="2469"/>
        <v>2</v>
      </c>
      <c r="AG408" s="187">
        <f t="shared" si="2397"/>
        <v>3</v>
      </c>
      <c r="AH408" s="185">
        <f t="shared" ref="AH408:AJ408" si="2470">RANDBETWEEN(1,10)</f>
        <v>5</v>
      </c>
      <c r="AI408" s="186">
        <f t="shared" si="2470"/>
        <v>9</v>
      </c>
      <c r="AJ408" s="186">
        <f t="shared" si="2470"/>
        <v>3</v>
      </c>
      <c r="AK408" s="188">
        <f t="shared" si="2399"/>
        <v>17</v>
      </c>
      <c r="AL408" s="185"/>
      <c r="AM408" s="186"/>
      <c r="AN408" s="186"/>
      <c r="AO408" s="186"/>
      <c r="AP408" s="189"/>
      <c r="AQ408" s="185"/>
      <c r="AR408" s="186"/>
      <c r="AS408" s="186"/>
      <c r="AT408" s="190"/>
      <c r="AU408" s="185"/>
      <c r="AV408" s="186"/>
      <c r="AW408" s="186"/>
      <c r="AX408" s="191"/>
      <c r="AY408" s="92">
        <f t="shared" ref="AY408:AZ408" si="2471">RANDBETWEEN(1,10)/10</f>
        <v>0.7</v>
      </c>
      <c r="AZ408" s="92">
        <f t="shared" si="2471"/>
        <v>0.8</v>
      </c>
      <c r="BA408" s="93">
        <v>0.0</v>
      </c>
      <c r="BB408" s="93">
        <v>0.0</v>
      </c>
      <c r="BC408" s="94">
        <f>SUM(BC380,'ГОЧ'!$AY408)</f>
        <v>1207.8</v>
      </c>
      <c r="BD408" s="94">
        <f>SUM(BD380,'ГОЧ'!$AZ408)</f>
        <v>1208.3</v>
      </c>
      <c r="BE408" s="186"/>
      <c r="BF408" s="186"/>
    </row>
    <row r="409" ht="15.75" customHeight="1">
      <c r="A409" s="67">
        <f t="shared" si="2387"/>
        <v>46268</v>
      </c>
      <c r="B409" s="138" t="s">
        <v>33</v>
      </c>
      <c r="C409" s="157">
        <f t="shared" si="2388"/>
        <v>2</v>
      </c>
      <c r="D409" s="97">
        <f t="shared" ref="D409:L409" si="2472">RANDBETWEEN(0,2)</f>
        <v>2</v>
      </c>
      <c r="E409" s="97">
        <f t="shared" si="2472"/>
        <v>0</v>
      </c>
      <c r="F409" s="97">
        <f t="shared" si="2472"/>
        <v>0</v>
      </c>
      <c r="G409" s="97">
        <f t="shared" si="2472"/>
        <v>2</v>
      </c>
      <c r="H409" s="98">
        <f t="shared" si="2472"/>
        <v>1</v>
      </c>
      <c r="I409" s="99">
        <f t="shared" si="2472"/>
        <v>1</v>
      </c>
      <c r="J409" s="100">
        <f t="shared" si="2472"/>
        <v>2</v>
      </c>
      <c r="K409" s="101">
        <f t="shared" si="2472"/>
        <v>1</v>
      </c>
      <c r="L409" s="101">
        <f t="shared" si="2472"/>
        <v>2</v>
      </c>
      <c r="M409" s="140">
        <f t="shared" si="2390"/>
        <v>23</v>
      </c>
      <c r="N409" s="97">
        <f t="shared" ref="N409:T409" si="2473">RANDBETWEEN(0,10)</f>
        <v>4</v>
      </c>
      <c r="O409" s="97">
        <f t="shared" si="2473"/>
        <v>4</v>
      </c>
      <c r="P409" s="97">
        <f t="shared" si="2473"/>
        <v>3</v>
      </c>
      <c r="Q409" s="97">
        <f t="shared" si="2473"/>
        <v>5</v>
      </c>
      <c r="R409" s="97">
        <f t="shared" si="2473"/>
        <v>4</v>
      </c>
      <c r="S409" s="97">
        <f t="shared" si="2473"/>
        <v>1</v>
      </c>
      <c r="T409" s="97">
        <f t="shared" si="2473"/>
        <v>2</v>
      </c>
      <c r="U409" s="103">
        <f t="shared" si="2474"/>
        <v>11</v>
      </c>
      <c r="V409" s="158">
        <f t="shared" si="2427"/>
        <v>2</v>
      </c>
      <c r="W409" s="97">
        <f t="shared" ref="W409:Y409" si="2475">RANDBETWEEN(0,2)</f>
        <v>2</v>
      </c>
      <c r="X409" s="97">
        <f t="shared" si="2475"/>
        <v>0</v>
      </c>
      <c r="Y409" s="97">
        <f t="shared" si="2475"/>
        <v>0</v>
      </c>
      <c r="Z409" s="105">
        <f t="shared" si="2436"/>
        <v>2</v>
      </c>
      <c r="AA409" s="143">
        <f t="shared" ref="AA409:AF409" si="2476">RANDBETWEEN(0,2)</f>
        <v>2</v>
      </c>
      <c r="AB409" s="143">
        <f t="shared" si="2476"/>
        <v>0</v>
      </c>
      <c r="AC409" s="144">
        <f t="shared" si="2476"/>
        <v>2</v>
      </c>
      <c r="AD409" s="145">
        <f t="shared" si="2476"/>
        <v>0</v>
      </c>
      <c r="AE409" s="145">
        <f t="shared" si="2476"/>
        <v>1</v>
      </c>
      <c r="AF409" s="145">
        <f t="shared" si="2476"/>
        <v>1</v>
      </c>
      <c r="AG409" s="86">
        <f t="shared" si="2397"/>
        <v>4</v>
      </c>
      <c r="AH409" s="144">
        <f t="shared" ref="AH409:AJ409" si="2477">RANDBETWEEN(1,10)</f>
        <v>6</v>
      </c>
      <c r="AI409" s="145">
        <f t="shared" si="2477"/>
        <v>10</v>
      </c>
      <c r="AJ409" s="145">
        <f t="shared" si="2477"/>
        <v>8</v>
      </c>
      <c r="AK409" s="192">
        <f t="shared" si="2399"/>
        <v>24</v>
      </c>
      <c r="AL409" s="144"/>
      <c r="AM409" s="145"/>
      <c r="AN409" s="145"/>
      <c r="AO409" s="145"/>
      <c r="AP409" s="89"/>
      <c r="AQ409" s="144"/>
      <c r="AR409" s="145"/>
      <c r="AS409" s="145"/>
      <c r="AT409" s="193"/>
      <c r="AU409" s="144"/>
      <c r="AV409" s="145"/>
      <c r="AW409" s="145"/>
      <c r="AX409" s="194"/>
      <c r="AY409" s="92">
        <f t="shared" ref="AY409:AZ409" si="2478">RANDBETWEEN(1,10)/10</f>
        <v>0.2</v>
      </c>
      <c r="AZ409" s="92">
        <f t="shared" si="2478"/>
        <v>0.1</v>
      </c>
      <c r="BA409" s="93">
        <v>0.0</v>
      </c>
      <c r="BB409" s="93">
        <v>0.0</v>
      </c>
      <c r="BC409" s="94">
        <f>SUM(BC381,'ГОЧ'!$AY409)</f>
        <v>1207.1</v>
      </c>
      <c r="BD409" s="94">
        <f>SUM(BD381,'ГОЧ'!$AZ409)</f>
        <v>1206.8</v>
      </c>
      <c r="BE409" s="108"/>
      <c r="BF409" s="108"/>
    </row>
    <row r="410" ht="15.75" customHeight="1">
      <c r="A410" s="67">
        <f t="shared" si="2387"/>
        <v>46268</v>
      </c>
      <c r="B410" s="138" t="s">
        <v>35</v>
      </c>
      <c r="C410" s="157">
        <f t="shared" si="2388"/>
        <v>3</v>
      </c>
      <c r="D410" s="97">
        <f t="shared" ref="D410:L410" si="2479">RANDBETWEEN(0,2)</f>
        <v>2</v>
      </c>
      <c r="E410" s="97">
        <f t="shared" si="2479"/>
        <v>1</v>
      </c>
      <c r="F410" s="97">
        <f t="shared" si="2479"/>
        <v>1</v>
      </c>
      <c r="G410" s="97">
        <f t="shared" si="2479"/>
        <v>0</v>
      </c>
      <c r="H410" s="98">
        <f t="shared" si="2479"/>
        <v>1</v>
      </c>
      <c r="I410" s="99">
        <f t="shared" si="2479"/>
        <v>1</v>
      </c>
      <c r="J410" s="100">
        <f t="shared" si="2479"/>
        <v>2</v>
      </c>
      <c r="K410" s="101">
        <f t="shared" si="2479"/>
        <v>2</v>
      </c>
      <c r="L410" s="101">
        <f t="shared" si="2479"/>
        <v>0</v>
      </c>
      <c r="M410" s="140">
        <f t="shared" si="2390"/>
        <v>42</v>
      </c>
      <c r="N410" s="97">
        <f t="shared" ref="N410:T410" si="2480">RANDBETWEEN(0,10)</f>
        <v>0</v>
      </c>
      <c r="O410" s="97">
        <f t="shared" si="2480"/>
        <v>5</v>
      </c>
      <c r="P410" s="97">
        <f t="shared" si="2480"/>
        <v>7</v>
      </c>
      <c r="Q410" s="97">
        <f t="shared" si="2480"/>
        <v>8</v>
      </c>
      <c r="R410" s="97">
        <f t="shared" si="2480"/>
        <v>9</v>
      </c>
      <c r="S410" s="97">
        <f t="shared" si="2480"/>
        <v>8</v>
      </c>
      <c r="T410" s="97">
        <f t="shared" si="2480"/>
        <v>5</v>
      </c>
      <c r="U410" s="103">
        <f t="shared" si="2474"/>
        <v>21</v>
      </c>
      <c r="V410" s="158">
        <f t="shared" si="2427"/>
        <v>3</v>
      </c>
      <c r="W410" s="97">
        <f t="shared" ref="W410:Y410" si="2481">RANDBETWEEN(0,2)</f>
        <v>1</v>
      </c>
      <c r="X410" s="97">
        <f t="shared" si="2481"/>
        <v>1</v>
      </c>
      <c r="Y410" s="97">
        <f t="shared" si="2481"/>
        <v>1</v>
      </c>
      <c r="Z410" s="105">
        <f t="shared" si="2436"/>
        <v>2</v>
      </c>
      <c r="AA410" s="106">
        <f t="shared" ref="AA410:AF410" si="2482">RANDBETWEEN(0,2)</f>
        <v>2</v>
      </c>
      <c r="AB410" s="106">
        <f t="shared" si="2482"/>
        <v>0</v>
      </c>
      <c r="AC410" s="107">
        <f t="shared" si="2482"/>
        <v>2</v>
      </c>
      <c r="AD410" s="108">
        <f t="shared" si="2482"/>
        <v>2</v>
      </c>
      <c r="AE410" s="108">
        <f t="shared" si="2482"/>
        <v>2</v>
      </c>
      <c r="AF410" s="108">
        <f t="shared" si="2482"/>
        <v>0</v>
      </c>
      <c r="AG410" s="86">
        <f t="shared" si="2397"/>
        <v>6</v>
      </c>
      <c r="AH410" s="107">
        <f t="shared" ref="AH410:AJ410" si="2483">RANDBETWEEN(1,10)</f>
        <v>2</v>
      </c>
      <c r="AI410" s="108">
        <f t="shared" si="2483"/>
        <v>6</v>
      </c>
      <c r="AJ410" s="108">
        <f t="shared" si="2483"/>
        <v>8</v>
      </c>
      <c r="AK410" s="192">
        <f t="shared" si="2399"/>
        <v>16</v>
      </c>
      <c r="AL410" s="107"/>
      <c r="AM410" s="108"/>
      <c r="AN410" s="108"/>
      <c r="AO410" s="108"/>
      <c r="AP410" s="89"/>
      <c r="AQ410" s="107"/>
      <c r="AR410" s="108"/>
      <c r="AS410" s="108"/>
      <c r="AT410" s="193"/>
      <c r="AU410" s="107"/>
      <c r="AV410" s="108"/>
      <c r="AW410" s="108"/>
      <c r="AX410" s="194"/>
      <c r="AY410" s="92">
        <f t="shared" ref="AY410:AZ410" si="2484">RANDBETWEEN(1,10)/10</f>
        <v>0.1</v>
      </c>
      <c r="AZ410" s="92">
        <f t="shared" si="2484"/>
        <v>0.3</v>
      </c>
      <c r="BA410" s="93">
        <v>0.0</v>
      </c>
      <c r="BB410" s="93">
        <v>0.0</v>
      </c>
      <c r="BC410" s="94">
        <f>SUM(BC382,'ГОЧ'!$AY410)</f>
        <v>1207.4</v>
      </c>
      <c r="BD410" s="94">
        <f>SUM(BD382,'ГОЧ'!$AZ410)</f>
        <v>1208.2</v>
      </c>
      <c r="BE410" s="108"/>
      <c r="BF410" s="108"/>
    </row>
    <row r="411" ht="15.75" customHeight="1">
      <c r="A411" s="67">
        <f t="shared" si="2387"/>
        <v>46268</v>
      </c>
      <c r="B411" s="138" t="s">
        <v>36</v>
      </c>
      <c r="C411" s="157">
        <f t="shared" si="2388"/>
        <v>2</v>
      </c>
      <c r="D411" s="97">
        <f t="shared" ref="D411:L411" si="2485">RANDBETWEEN(0,2)</f>
        <v>0</v>
      </c>
      <c r="E411" s="97">
        <f t="shared" si="2485"/>
        <v>1</v>
      </c>
      <c r="F411" s="97">
        <f t="shared" si="2485"/>
        <v>2</v>
      </c>
      <c r="G411" s="97">
        <f t="shared" si="2485"/>
        <v>1</v>
      </c>
      <c r="H411" s="98">
        <f t="shared" si="2485"/>
        <v>0</v>
      </c>
      <c r="I411" s="99">
        <f t="shared" si="2485"/>
        <v>2</v>
      </c>
      <c r="J411" s="100">
        <f t="shared" si="2485"/>
        <v>0</v>
      </c>
      <c r="K411" s="101">
        <f t="shared" si="2485"/>
        <v>0</v>
      </c>
      <c r="L411" s="101">
        <f t="shared" si="2485"/>
        <v>0</v>
      </c>
      <c r="M411" s="140">
        <f t="shared" si="2390"/>
        <v>37</v>
      </c>
      <c r="N411" s="97">
        <f t="shared" ref="N411:T411" si="2486">RANDBETWEEN(0,10)</f>
        <v>8</v>
      </c>
      <c r="O411" s="97">
        <f t="shared" si="2486"/>
        <v>5</v>
      </c>
      <c r="P411" s="97">
        <f t="shared" si="2486"/>
        <v>8</v>
      </c>
      <c r="Q411" s="97">
        <f t="shared" si="2486"/>
        <v>8</v>
      </c>
      <c r="R411" s="97">
        <f t="shared" si="2486"/>
        <v>2</v>
      </c>
      <c r="S411" s="97">
        <f t="shared" si="2486"/>
        <v>6</v>
      </c>
      <c r="T411" s="97">
        <f t="shared" si="2486"/>
        <v>0</v>
      </c>
      <c r="U411" s="103">
        <f t="shared" si="2474"/>
        <v>12</v>
      </c>
      <c r="V411" s="158">
        <f t="shared" si="2427"/>
        <v>3</v>
      </c>
      <c r="W411" s="97">
        <f t="shared" ref="W411:Y411" si="2487">RANDBETWEEN(0,2)</f>
        <v>0</v>
      </c>
      <c r="X411" s="97">
        <f t="shared" si="2487"/>
        <v>2</v>
      </c>
      <c r="Y411" s="97">
        <f t="shared" si="2487"/>
        <v>1</v>
      </c>
      <c r="Z411" s="105">
        <f t="shared" si="2436"/>
        <v>1</v>
      </c>
      <c r="AA411" s="143">
        <f t="shared" ref="AA411:AF411" si="2488">RANDBETWEEN(0,2)</f>
        <v>1</v>
      </c>
      <c r="AB411" s="143">
        <f t="shared" si="2488"/>
        <v>0</v>
      </c>
      <c r="AC411" s="144">
        <f t="shared" si="2488"/>
        <v>1</v>
      </c>
      <c r="AD411" s="145">
        <f t="shared" si="2488"/>
        <v>0</v>
      </c>
      <c r="AE411" s="145">
        <f t="shared" si="2488"/>
        <v>0</v>
      </c>
      <c r="AF411" s="145">
        <f t="shared" si="2488"/>
        <v>2</v>
      </c>
      <c r="AG411" s="86">
        <f t="shared" si="2397"/>
        <v>3</v>
      </c>
      <c r="AH411" s="144">
        <f t="shared" ref="AH411:AJ411" si="2489">RANDBETWEEN(1,10)</f>
        <v>1</v>
      </c>
      <c r="AI411" s="145">
        <f t="shared" si="2489"/>
        <v>3</v>
      </c>
      <c r="AJ411" s="145">
        <f t="shared" si="2489"/>
        <v>3</v>
      </c>
      <c r="AK411" s="192">
        <f t="shared" si="2399"/>
        <v>7</v>
      </c>
      <c r="AL411" s="144"/>
      <c r="AM411" s="145"/>
      <c r="AN411" s="145"/>
      <c r="AO411" s="145"/>
      <c r="AP411" s="89"/>
      <c r="AQ411" s="144"/>
      <c r="AR411" s="145"/>
      <c r="AS411" s="145"/>
      <c r="AT411" s="193"/>
      <c r="AU411" s="144"/>
      <c r="AV411" s="145"/>
      <c r="AW411" s="145"/>
      <c r="AX411" s="194"/>
      <c r="AY411" s="92">
        <f t="shared" ref="AY411:AZ411" si="2490">RANDBETWEEN(1,10)/10</f>
        <v>0.7</v>
      </c>
      <c r="AZ411" s="92">
        <f t="shared" si="2490"/>
        <v>0.8</v>
      </c>
      <c r="BA411" s="93">
        <v>0.0</v>
      </c>
      <c r="BB411" s="93">
        <v>0.0</v>
      </c>
      <c r="BC411" s="94">
        <f>SUM(BC383,'ГОЧ'!$AY411)</f>
        <v>1207.8</v>
      </c>
      <c r="BD411" s="94">
        <f>SUM(BD383,'ГОЧ'!$AZ411)</f>
        <v>1207.7</v>
      </c>
      <c r="BE411" s="108"/>
      <c r="BF411" s="108"/>
    </row>
    <row r="412" ht="15.75" customHeight="1">
      <c r="A412" s="67">
        <f t="shared" si="2387"/>
        <v>46268</v>
      </c>
      <c r="B412" s="195" t="s">
        <v>38</v>
      </c>
      <c r="C412" s="157">
        <f t="shared" si="2388"/>
        <v>2</v>
      </c>
      <c r="D412" s="97">
        <f t="shared" ref="D412:L412" si="2491">RANDBETWEEN(0,2)</f>
        <v>1</v>
      </c>
      <c r="E412" s="97">
        <f t="shared" si="2491"/>
        <v>0</v>
      </c>
      <c r="F412" s="97">
        <f t="shared" si="2491"/>
        <v>1</v>
      </c>
      <c r="G412" s="97">
        <f t="shared" si="2491"/>
        <v>0</v>
      </c>
      <c r="H412" s="98">
        <f t="shared" si="2491"/>
        <v>2</v>
      </c>
      <c r="I412" s="99">
        <f t="shared" si="2491"/>
        <v>1</v>
      </c>
      <c r="J412" s="100">
        <f t="shared" si="2491"/>
        <v>1</v>
      </c>
      <c r="K412" s="101">
        <f t="shared" si="2491"/>
        <v>2</v>
      </c>
      <c r="L412" s="101">
        <f t="shared" si="2491"/>
        <v>1</v>
      </c>
      <c r="M412" s="140">
        <f t="shared" si="2390"/>
        <v>25</v>
      </c>
      <c r="N412" s="97">
        <f t="shared" ref="N412:T412" si="2492">RANDBETWEEN(0,10)</f>
        <v>0</v>
      </c>
      <c r="O412" s="97">
        <f t="shared" si="2492"/>
        <v>3</v>
      </c>
      <c r="P412" s="97">
        <f t="shared" si="2492"/>
        <v>7</v>
      </c>
      <c r="Q412" s="97">
        <f t="shared" si="2492"/>
        <v>3</v>
      </c>
      <c r="R412" s="97">
        <f t="shared" si="2492"/>
        <v>6</v>
      </c>
      <c r="S412" s="97">
        <f t="shared" si="2492"/>
        <v>6</v>
      </c>
      <c r="T412" s="97">
        <f t="shared" si="2492"/>
        <v>0</v>
      </c>
      <c r="U412" s="103">
        <f t="shared" si="2474"/>
        <v>29</v>
      </c>
      <c r="V412" s="158">
        <f t="shared" si="2427"/>
        <v>3</v>
      </c>
      <c r="W412" s="97">
        <f t="shared" ref="W412:Y412" si="2493">RANDBETWEEN(0,2)</f>
        <v>0</v>
      </c>
      <c r="X412" s="97">
        <f t="shared" si="2493"/>
        <v>1</v>
      </c>
      <c r="Y412" s="97">
        <f t="shared" si="2493"/>
        <v>2</v>
      </c>
      <c r="Z412" s="105">
        <f t="shared" si="2436"/>
        <v>1</v>
      </c>
      <c r="AA412" s="106">
        <f t="shared" ref="AA412:AF412" si="2494">RANDBETWEEN(0,2)</f>
        <v>1</v>
      </c>
      <c r="AB412" s="106">
        <f t="shared" si="2494"/>
        <v>0</v>
      </c>
      <c r="AC412" s="107">
        <f t="shared" si="2494"/>
        <v>2</v>
      </c>
      <c r="AD412" s="108">
        <f t="shared" si="2494"/>
        <v>2</v>
      </c>
      <c r="AE412" s="108">
        <f t="shared" si="2494"/>
        <v>0</v>
      </c>
      <c r="AF412" s="108">
        <f t="shared" si="2494"/>
        <v>1</v>
      </c>
      <c r="AG412" s="86">
        <f t="shared" si="2397"/>
        <v>5</v>
      </c>
      <c r="AH412" s="107">
        <f t="shared" ref="AH412:AJ412" si="2495">RANDBETWEEN(1,10)</f>
        <v>4</v>
      </c>
      <c r="AI412" s="108">
        <f t="shared" si="2495"/>
        <v>5</v>
      </c>
      <c r="AJ412" s="108">
        <f t="shared" si="2495"/>
        <v>1</v>
      </c>
      <c r="AK412" s="192">
        <f t="shared" si="2399"/>
        <v>10</v>
      </c>
      <c r="AL412" s="107"/>
      <c r="AM412" s="108"/>
      <c r="AN412" s="108"/>
      <c r="AO412" s="108"/>
      <c r="AP412" s="89"/>
      <c r="AQ412" s="107"/>
      <c r="AR412" s="108"/>
      <c r="AS412" s="108"/>
      <c r="AT412" s="193"/>
      <c r="AU412" s="107"/>
      <c r="AV412" s="108"/>
      <c r="AW412" s="108"/>
      <c r="AX412" s="194"/>
      <c r="AY412" s="92">
        <f t="shared" ref="AY412:AZ412" si="2496">RANDBETWEEN(1,10)/10</f>
        <v>0.8</v>
      </c>
      <c r="AZ412" s="92">
        <f t="shared" si="2496"/>
        <v>0.9</v>
      </c>
      <c r="BA412" s="93">
        <v>0.0</v>
      </c>
      <c r="BB412" s="93">
        <v>0.0</v>
      </c>
      <c r="BC412" s="94">
        <f>SUM(BC384,'ГОЧ'!$AY412)</f>
        <v>1206.6</v>
      </c>
      <c r="BD412" s="94">
        <f>SUM(BD384,'ГОЧ'!$AZ412)</f>
        <v>1206.1</v>
      </c>
      <c r="BE412" s="108"/>
      <c r="BF412" s="108"/>
    </row>
    <row r="413" ht="15.75" customHeight="1">
      <c r="A413" s="67">
        <f t="shared" si="2387"/>
        <v>46268</v>
      </c>
      <c r="B413" s="138" t="s">
        <v>41</v>
      </c>
      <c r="C413" s="157">
        <f t="shared" si="2388"/>
        <v>0</v>
      </c>
      <c r="D413" s="97">
        <f t="shared" ref="D413:L413" si="2497">RANDBETWEEN(0,2)</f>
        <v>0</v>
      </c>
      <c r="E413" s="97">
        <f t="shared" si="2497"/>
        <v>1</v>
      </c>
      <c r="F413" s="97">
        <f t="shared" si="2497"/>
        <v>0</v>
      </c>
      <c r="G413" s="97">
        <f t="shared" si="2497"/>
        <v>2</v>
      </c>
      <c r="H413" s="98">
        <f t="shared" si="2497"/>
        <v>2</v>
      </c>
      <c r="I413" s="99">
        <f t="shared" si="2497"/>
        <v>0</v>
      </c>
      <c r="J413" s="100">
        <f t="shared" si="2497"/>
        <v>2</v>
      </c>
      <c r="K413" s="101">
        <f t="shared" si="2497"/>
        <v>1</v>
      </c>
      <c r="L413" s="101">
        <f t="shared" si="2497"/>
        <v>1</v>
      </c>
      <c r="M413" s="140">
        <f t="shared" si="2390"/>
        <v>30</v>
      </c>
      <c r="N413" s="97">
        <f t="shared" ref="N413:T413" si="2498">RANDBETWEEN(0,10)</f>
        <v>2</v>
      </c>
      <c r="O413" s="97">
        <f t="shared" si="2498"/>
        <v>2</v>
      </c>
      <c r="P413" s="97">
        <f t="shared" si="2498"/>
        <v>3</v>
      </c>
      <c r="Q413" s="97">
        <f t="shared" si="2498"/>
        <v>9</v>
      </c>
      <c r="R413" s="97">
        <f t="shared" si="2498"/>
        <v>4</v>
      </c>
      <c r="S413" s="97">
        <f t="shared" si="2498"/>
        <v>5</v>
      </c>
      <c r="T413" s="97">
        <f t="shared" si="2498"/>
        <v>5</v>
      </c>
      <c r="U413" s="103">
        <f t="shared" si="2474"/>
        <v>10</v>
      </c>
      <c r="V413" s="158">
        <f t="shared" si="2427"/>
        <v>3</v>
      </c>
      <c r="W413" s="97">
        <f t="shared" ref="W413:Y413" si="2499">RANDBETWEEN(0,2)</f>
        <v>0</v>
      </c>
      <c r="X413" s="97">
        <f t="shared" si="2499"/>
        <v>1</v>
      </c>
      <c r="Y413" s="97">
        <f t="shared" si="2499"/>
        <v>2</v>
      </c>
      <c r="Z413" s="105">
        <f t="shared" si="2436"/>
        <v>1</v>
      </c>
      <c r="AA413" s="143">
        <f t="shared" ref="AA413:AF413" si="2500">RANDBETWEEN(0,2)</f>
        <v>0</v>
      </c>
      <c r="AB413" s="143">
        <f t="shared" si="2500"/>
        <v>1</v>
      </c>
      <c r="AC413" s="144">
        <f t="shared" si="2500"/>
        <v>1</v>
      </c>
      <c r="AD413" s="145">
        <f t="shared" si="2500"/>
        <v>1</v>
      </c>
      <c r="AE413" s="145">
        <f t="shared" si="2500"/>
        <v>0</v>
      </c>
      <c r="AF413" s="145">
        <f t="shared" si="2500"/>
        <v>0</v>
      </c>
      <c r="AG413" s="86">
        <f t="shared" si="2397"/>
        <v>2</v>
      </c>
      <c r="AH413" s="144">
        <f t="shared" ref="AH413:AJ413" si="2501">RANDBETWEEN(1,10)</f>
        <v>9</v>
      </c>
      <c r="AI413" s="145">
        <f t="shared" si="2501"/>
        <v>10</v>
      </c>
      <c r="AJ413" s="145">
        <f t="shared" si="2501"/>
        <v>8</v>
      </c>
      <c r="AK413" s="192">
        <f t="shared" si="2399"/>
        <v>27</v>
      </c>
      <c r="AL413" s="144"/>
      <c r="AM413" s="145"/>
      <c r="AN413" s="145"/>
      <c r="AO413" s="145"/>
      <c r="AP413" s="89"/>
      <c r="AQ413" s="144"/>
      <c r="AR413" s="145"/>
      <c r="AS413" s="145"/>
      <c r="AT413" s="193"/>
      <c r="AU413" s="144"/>
      <c r="AV413" s="145"/>
      <c r="AW413" s="145"/>
      <c r="AX413" s="194"/>
      <c r="AY413" s="92">
        <f t="shared" ref="AY413:AZ413" si="2502">RANDBETWEEN(1,10)/10</f>
        <v>0.3</v>
      </c>
      <c r="AZ413" s="92">
        <f t="shared" si="2502"/>
        <v>0.4</v>
      </c>
      <c r="BA413" s="93">
        <v>0.0</v>
      </c>
      <c r="BB413" s="93">
        <v>0.0</v>
      </c>
      <c r="BC413" s="94">
        <f>SUM(BC385,'ГОЧ'!$AY413)</f>
        <v>1207.9</v>
      </c>
      <c r="BD413" s="94">
        <f>SUM(BD385,'ГОЧ'!$AZ413)</f>
        <v>1208.2</v>
      </c>
      <c r="BE413" s="108"/>
      <c r="BF413" s="108"/>
    </row>
    <row r="414" ht="15.75" customHeight="1">
      <c r="A414" s="67">
        <f t="shared" si="2387"/>
        <v>46268</v>
      </c>
      <c r="B414" s="114" t="s">
        <v>45</v>
      </c>
      <c r="C414" s="164">
        <f t="shared" si="2388"/>
        <v>13</v>
      </c>
      <c r="D414" s="164">
        <f t="shared" ref="D414:U414" si="2503">SUM(D408:D413)</f>
        <v>7</v>
      </c>
      <c r="E414" s="165">
        <f t="shared" si="2503"/>
        <v>5</v>
      </c>
      <c r="F414" s="165">
        <f t="shared" si="2503"/>
        <v>6</v>
      </c>
      <c r="G414" s="165">
        <f t="shared" si="2503"/>
        <v>6</v>
      </c>
      <c r="H414" s="165">
        <f t="shared" si="2503"/>
        <v>7</v>
      </c>
      <c r="I414" s="165">
        <f t="shared" si="2503"/>
        <v>6</v>
      </c>
      <c r="J414" s="165">
        <f t="shared" si="2503"/>
        <v>9</v>
      </c>
      <c r="K414" s="165">
        <f t="shared" si="2503"/>
        <v>8</v>
      </c>
      <c r="L414" s="165">
        <f t="shared" si="2503"/>
        <v>6</v>
      </c>
      <c r="M414" s="164">
        <f t="shared" si="2503"/>
        <v>206</v>
      </c>
      <c r="N414" s="164">
        <f t="shared" si="2503"/>
        <v>21</v>
      </c>
      <c r="O414" s="165">
        <f t="shared" si="2503"/>
        <v>28</v>
      </c>
      <c r="P414" s="165">
        <f t="shared" si="2503"/>
        <v>34</v>
      </c>
      <c r="Q414" s="165">
        <f t="shared" si="2503"/>
        <v>34</v>
      </c>
      <c r="R414" s="165">
        <f t="shared" si="2503"/>
        <v>35</v>
      </c>
      <c r="S414" s="165">
        <f t="shared" si="2503"/>
        <v>34</v>
      </c>
      <c r="T414" s="165">
        <f t="shared" si="2503"/>
        <v>20</v>
      </c>
      <c r="U414" s="164">
        <f t="shared" si="2503"/>
        <v>97</v>
      </c>
      <c r="V414" s="164">
        <f t="shared" si="2427"/>
        <v>16</v>
      </c>
      <c r="W414" s="165">
        <f t="shared" ref="W414:Y414" si="2504">SUM(W408:W413)</f>
        <v>4</v>
      </c>
      <c r="X414" s="165">
        <f t="shared" si="2504"/>
        <v>5</v>
      </c>
      <c r="Y414" s="165">
        <f t="shared" si="2504"/>
        <v>7</v>
      </c>
      <c r="Z414" s="165">
        <f t="shared" si="2436"/>
        <v>9</v>
      </c>
      <c r="AA414" s="165">
        <f t="shared" ref="AA414:AF414" si="2505">SUM(AA408:AA413)</f>
        <v>6</v>
      </c>
      <c r="AB414" s="165">
        <f t="shared" si="2505"/>
        <v>3</v>
      </c>
      <c r="AC414" s="166">
        <f t="shared" si="2505"/>
        <v>8</v>
      </c>
      <c r="AD414" s="166">
        <f t="shared" si="2505"/>
        <v>5</v>
      </c>
      <c r="AE414" s="166">
        <f t="shared" si="2505"/>
        <v>4</v>
      </c>
      <c r="AF414" s="166">
        <f t="shared" si="2505"/>
        <v>6</v>
      </c>
      <c r="AG414" s="168">
        <f t="shared" si="2397"/>
        <v>23</v>
      </c>
      <c r="AH414" s="166">
        <f t="shared" ref="AH414:AJ414" si="2506">SUM(AH408:AH413)</f>
        <v>27</v>
      </c>
      <c r="AI414" s="167">
        <f t="shared" si="2506"/>
        <v>43</v>
      </c>
      <c r="AJ414" s="167">
        <f t="shared" si="2506"/>
        <v>31</v>
      </c>
      <c r="AK414" s="168">
        <f t="shared" si="2399"/>
        <v>101</v>
      </c>
      <c r="AL414" s="166"/>
      <c r="AM414" s="166"/>
      <c r="AN414" s="166"/>
      <c r="AO414" s="166"/>
      <c r="AP414" s="169"/>
      <c r="AQ414" s="166"/>
      <c r="AR414" s="167"/>
      <c r="AS414" s="167"/>
      <c r="AT414" s="170"/>
      <c r="AU414" s="166"/>
      <c r="AV414" s="167"/>
      <c r="AW414" s="167"/>
      <c r="AX414" s="171"/>
      <c r="AY414" s="196">
        <f t="shared" ref="AY414:BD414" si="2507">SUM(AY408:AY413)</f>
        <v>2.8</v>
      </c>
      <c r="AZ414" s="196">
        <f t="shared" si="2507"/>
        <v>3.3</v>
      </c>
      <c r="BA414" s="167">
        <f t="shared" si="2507"/>
        <v>0</v>
      </c>
      <c r="BB414" s="167">
        <f t="shared" si="2507"/>
        <v>0</v>
      </c>
      <c r="BC414" s="197">
        <f t="shared" si="2507"/>
        <v>7244.6</v>
      </c>
      <c r="BD414" s="197">
        <f t="shared" si="2507"/>
        <v>7245.3</v>
      </c>
      <c r="BE414" s="154" t="str">
        <f t="shared" ref="BE414:BF414" si="2508">TEXTJOIN(", ",TRUE,BE408:BE413)</f>
        <v/>
      </c>
      <c r="BF414" s="154" t="str">
        <f t="shared" si="2508"/>
        <v/>
      </c>
    </row>
    <row r="415" ht="15.75" customHeight="1">
      <c r="A415" s="67">
        <f t="shared" si="2387"/>
        <v>46268</v>
      </c>
      <c r="B415" s="124" t="s">
        <v>49</v>
      </c>
      <c r="C415" s="174">
        <f t="shared" si="2388"/>
        <v>3</v>
      </c>
      <c r="D415" s="175">
        <f t="shared" ref="D415:L415" si="2509">RANDBETWEEN(0,2)</f>
        <v>2</v>
      </c>
      <c r="E415" s="175">
        <f t="shared" si="2509"/>
        <v>1</v>
      </c>
      <c r="F415" s="175">
        <f t="shared" si="2509"/>
        <v>1</v>
      </c>
      <c r="G415" s="175">
        <f t="shared" si="2509"/>
        <v>2</v>
      </c>
      <c r="H415" s="176">
        <f t="shared" si="2509"/>
        <v>2</v>
      </c>
      <c r="I415" s="177">
        <f t="shared" si="2509"/>
        <v>2</v>
      </c>
      <c r="J415" s="178">
        <f t="shared" si="2509"/>
        <v>1</v>
      </c>
      <c r="K415" s="179">
        <f t="shared" si="2509"/>
        <v>0</v>
      </c>
      <c r="L415" s="179">
        <f t="shared" si="2509"/>
        <v>2</v>
      </c>
      <c r="M415" s="180">
        <f t="shared" ref="M415:M420" si="2516">SUM(N415:T415)</f>
        <v>39</v>
      </c>
      <c r="N415" s="175">
        <f t="shared" ref="N415:T415" si="2510">RANDBETWEEN(0,10)</f>
        <v>9</v>
      </c>
      <c r="O415" s="175">
        <f t="shared" si="2510"/>
        <v>7</v>
      </c>
      <c r="P415" s="175">
        <f t="shared" si="2510"/>
        <v>5</v>
      </c>
      <c r="Q415" s="175">
        <f t="shared" si="2510"/>
        <v>1</v>
      </c>
      <c r="R415" s="175">
        <f t="shared" si="2510"/>
        <v>2</v>
      </c>
      <c r="S415" s="175">
        <f t="shared" si="2510"/>
        <v>5</v>
      </c>
      <c r="T415" s="175">
        <f t="shared" si="2510"/>
        <v>10</v>
      </c>
      <c r="U415" s="181">
        <f t="shared" ref="U415:U419" si="2518">RANDBETWEEN(10,30)</f>
        <v>11</v>
      </c>
      <c r="V415" s="182">
        <f t="shared" si="2427"/>
        <v>5</v>
      </c>
      <c r="W415" s="175">
        <f t="shared" ref="W415:Y415" si="2511">RANDBETWEEN(0,2)</f>
        <v>2</v>
      </c>
      <c r="X415" s="175">
        <f t="shared" si="2511"/>
        <v>1</v>
      </c>
      <c r="Y415" s="175">
        <f t="shared" si="2511"/>
        <v>2</v>
      </c>
      <c r="Z415" s="183">
        <f t="shared" si="2436"/>
        <v>2</v>
      </c>
      <c r="AA415" s="198">
        <f t="shared" ref="AA415:AF415" si="2512">RANDBETWEEN(0,2)</f>
        <v>0</v>
      </c>
      <c r="AB415" s="198">
        <f t="shared" si="2512"/>
        <v>2</v>
      </c>
      <c r="AC415" s="199">
        <f t="shared" si="2512"/>
        <v>1</v>
      </c>
      <c r="AD415" s="200">
        <f t="shared" si="2512"/>
        <v>1</v>
      </c>
      <c r="AE415" s="200">
        <f t="shared" si="2512"/>
        <v>1</v>
      </c>
      <c r="AF415" s="200">
        <f t="shared" si="2512"/>
        <v>0</v>
      </c>
      <c r="AG415" s="187">
        <f t="shared" si="2397"/>
        <v>3</v>
      </c>
      <c r="AH415" s="199">
        <f t="shared" ref="AH415:AJ415" si="2513">RANDBETWEEN(1,10)</f>
        <v>6</v>
      </c>
      <c r="AI415" s="200">
        <f t="shared" si="2513"/>
        <v>4</v>
      </c>
      <c r="AJ415" s="200">
        <f t="shared" si="2513"/>
        <v>5</v>
      </c>
      <c r="AK415" s="188">
        <f t="shared" si="2399"/>
        <v>15</v>
      </c>
      <c r="AL415" s="199"/>
      <c r="AM415" s="200"/>
      <c r="AN415" s="200"/>
      <c r="AO415" s="200"/>
      <c r="AP415" s="189"/>
      <c r="AQ415" s="199"/>
      <c r="AR415" s="200"/>
      <c r="AS415" s="200"/>
      <c r="AT415" s="190"/>
      <c r="AU415" s="199"/>
      <c r="AV415" s="200"/>
      <c r="AW415" s="200"/>
      <c r="AX415" s="191"/>
      <c r="AY415" s="92">
        <f t="shared" ref="AY415:AZ415" si="2514">RANDBETWEEN(1,10)/10</f>
        <v>0.8</v>
      </c>
      <c r="AZ415" s="92">
        <f t="shared" si="2514"/>
        <v>0.5</v>
      </c>
      <c r="BA415" s="93">
        <v>0.0</v>
      </c>
      <c r="BB415" s="93">
        <v>0.0</v>
      </c>
      <c r="BC415" s="94">
        <f>SUM(BC387,'ГОЧ'!$AY415)</f>
        <v>1207.3</v>
      </c>
      <c r="BD415" s="94">
        <f>SUM(BD387,'ГОЧ'!$AZ415)</f>
        <v>1206.1</v>
      </c>
      <c r="BE415" s="186"/>
      <c r="BF415" s="186"/>
    </row>
    <row r="416" ht="15.75" customHeight="1">
      <c r="A416" s="67">
        <f t="shared" si="2387"/>
        <v>46268</v>
      </c>
      <c r="B416" s="195" t="s">
        <v>53</v>
      </c>
      <c r="C416" s="157">
        <f t="shared" si="2388"/>
        <v>2</v>
      </c>
      <c r="D416" s="97">
        <f t="shared" ref="D416:L416" si="2515">RANDBETWEEN(0,2)</f>
        <v>1</v>
      </c>
      <c r="E416" s="97">
        <f t="shared" si="2515"/>
        <v>2</v>
      </c>
      <c r="F416" s="97">
        <f t="shared" si="2515"/>
        <v>1</v>
      </c>
      <c r="G416" s="97">
        <f t="shared" si="2515"/>
        <v>2</v>
      </c>
      <c r="H416" s="98">
        <f t="shared" si="2515"/>
        <v>0</v>
      </c>
      <c r="I416" s="99">
        <f t="shared" si="2515"/>
        <v>0</v>
      </c>
      <c r="J416" s="100">
        <f t="shared" si="2515"/>
        <v>1</v>
      </c>
      <c r="K416" s="101">
        <f t="shared" si="2515"/>
        <v>1</v>
      </c>
      <c r="L416" s="101">
        <f t="shared" si="2515"/>
        <v>0</v>
      </c>
      <c r="M416" s="140">
        <f t="shared" si="2516"/>
        <v>28</v>
      </c>
      <c r="N416" s="97">
        <f t="shared" ref="N416:T416" si="2517">RANDBETWEEN(0,10)</f>
        <v>3</v>
      </c>
      <c r="O416" s="97">
        <f t="shared" si="2517"/>
        <v>0</v>
      </c>
      <c r="P416" s="97">
        <f t="shared" si="2517"/>
        <v>10</v>
      </c>
      <c r="Q416" s="97">
        <f t="shared" si="2517"/>
        <v>7</v>
      </c>
      <c r="R416" s="97">
        <f t="shared" si="2517"/>
        <v>6</v>
      </c>
      <c r="S416" s="97">
        <f t="shared" si="2517"/>
        <v>0</v>
      </c>
      <c r="T416" s="97">
        <f t="shared" si="2517"/>
        <v>2</v>
      </c>
      <c r="U416" s="103">
        <f t="shared" si="2518"/>
        <v>21</v>
      </c>
      <c r="V416" s="158">
        <f t="shared" si="2427"/>
        <v>1</v>
      </c>
      <c r="W416" s="97">
        <f t="shared" ref="W416:Y416" si="2519">RANDBETWEEN(0,2)</f>
        <v>0</v>
      </c>
      <c r="X416" s="97">
        <f t="shared" si="2519"/>
        <v>0</v>
      </c>
      <c r="Y416" s="97">
        <f t="shared" si="2519"/>
        <v>1</v>
      </c>
      <c r="Z416" s="105">
        <f t="shared" si="2436"/>
        <v>2</v>
      </c>
      <c r="AA416" s="106">
        <f t="shared" ref="AA416:AF416" si="2520">RANDBETWEEN(0,2)</f>
        <v>0</v>
      </c>
      <c r="AB416" s="106">
        <f t="shared" si="2520"/>
        <v>2</v>
      </c>
      <c r="AC416" s="107">
        <f t="shared" si="2520"/>
        <v>0</v>
      </c>
      <c r="AD416" s="108">
        <f t="shared" si="2520"/>
        <v>1</v>
      </c>
      <c r="AE416" s="108">
        <f t="shared" si="2520"/>
        <v>1</v>
      </c>
      <c r="AF416" s="108">
        <f t="shared" si="2520"/>
        <v>0</v>
      </c>
      <c r="AG416" s="86">
        <f t="shared" si="2397"/>
        <v>2</v>
      </c>
      <c r="AH416" s="107">
        <f t="shared" ref="AH416:AJ416" si="2521">RANDBETWEEN(1,10)</f>
        <v>9</v>
      </c>
      <c r="AI416" s="108">
        <f t="shared" si="2521"/>
        <v>7</v>
      </c>
      <c r="AJ416" s="108">
        <f t="shared" si="2521"/>
        <v>5</v>
      </c>
      <c r="AK416" s="192">
        <f t="shared" si="2399"/>
        <v>21</v>
      </c>
      <c r="AL416" s="107"/>
      <c r="AM416" s="108"/>
      <c r="AN416" s="108"/>
      <c r="AO416" s="108"/>
      <c r="AP416" s="89"/>
      <c r="AQ416" s="107"/>
      <c r="AR416" s="108"/>
      <c r="AS416" s="108"/>
      <c r="AT416" s="193"/>
      <c r="AU416" s="107"/>
      <c r="AV416" s="108"/>
      <c r="AW416" s="108"/>
      <c r="AX416" s="194"/>
      <c r="AY416" s="92">
        <f t="shared" ref="AY416:AZ416" si="2522">RANDBETWEEN(1,10)/10</f>
        <v>0.7</v>
      </c>
      <c r="AZ416" s="92">
        <f t="shared" si="2522"/>
        <v>0.7</v>
      </c>
      <c r="BA416" s="93">
        <v>0.0</v>
      </c>
      <c r="BB416" s="93">
        <v>0.0</v>
      </c>
      <c r="BC416" s="94">
        <f>SUM(BC388,'ГОЧ'!$AY416)</f>
        <v>1206.5</v>
      </c>
      <c r="BD416" s="94">
        <f>SUM(BD388,'ГОЧ'!$AZ416)</f>
        <v>1207.3</v>
      </c>
      <c r="BE416" s="108"/>
      <c r="BF416" s="108"/>
    </row>
    <row r="417" ht="15.75" customHeight="1">
      <c r="A417" s="67">
        <f t="shared" si="2387"/>
        <v>46268</v>
      </c>
      <c r="B417" s="138" t="s">
        <v>57</v>
      </c>
      <c r="C417" s="157">
        <f t="shared" si="2388"/>
        <v>1</v>
      </c>
      <c r="D417" s="97">
        <f t="shared" ref="D417:L417" si="2523">RANDBETWEEN(0,2)</f>
        <v>0</v>
      </c>
      <c r="E417" s="97">
        <f t="shared" si="2523"/>
        <v>0</v>
      </c>
      <c r="F417" s="97">
        <f t="shared" si="2523"/>
        <v>1</v>
      </c>
      <c r="G417" s="97">
        <f t="shared" si="2523"/>
        <v>1</v>
      </c>
      <c r="H417" s="98">
        <f t="shared" si="2523"/>
        <v>0</v>
      </c>
      <c r="I417" s="99">
        <f t="shared" si="2523"/>
        <v>2</v>
      </c>
      <c r="J417" s="100">
        <f t="shared" si="2523"/>
        <v>2</v>
      </c>
      <c r="K417" s="101">
        <f t="shared" si="2523"/>
        <v>2</v>
      </c>
      <c r="L417" s="101">
        <f t="shared" si="2523"/>
        <v>0</v>
      </c>
      <c r="M417" s="140">
        <f t="shared" si="2516"/>
        <v>50</v>
      </c>
      <c r="N417" s="97">
        <f t="shared" ref="N417:T417" si="2524">RANDBETWEEN(0,10)</f>
        <v>4</v>
      </c>
      <c r="O417" s="97">
        <f t="shared" si="2524"/>
        <v>10</v>
      </c>
      <c r="P417" s="97">
        <f t="shared" si="2524"/>
        <v>10</v>
      </c>
      <c r="Q417" s="97">
        <f t="shared" si="2524"/>
        <v>10</v>
      </c>
      <c r="R417" s="97">
        <f t="shared" si="2524"/>
        <v>4</v>
      </c>
      <c r="S417" s="97">
        <f t="shared" si="2524"/>
        <v>8</v>
      </c>
      <c r="T417" s="97">
        <f t="shared" si="2524"/>
        <v>4</v>
      </c>
      <c r="U417" s="103">
        <f t="shared" si="2518"/>
        <v>13</v>
      </c>
      <c r="V417" s="158">
        <f t="shared" si="2427"/>
        <v>4</v>
      </c>
      <c r="W417" s="97">
        <f t="shared" ref="W417:Y417" si="2525">RANDBETWEEN(0,2)</f>
        <v>2</v>
      </c>
      <c r="X417" s="97">
        <f t="shared" si="2525"/>
        <v>1</v>
      </c>
      <c r="Y417" s="97">
        <f t="shared" si="2525"/>
        <v>1</v>
      </c>
      <c r="Z417" s="105">
        <f t="shared" si="2436"/>
        <v>3</v>
      </c>
      <c r="AA417" s="143">
        <f t="shared" ref="AA417:AF417" si="2526">RANDBETWEEN(0,2)</f>
        <v>2</v>
      </c>
      <c r="AB417" s="143">
        <f t="shared" si="2526"/>
        <v>1</v>
      </c>
      <c r="AC417" s="144">
        <f t="shared" si="2526"/>
        <v>2</v>
      </c>
      <c r="AD417" s="145">
        <f t="shared" si="2526"/>
        <v>0</v>
      </c>
      <c r="AE417" s="145">
        <f t="shared" si="2526"/>
        <v>1</v>
      </c>
      <c r="AF417" s="145">
        <f t="shared" si="2526"/>
        <v>0</v>
      </c>
      <c r="AG417" s="86">
        <f t="shared" si="2397"/>
        <v>3</v>
      </c>
      <c r="AH417" s="144">
        <f t="shared" ref="AH417:AJ417" si="2527">RANDBETWEEN(1,10)</f>
        <v>7</v>
      </c>
      <c r="AI417" s="145">
        <f t="shared" si="2527"/>
        <v>2</v>
      </c>
      <c r="AJ417" s="145">
        <f t="shared" si="2527"/>
        <v>10</v>
      </c>
      <c r="AK417" s="192">
        <f t="shared" si="2399"/>
        <v>19</v>
      </c>
      <c r="AL417" s="144"/>
      <c r="AM417" s="145"/>
      <c r="AN417" s="145"/>
      <c r="AO417" s="145"/>
      <c r="AP417" s="89"/>
      <c r="AQ417" s="144"/>
      <c r="AR417" s="145"/>
      <c r="AS417" s="145"/>
      <c r="AT417" s="193"/>
      <c r="AU417" s="144"/>
      <c r="AV417" s="145"/>
      <c r="AW417" s="145"/>
      <c r="AX417" s="194"/>
      <c r="AY417" s="92">
        <f t="shared" ref="AY417:AZ417" si="2528">RANDBETWEEN(1,10)/10</f>
        <v>0.2</v>
      </c>
      <c r="AZ417" s="92">
        <f t="shared" si="2528"/>
        <v>1</v>
      </c>
      <c r="BA417" s="93">
        <v>0.0</v>
      </c>
      <c r="BB417" s="93">
        <v>0.0</v>
      </c>
      <c r="BC417" s="94">
        <f>SUM(BC389,'ГОЧ'!$AY417)</f>
        <v>1208.2</v>
      </c>
      <c r="BD417" s="94">
        <f>SUM(BD389,'ГОЧ'!$AZ417)</f>
        <v>1208.4</v>
      </c>
      <c r="BE417" s="108"/>
      <c r="BF417" s="108"/>
    </row>
    <row r="418" ht="15.75" customHeight="1">
      <c r="A418" s="67">
        <f t="shared" si="2387"/>
        <v>46268</v>
      </c>
      <c r="B418" s="138" t="s">
        <v>60</v>
      </c>
      <c r="C418" s="157">
        <f t="shared" si="2388"/>
        <v>1</v>
      </c>
      <c r="D418" s="97">
        <f t="shared" ref="D418:L418" si="2529">RANDBETWEEN(0,2)</f>
        <v>0</v>
      </c>
      <c r="E418" s="97">
        <f t="shared" si="2529"/>
        <v>2</v>
      </c>
      <c r="F418" s="97">
        <f t="shared" si="2529"/>
        <v>1</v>
      </c>
      <c r="G418" s="97">
        <f t="shared" si="2529"/>
        <v>1</v>
      </c>
      <c r="H418" s="98">
        <f t="shared" si="2529"/>
        <v>1</v>
      </c>
      <c r="I418" s="99">
        <f t="shared" si="2529"/>
        <v>1</v>
      </c>
      <c r="J418" s="100">
        <f t="shared" si="2529"/>
        <v>0</v>
      </c>
      <c r="K418" s="101">
        <f t="shared" si="2529"/>
        <v>1</v>
      </c>
      <c r="L418" s="101">
        <f t="shared" si="2529"/>
        <v>2</v>
      </c>
      <c r="M418" s="140">
        <f t="shared" si="2516"/>
        <v>41</v>
      </c>
      <c r="N418" s="97">
        <f t="shared" ref="N418:T418" si="2530">RANDBETWEEN(0,10)</f>
        <v>9</v>
      </c>
      <c r="O418" s="97">
        <f t="shared" si="2530"/>
        <v>5</v>
      </c>
      <c r="P418" s="97">
        <f t="shared" si="2530"/>
        <v>9</v>
      </c>
      <c r="Q418" s="97">
        <f t="shared" si="2530"/>
        <v>2</v>
      </c>
      <c r="R418" s="97">
        <f t="shared" si="2530"/>
        <v>10</v>
      </c>
      <c r="S418" s="97">
        <f t="shared" si="2530"/>
        <v>5</v>
      </c>
      <c r="T418" s="97">
        <f t="shared" si="2530"/>
        <v>1</v>
      </c>
      <c r="U418" s="103">
        <f t="shared" si="2518"/>
        <v>27</v>
      </c>
      <c r="V418" s="158">
        <f t="shared" si="2427"/>
        <v>1</v>
      </c>
      <c r="W418" s="97">
        <f t="shared" ref="W418:Y418" si="2531">RANDBETWEEN(0,2)</f>
        <v>0</v>
      </c>
      <c r="X418" s="97">
        <f t="shared" si="2531"/>
        <v>1</v>
      </c>
      <c r="Y418" s="97">
        <f t="shared" si="2531"/>
        <v>0</v>
      </c>
      <c r="Z418" s="105">
        <f t="shared" si="2436"/>
        <v>4</v>
      </c>
      <c r="AA418" s="106">
        <f t="shared" ref="AA418:AF418" si="2532">RANDBETWEEN(0,2)</f>
        <v>2</v>
      </c>
      <c r="AB418" s="106">
        <f t="shared" si="2532"/>
        <v>2</v>
      </c>
      <c r="AC418" s="107">
        <f t="shared" si="2532"/>
        <v>2</v>
      </c>
      <c r="AD418" s="108">
        <f t="shared" si="2532"/>
        <v>2</v>
      </c>
      <c r="AE418" s="108">
        <f t="shared" si="2532"/>
        <v>0</v>
      </c>
      <c r="AF418" s="108">
        <f t="shared" si="2532"/>
        <v>1</v>
      </c>
      <c r="AG418" s="86">
        <f t="shared" si="2397"/>
        <v>5</v>
      </c>
      <c r="AH418" s="107">
        <f t="shared" ref="AH418:AJ418" si="2533">RANDBETWEEN(1,10)</f>
        <v>8</v>
      </c>
      <c r="AI418" s="108">
        <f t="shared" si="2533"/>
        <v>5</v>
      </c>
      <c r="AJ418" s="108">
        <f t="shared" si="2533"/>
        <v>7</v>
      </c>
      <c r="AK418" s="192">
        <f t="shared" si="2399"/>
        <v>20</v>
      </c>
      <c r="AL418" s="107"/>
      <c r="AM418" s="108"/>
      <c r="AN418" s="108"/>
      <c r="AO418" s="108"/>
      <c r="AP418" s="89"/>
      <c r="AQ418" s="107"/>
      <c r="AR418" s="108"/>
      <c r="AS418" s="108"/>
      <c r="AT418" s="193"/>
      <c r="AU418" s="107"/>
      <c r="AV418" s="108"/>
      <c r="AW418" s="108"/>
      <c r="AX418" s="194"/>
      <c r="AY418" s="92">
        <f t="shared" ref="AY418:AZ418" si="2534">RANDBETWEEN(1,10)/10</f>
        <v>0.6</v>
      </c>
      <c r="AZ418" s="92">
        <f t="shared" si="2534"/>
        <v>0.8</v>
      </c>
      <c r="BA418" s="93">
        <v>0.0</v>
      </c>
      <c r="BB418" s="93">
        <v>0.0</v>
      </c>
      <c r="BC418" s="94">
        <f>SUM(BC390,'ГОЧ'!$AY418)</f>
        <v>1206.8</v>
      </c>
      <c r="BD418" s="94">
        <f>SUM(BD390,'ГОЧ'!$AZ418)</f>
        <v>1206.7</v>
      </c>
      <c r="BE418" s="108"/>
      <c r="BF418" s="108"/>
    </row>
    <row r="419" ht="15.75" customHeight="1">
      <c r="A419" s="67">
        <f t="shared" si="2387"/>
        <v>46268</v>
      </c>
      <c r="B419" s="195" t="s">
        <v>64</v>
      </c>
      <c r="C419" s="157">
        <f t="shared" si="2388"/>
        <v>1</v>
      </c>
      <c r="D419" s="97">
        <f t="shared" ref="D419:L419" si="2535">RANDBETWEEN(0,2)</f>
        <v>1</v>
      </c>
      <c r="E419" s="97">
        <f t="shared" si="2535"/>
        <v>1</v>
      </c>
      <c r="F419" s="97">
        <f t="shared" si="2535"/>
        <v>0</v>
      </c>
      <c r="G419" s="97">
        <f t="shared" si="2535"/>
        <v>2</v>
      </c>
      <c r="H419" s="98">
        <f t="shared" si="2535"/>
        <v>0</v>
      </c>
      <c r="I419" s="99">
        <f t="shared" si="2535"/>
        <v>2</v>
      </c>
      <c r="J419" s="100">
        <f t="shared" si="2535"/>
        <v>0</v>
      </c>
      <c r="K419" s="101">
        <f t="shared" si="2535"/>
        <v>0</v>
      </c>
      <c r="L419" s="101">
        <f t="shared" si="2535"/>
        <v>1</v>
      </c>
      <c r="M419" s="140">
        <f t="shared" si="2516"/>
        <v>38</v>
      </c>
      <c r="N419" s="97">
        <f t="shared" ref="N419:T419" si="2536">RANDBETWEEN(0,10)</f>
        <v>2</v>
      </c>
      <c r="O419" s="97">
        <f t="shared" si="2536"/>
        <v>3</v>
      </c>
      <c r="P419" s="97">
        <f t="shared" si="2536"/>
        <v>9</v>
      </c>
      <c r="Q419" s="97">
        <f t="shared" si="2536"/>
        <v>4</v>
      </c>
      <c r="R419" s="97">
        <f t="shared" si="2536"/>
        <v>9</v>
      </c>
      <c r="S419" s="97">
        <f t="shared" si="2536"/>
        <v>10</v>
      </c>
      <c r="T419" s="97">
        <f t="shared" si="2536"/>
        <v>1</v>
      </c>
      <c r="U419" s="103">
        <f t="shared" si="2518"/>
        <v>21</v>
      </c>
      <c r="V419" s="158">
        <f t="shared" si="2427"/>
        <v>2</v>
      </c>
      <c r="W419" s="97">
        <f t="shared" ref="W419:Y419" si="2537">RANDBETWEEN(0,2)</f>
        <v>1</v>
      </c>
      <c r="X419" s="97">
        <f t="shared" si="2537"/>
        <v>1</v>
      </c>
      <c r="Y419" s="97">
        <f t="shared" si="2537"/>
        <v>0</v>
      </c>
      <c r="Z419" s="105">
        <f t="shared" si="2436"/>
        <v>1</v>
      </c>
      <c r="AA419" s="143">
        <f t="shared" ref="AA419:AF419" si="2538">RANDBETWEEN(0,2)</f>
        <v>1</v>
      </c>
      <c r="AB419" s="143">
        <f t="shared" si="2538"/>
        <v>0</v>
      </c>
      <c r="AC419" s="144">
        <f t="shared" si="2538"/>
        <v>0</v>
      </c>
      <c r="AD419" s="145">
        <f t="shared" si="2538"/>
        <v>1</v>
      </c>
      <c r="AE419" s="145">
        <f t="shared" si="2538"/>
        <v>0</v>
      </c>
      <c r="AF419" s="145">
        <f t="shared" si="2538"/>
        <v>0</v>
      </c>
      <c r="AG419" s="86">
        <f t="shared" si="2397"/>
        <v>1</v>
      </c>
      <c r="AH419" s="144">
        <f t="shared" ref="AH419:AJ419" si="2539">RANDBETWEEN(1,10)</f>
        <v>2</v>
      </c>
      <c r="AI419" s="145">
        <f t="shared" si="2539"/>
        <v>3</v>
      </c>
      <c r="AJ419" s="145">
        <f t="shared" si="2539"/>
        <v>3</v>
      </c>
      <c r="AK419" s="192">
        <f t="shared" si="2399"/>
        <v>8</v>
      </c>
      <c r="AL419" s="144"/>
      <c r="AM419" s="145"/>
      <c r="AN419" s="145"/>
      <c r="AO419" s="145"/>
      <c r="AP419" s="89"/>
      <c r="AQ419" s="144"/>
      <c r="AR419" s="145"/>
      <c r="AS419" s="145"/>
      <c r="AT419" s="193"/>
      <c r="AU419" s="144"/>
      <c r="AV419" s="145"/>
      <c r="AW419" s="145"/>
      <c r="AX419" s="194"/>
      <c r="AY419" s="92">
        <f t="shared" ref="AY419:AZ419" si="2540">RANDBETWEEN(1,10)/10</f>
        <v>0.8</v>
      </c>
      <c r="AZ419" s="92">
        <f t="shared" si="2540"/>
        <v>0.3</v>
      </c>
      <c r="BA419" s="93">
        <v>0.0</v>
      </c>
      <c r="BB419" s="93">
        <v>0.0</v>
      </c>
      <c r="BC419" s="94">
        <f>SUM(BC391,'ГОЧ'!$AY419)</f>
        <v>1206.4</v>
      </c>
      <c r="BD419" s="94">
        <f>SUM(BD391,'ГОЧ'!$AZ419)</f>
        <v>1206.7</v>
      </c>
      <c r="BE419" s="108"/>
      <c r="BF419" s="108"/>
    </row>
    <row r="420" ht="15.75" customHeight="1">
      <c r="A420" s="67">
        <f t="shared" si="2387"/>
        <v>46268</v>
      </c>
      <c r="B420" s="201" t="s">
        <v>67</v>
      </c>
      <c r="C420" s="164">
        <f t="shared" si="2388"/>
        <v>8</v>
      </c>
      <c r="D420" s="164">
        <f t="shared" ref="D420:L420" si="2541">SUM(D415:D419)</f>
        <v>4</v>
      </c>
      <c r="E420" s="165">
        <f t="shared" si="2541"/>
        <v>6</v>
      </c>
      <c r="F420" s="165">
        <f t="shared" si="2541"/>
        <v>4</v>
      </c>
      <c r="G420" s="165">
        <f t="shared" si="2541"/>
        <v>8</v>
      </c>
      <c r="H420" s="165">
        <f t="shared" si="2541"/>
        <v>3</v>
      </c>
      <c r="I420" s="165">
        <f t="shared" si="2541"/>
        <v>7</v>
      </c>
      <c r="J420" s="165">
        <f t="shared" si="2541"/>
        <v>4</v>
      </c>
      <c r="K420" s="165">
        <f t="shared" si="2541"/>
        <v>4</v>
      </c>
      <c r="L420" s="165">
        <f t="shared" si="2541"/>
        <v>5</v>
      </c>
      <c r="M420" s="164">
        <f t="shared" si="2516"/>
        <v>196</v>
      </c>
      <c r="N420" s="164">
        <f t="shared" ref="N420:U420" si="2542">SUM(N415:N419)</f>
        <v>27</v>
      </c>
      <c r="O420" s="165">
        <f t="shared" si="2542"/>
        <v>25</v>
      </c>
      <c r="P420" s="165">
        <f t="shared" si="2542"/>
        <v>43</v>
      </c>
      <c r="Q420" s="165">
        <f t="shared" si="2542"/>
        <v>24</v>
      </c>
      <c r="R420" s="165">
        <f t="shared" si="2542"/>
        <v>31</v>
      </c>
      <c r="S420" s="165">
        <f t="shared" si="2542"/>
        <v>28</v>
      </c>
      <c r="T420" s="165">
        <f t="shared" si="2542"/>
        <v>18</v>
      </c>
      <c r="U420" s="164">
        <f t="shared" si="2542"/>
        <v>93</v>
      </c>
      <c r="V420" s="164">
        <f t="shared" si="2427"/>
        <v>13</v>
      </c>
      <c r="W420" s="165">
        <f t="shared" ref="W420:Y420" si="2543">SUM(W415:W419)</f>
        <v>5</v>
      </c>
      <c r="X420" s="165">
        <f t="shared" si="2543"/>
        <v>4</v>
      </c>
      <c r="Y420" s="165">
        <f t="shared" si="2543"/>
        <v>4</v>
      </c>
      <c r="Z420" s="164">
        <f>SUM(AA420:AB420)</f>
        <v>12</v>
      </c>
      <c r="AA420" s="164">
        <f t="shared" ref="AA420:AF420" si="2544">SUM(AA415:AA419)</f>
        <v>5</v>
      </c>
      <c r="AB420" s="165">
        <f t="shared" si="2544"/>
        <v>7</v>
      </c>
      <c r="AC420" s="166">
        <f t="shared" si="2544"/>
        <v>5</v>
      </c>
      <c r="AD420" s="166">
        <f t="shared" si="2544"/>
        <v>5</v>
      </c>
      <c r="AE420" s="166">
        <f t="shared" si="2544"/>
        <v>3</v>
      </c>
      <c r="AF420" s="166">
        <f t="shared" si="2544"/>
        <v>1</v>
      </c>
      <c r="AG420" s="168">
        <f t="shared" si="2397"/>
        <v>14</v>
      </c>
      <c r="AH420" s="166">
        <f t="shared" ref="AH420:AJ420" si="2545">SUM(AH415:AH419)</f>
        <v>32</v>
      </c>
      <c r="AI420" s="167">
        <f t="shared" si="2545"/>
        <v>21</v>
      </c>
      <c r="AJ420" s="167">
        <f t="shared" si="2545"/>
        <v>30</v>
      </c>
      <c r="AK420" s="168">
        <f t="shared" si="2399"/>
        <v>83</v>
      </c>
      <c r="AL420" s="166"/>
      <c r="AM420" s="166"/>
      <c r="AN420" s="166"/>
      <c r="AO420" s="166"/>
      <c r="AP420" s="169"/>
      <c r="AQ420" s="166"/>
      <c r="AR420" s="167"/>
      <c r="AS420" s="167"/>
      <c r="AT420" s="170"/>
      <c r="AU420" s="166"/>
      <c r="AV420" s="167"/>
      <c r="AW420" s="167"/>
      <c r="AX420" s="171"/>
      <c r="AY420" s="196">
        <f t="shared" ref="AY420:BD420" si="2546">SUM(AY415:AY419)</f>
        <v>3.1</v>
      </c>
      <c r="AZ420" s="196">
        <f t="shared" si="2546"/>
        <v>3.3</v>
      </c>
      <c r="BA420" s="167">
        <f t="shared" si="2546"/>
        <v>0</v>
      </c>
      <c r="BB420" s="167">
        <f t="shared" si="2546"/>
        <v>0</v>
      </c>
      <c r="BC420" s="197">
        <f t="shared" si="2546"/>
        <v>6035.2</v>
      </c>
      <c r="BD420" s="197">
        <f t="shared" si="2546"/>
        <v>6035.2</v>
      </c>
      <c r="BE420" s="154" t="str">
        <f t="shared" ref="BE420:BF420" si="2547">TEXTJOIN(", ",TRUE,BE415:BE419)</f>
        <v/>
      </c>
      <c r="BF420" s="154" t="str">
        <f t="shared" si="2547"/>
        <v/>
      </c>
    </row>
    <row r="421" ht="15.75" customHeight="1">
      <c r="A421" s="67">
        <f t="shared" si="2387"/>
        <v>46268</v>
      </c>
      <c r="B421" s="202" t="s">
        <v>72</v>
      </c>
      <c r="C421" s="203">
        <f t="shared" ref="C421:AK421" si="2548">SUM(C395+C396+C397+C401,C400,C407,C414,C420)</f>
        <v>42</v>
      </c>
      <c r="D421" s="203">
        <f t="shared" si="2548"/>
        <v>22</v>
      </c>
      <c r="E421" s="203">
        <f t="shared" si="2548"/>
        <v>21</v>
      </c>
      <c r="F421" s="203">
        <f t="shared" si="2548"/>
        <v>20</v>
      </c>
      <c r="G421" s="203">
        <f t="shared" si="2548"/>
        <v>22</v>
      </c>
      <c r="H421" s="203">
        <f t="shared" si="2548"/>
        <v>15</v>
      </c>
      <c r="I421" s="203">
        <f t="shared" si="2548"/>
        <v>20</v>
      </c>
      <c r="J421" s="203">
        <f t="shared" si="2548"/>
        <v>25</v>
      </c>
      <c r="K421" s="203">
        <f t="shared" si="2548"/>
        <v>18</v>
      </c>
      <c r="L421" s="203">
        <f t="shared" si="2548"/>
        <v>17</v>
      </c>
      <c r="M421" s="203">
        <f t="shared" si="2548"/>
        <v>739</v>
      </c>
      <c r="N421" s="203">
        <f t="shared" si="2548"/>
        <v>73</v>
      </c>
      <c r="O421" s="203">
        <f t="shared" si="2548"/>
        <v>96</v>
      </c>
      <c r="P421" s="203">
        <f t="shared" si="2548"/>
        <v>126</v>
      </c>
      <c r="Q421" s="203">
        <f t="shared" si="2548"/>
        <v>108</v>
      </c>
      <c r="R421" s="203">
        <f t="shared" si="2548"/>
        <v>100</v>
      </c>
      <c r="S421" s="203">
        <f t="shared" si="2548"/>
        <v>110</v>
      </c>
      <c r="T421" s="203">
        <f t="shared" si="2548"/>
        <v>126</v>
      </c>
      <c r="U421" s="203">
        <f t="shared" si="2548"/>
        <v>410</v>
      </c>
      <c r="V421" s="203">
        <f t="shared" si="2548"/>
        <v>53</v>
      </c>
      <c r="W421" s="203">
        <f t="shared" si="2548"/>
        <v>18</v>
      </c>
      <c r="X421" s="203">
        <f t="shared" si="2548"/>
        <v>19</v>
      </c>
      <c r="Y421" s="203">
        <f t="shared" si="2548"/>
        <v>16</v>
      </c>
      <c r="Z421" s="203">
        <f t="shared" si="2548"/>
        <v>33</v>
      </c>
      <c r="AA421" s="203">
        <f t="shared" si="2548"/>
        <v>14</v>
      </c>
      <c r="AB421" s="203">
        <f t="shared" si="2548"/>
        <v>19</v>
      </c>
      <c r="AC421" s="204">
        <f t="shared" si="2548"/>
        <v>22</v>
      </c>
      <c r="AD421" s="204">
        <f t="shared" si="2548"/>
        <v>18</v>
      </c>
      <c r="AE421" s="204">
        <f t="shared" si="2548"/>
        <v>24</v>
      </c>
      <c r="AF421" s="204">
        <f t="shared" si="2548"/>
        <v>17</v>
      </c>
      <c r="AG421" s="204">
        <f t="shared" si="2548"/>
        <v>81</v>
      </c>
      <c r="AH421" s="204">
        <f t="shared" si="2548"/>
        <v>126</v>
      </c>
      <c r="AI421" s="204">
        <f t="shared" si="2548"/>
        <v>121</v>
      </c>
      <c r="AJ421" s="204">
        <f t="shared" si="2548"/>
        <v>112</v>
      </c>
      <c r="AK421" s="204">
        <f t="shared" si="2548"/>
        <v>359</v>
      </c>
      <c r="AL421" s="204"/>
      <c r="AM421" s="204"/>
      <c r="AN421" s="204"/>
      <c r="AO421" s="204"/>
      <c r="AP421" s="151"/>
      <c r="AQ421" s="204"/>
      <c r="AR421" s="204"/>
      <c r="AS421" s="204"/>
      <c r="AT421" s="152"/>
      <c r="AU421" s="204"/>
      <c r="AV421" s="204"/>
      <c r="AW421" s="204"/>
      <c r="AX421" s="153"/>
      <c r="AY421" s="205">
        <f t="shared" ref="AY421:BD421" si="2549">SUM(AY395+AY396+AY397+AY401,AY400,AY407,AY414,AY420)</f>
        <v>14.6</v>
      </c>
      <c r="AZ421" s="205">
        <f t="shared" si="2549"/>
        <v>17.2</v>
      </c>
      <c r="BA421" s="206">
        <f t="shared" si="2549"/>
        <v>5</v>
      </c>
      <c r="BB421" s="206">
        <f t="shared" si="2549"/>
        <v>3</v>
      </c>
      <c r="BC421" s="207">
        <f t="shared" si="2549"/>
        <v>26568.4</v>
      </c>
      <c r="BD421" s="207">
        <f t="shared" si="2549"/>
        <v>26572.6</v>
      </c>
      <c r="BE421" s="154" t="str">
        <f t="shared" ref="BE421:BF421" si="2550">TEXTJOIN(", ",TRUE,BE420,BE414,BE407,BE401,BE400,BE397,BE396,BE395)</f>
        <v>Олександівка, Пантелеймонівка, Миколаївка, Курськ, Рильск</v>
      </c>
      <c r="BF421" s="154" t="str">
        <f t="shared" si="2550"/>
        <v>Загреблі, Верхні води, Ступочки</v>
      </c>
    </row>
    <row r="422" ht="15.75" customHeight="1">
      <c r="A422" s="55">
        <f>A421+1</f>
        <v>46269</v>
      </c>
      <c r="B422" s="56"/>
      <c r="C422" s="57"/>
      <c r="D422" s="58"/>
      <c r="E422" s="59"/>
      <c r="F422" s="58"/>
      <c r="G422" s="59"/>
      <c r="H422" s="57"/>
      <c r="I422" s="60"/>
      <c r="J422" s="57"/>
      <c r="K422" s="57"/>
      <c r="L422" s="57"/>
      <c r="M422" s="57"/>
      <c r="N422" s="60"/>
      <c r="O422" s="60"/>
      <c r="P422" s="60"/>
      <c r="Q422" s="60"/>
      <c r="R422" s="60"/>
      <c r="S422" s="60"/>
      <c r="T422" s="60"/>
      <c r="U422" s="57"/>
      <c r="V422" s="58"/>
      <c r="W422" s="61"/>
      <c r="X422" s="61"/>
      <c r="Y422" s="61"/>
      <c r="Z422" s="57"/>
      <c r="AA422" s="60"/>
      <c r="AB422" s="60"/>
      <c r="AC422" s="62"/>
      <c r="AD422" s="62"/>
      <c r="AE422" s="62"/>
      <c r="AF422" s="62"/>
      <c r="AG422" s="62"/>
      <c r="AH422" s="62"/>
      <c r="AI422" s="62"/>
      <c r="AJ422" s="62"/>
      <c r="AK422" s="62"/>
      <c r="AL422" s="62"/>
      <c r="AM422" s="62"/>
      <c r="AN422" s="62"/>
      <c r="AO422" s="62"/>
      <c r="AP422" s="64"/>
      <c r="AQ422" s="62"/>
      <c r="AR422" s="62"/>
      <c r="AS422" s="62"/>
      <c r="AT422" s="65"/>
      <c r="AU422" s="62"/>
      <c r="AV422" s="62"/>
      <c r="AW422" s="62"/>
      <c r="AX422" s="66"/>
      <c r="AY422" s="208"/>
      <c r="AZ422" s="208"/>
      <c r="BA422" s="62"/>
      <c r="BB422" s="62"/>
      <c r="BC422" s="209"/>
      <c r="BD422" s="209"/>
      <c r="BE422" s="62"/>
      <c r="BF422" s="62"/>
    </row>
    <row r="423" ht="15.75" customHeight="1">
      <c r="A423" s="67">
        <f t="shared" ref="A423:A449" si="2557">A422</f>
        <v>46269</v>
      </c>
      <c r="B423" s="70" t="s">
        <v>8</v>
      </c>
      <c r="C423" s="72">
        <f t="shared" ref="C423:C448" si="2558">SUM(D423,F423)</f>
        <v>3</v>
      </c>
      <c r="D423" s="74">
        <f t="shared" ref="D423:L423" si="2551">RANDBETWEEN(0,2)</f>
        <v>1</v>
      </c>
      <c r="E423" s="74">
        <f t="shared" si="2551"/>
        <v>0</v>
      </c>
      <c r="F423" s="74">
        <f t="shared" si="2551"/>
        <v>2</v>
      </c>
      <c r="G423" s="74">
        <f t="shared" si="2551"/>
        <v>0</v>
      </c>
      <c r="H423" s="75">
        <f t="shared" si="2551"/>
        <v>2</v>
      </c>
      <c r="I423" s="76">
        <f t="shared" si="2551"/>
        <v>0</v>
      </c>
      <c r="J423" s="77">
        <f t="shared" si="2551"/>
        <v>0</v>
      </c>
      <c r="K423" s="78">
        <f t="shared" si="2551"/>
        <v>1</v>
      </c>
      <c r="L423" s="78">
        <f t="shared" si="2551"/>
        <v>1</v>
      </c>
      <c r="M423" s="79">
        <f t="shared" ref="M423:M441" si="2560">SUM(N423:T423)</f>
        <v>31</v>
      </c>
      <c r="N423" s="74">
        <f t="shared" ref="N423:T423" si="2552">RANDBETWEEN(0,10)</f>
        <v>7</v>
      </c>
      <c r="O423" s="74">
        <f t="shared" si="2552"/>
        <v>1</v>
      </c>
      <c r="P423" s="74">
        <f t="shared" si="2552"/>
        <v>7</v>
      </c>
      <c r="Q423" s="74">
        <f t="shared" si="2552"/>
        <v>10</v>
      </c>
      <c r="R423" s="74">
        <f t="shared" si="2552"/>
        <v>1</v>
      </c>
      <c r="S423" s="74">
        <f t="shared" si="2552"/>
        <v>5</v>
      </c>
      <c r="T423" s="74">
        <f t="shared" si="2552"/>
        <v>0</v>
      </c>
      <c r="U423" s="81">
        <f t="shared" ref="U423:U424" si="2562">RANDBETWEEN(10,30)</f>
        <v>22</v>
      </c>
      <c r="V423" s="82">
        <f t="shared" ref="V423:V428" si="2563">SUM(W423:Y423)</f>
        <v>5</v>
      </c>
      <c r="W423" s="74">
        <f t="shared" ref="W423:Y423" si="2553">RANDBETWEEN(0,2)</f>
        <v>2</v>
      </c>
      <c r="X423" s="74">
        <f t="shared" si="2553"/>
        <v>2</v>
      </c>
      <c r="Y423" s="74">
        <f t="shared" si="2553"/>
        <v>1</v>
      </c>
      <c r="Z423" s="83">
        <f t="shared" ref="Z423:Z425" si="2565">AA423+AB423</f>
        <v>1</v>
      </c>
      <c r="AA423" s="84">
        <f t="shared" ref="AA423:AF423" si="2554">RANDBETWEEN(0,2)</f>
        <v>0</v>
      </c>
      <c r="AB423" s="84">
        <f t="shared" si="2554"/>
        <v>1</v>
      </c>
      <c r="AC423" s="85">
        <f t="shared" si="2554"/>
        <v>0</v>
      </c>
      <c r="AD423" s="85">
        <f t="shared" si="2554"/>
        <v>0</v>
      </c>
      <c r="AE423" s="85">
        <f t="shared" si="2554"/>
        <v>1</v>
      </c>
      <c r="AF423" s="85">
        <f t="shared" si="2554"/>
        <v>0</v>
      </c>
      <c r="AG423" s="86">
        <f t="shared" ref="AG423:AG448" si="2567">SUM(AC423:AF423)</f>
        <v>1</v>
      </c>
      <c r="AH423" s="87">
        <f t="shared" ref="AH423:AJ423" si="2555">RANDBETWEEN(1,10)</f>
        <v>2</v>
      </c>
      <c r="AI423" s="85">
        <f t="shared" si="2555"/>
        <v>9</v>
      </c>
      <c r="AJ423" s="85">
        <f t="shared" si="2555"/>
        <v>3</v>
      </c>
      <c r="AK423" s="88">
        <f t="shared" ref="AK423:AK448" si="2569">SUM(AH423:AJ423)</f>
        <v>14</v>
      </c>
      <c r="AL423" s="85"/>
      <c r="AM423" s="85"/>
      <c r="AN423" s="85"/>
      <c r="AO423" s="85"/>
      <c r="AP423" s="89"/>
      <c r="AQ423" s="87"/>
      <c r="AR423" s="85"/>
      <c r="AS423" s="85"/>
      <c r="AT423" s="90"/>
      <c r="AU423" s="87"/>
      <c r="AV423" s="85"/>
      <c r="AW423" s="85"/>
      <c r="AX423" s="91"/>
      <c r="AY423" s="92">
        <f t="shared" ref="AY423:AZ423" si="2556">RANDBETWEEN(1,10)/10</f>
        <v>1</v>
      </c>
      <c r="AZ423" s="92">
        <f t="shared" si="2556"/>
        <v>0.2</v>
      </c>
      <c r="BA423" s="93">
        <v>0.0</v>
      </c>
      <c r="BB423" s="93">
        <v>0.0</v>
      </c>
      <c r="BC423" s="94">
        <f>SUM(BC395,'ГОЧ'!$AY423)</f>
        <v>1210.8</v>
      </c>
      <c r="BD423" s="94">
        <f>SUM(BD395,'ГОЧ'!$AZ423)</f>
        <v>1210.7</v>
      </c>
      <c r="BE423" s="85"/>
      <c r="BF423" s="85"/>
    </row>
    <row r="424" ht="15.75" customHeight="1">
      <c r="A424" s="67">
        <f t="shared" si="2557"/>
        <v>46269</v>
      </c>
      <c r="B424" s="95" t="s">
        <v>10</v>
      </c>
      <c r="C424" s="96">
        <f t="shared" si="2558"/>
        <v>1</v>
      </c>
      <c r="D424" s="97">
        <f t="shared" ref="D424:L424" si="2559">RANDBETWEEN(0,2)</f>
        <v>0</v>
      </c>
      <c r="E424" s="97">
        <f t="shared" si="2559"/>
        <v>1</v>
      </c>
      <c r="F424" s="97">
        <f t="shared" si="2559"/>
        <v>1</v>
      </c>
      <c r="G424" s="97">
        <f t="shared" si="2559"/>
        <v>1</v>
      </c>
      <c r="H424" s="98">
        <f t="shared" si="2559"/>
        <v>0</v>
      </c>
      <c r="I424" s="99">
        <f t="shared" si="2559"/>
        <v>1</v>
      </c>
      <c r="J424" s="100">
        <f t="shared" si="2559"/>
        <v>2</v>
      </c>
      <c r="K424" s="101">
        <f t="shared" si="2559"/>
        <v>2</v>
      </c>
      <c r="L424" s="101">
        <f t="shared" si="2559"/>
        <v>0</v>
      </c>
      <c r="M424" s="102">
        <f t="shared" si="2560"/>
        <v>36</v>
      </c>
      <c r="N424" s="97">
        <f t="shared" ref="N424:T424" si="2561">RANDBETWEEN(0,10)</f>
        <v>2</v>
      </c>
      <c r="O424" s="97">
        <f t="shared" si="2561"/>
        <v>9</v>
      </c>
      <c r="P424" s="97">
        <f t="shared" si="2561"/>
        <v>10</v>
      </c>
      <c r="Q424" s="97">
        <f t="shared" si="2561"/>
        <v>4</v>
      </c>
      <c r="R424" s="97">
        <f t="shared" si="2561"/>
        <v>2</v>
      </c>
      <c r="S424" s="97">
        <f t="shared" si="2561"/>
        <v>0</v>
      </c>
      <c r="T424" s="97">
        <f t="shared" si="2561"/>
        <v>9</v>
      </c>
      <c r="U424" s="103">
        <f t="shared" si="2562"/>
        <v>19</v>
      </c>
      <c r="V424" s="104">
        <f t="shared" si="2563"/>
        <v>1</v>
      </c>
      <c r="W424" s="97">
        <f t="shared" ref="W424:Y424" si="2564">RANDBETWEEN(0,2)</f>
        <v>1</v>
      </c>
      <c r="X424" s="97">
        <f t="shared" si="2564"/>
        <v>0</v>
      </c>
      <c r="Y424" s="97">
        <f t="shared" si="2564"/>
        <v>0</v>
      </c>
      <c r="Z424" s="105">
        <f t="shared" si="2565"/>
        <v>3</v>
      </c>
      <c r="AA424" s="106">
        <f t="shared" ref="AA424:AF424" si="2566">RANDBETWEEN(0,2)</f>
        <v>2</v>
      </c>
      <c r="AB424" s="106">
        <f t="shared" si="2566"/>
        <v>1</v>
      </c>
      <c r="AC424" s="107">
        <f t="shared" si="2566"/>
        <v>0</v>
      </c>
      <c r="AD424" s="108">
        <f t="shared" si="2566"/>
        <v>1</v>
      </c>
      <c r="AE424" s="108">
        <f t="shared" si="2566"/>
        <v>1</v>
      </c>
      <c r="AF424" s="108">
        <f t="shared" si="2566"/>
        <v>1</v>
      </c>
      <c r="AG424" s="109">
        <f t="shared" si="2567"/>
        <v>3</v>
      </c>
      <c r="AH424" s="107">
        <f t="shared" ref="AH424:AJ424" si="2568">RANDBETWEEN(1,10)</f>
        <v>3</v>
      </c>
      <c r="AI424" s="108">
        <f t="shared" si="2568"/>
        <v>6</v>
      </c>
      <c r="AJ424" s="108">
        <f t="shared" si="2568"/>
        <v>8</v>
      </c>
      <c r="AK424" s="110">
        <f t="shared" si="2569"/>
        <v>17</v>
      </c>
      <c r="AL424" s="107"/>
      <c r="AM424" s="108"/>
      <c r="AN424" s="108"/>
      <c r="AO424" s="108"/>
      <c r="AP424" s="111"/>
      <c r="AQ424" s="107"/>
      <c r="AR424" s="108"/>
      <c r="AS424" s="108"/>
      <c r="AT424" s="112"/>
      <c r="AU424" s="107"/>
      <c r="AV424" s="108"/>
      <c r="AW424" s="108"/>
      <c r="AX424" s="113"/>
      <c r="AY424" s="92">
        <f t="shared" ref="AY424:AZ424" si="2570">RANDBETWEEN(1,10)/10</f>
        <v>0.7</v>
      </c>
      <c r="AZ424" s="92">
        <f t="shared" si="2570"/>
        <v>1</v>
      </c>
      <c r="BA424" s="93">
        <v>0.0</v>
      </c>
      <c r="BB424" s="93">
        <v>0.0</v>
      </c>
      <c r="BC424" s="94">
        <f>SUM(BC396,'ГОЧ'!$AY424)</f>
        <v>1207.7</v>
      </c>
      <c r="BD424" s="94">
        <f>SUM(BD396,'ГОЧ'!$AZ424)</f>
        <v>1209.2</v>
      </c>
      <c r="BE424" s="108"/>
      <c r="BF424" s="108"/>
    </row>
    <row r="425" ht="15.75" customHeight="1">
      <c r="A425" s="67">
        <f t="shared" si="2557"/>
        <v>46269</v>
      </c>
      <c r="B425" s="114" t="s">
        <v>12</v>
      </c>
      <c r="C425" s="115">
        <f t="shared" si="2558"/>
        <v>0</v>
      </c>
      <c r="D425" s="115">
        <v>0.0</v>
      </c>
      <c r="E425" s="116">
        <v>0.0</v>
      </c>
      <c r="F425" s="116">
        <v>0.0</v>
      </c>
      <c r="G425" s="116">
        <v>0.0</v>
      </c>
      <c r="H425" s="115">
        <v>0.0</v>
      </c>
      <c r="I425" s="116">
        <v>0.0</v>
      </c>
      <c r="J425" s="115">
        <v>0.0</v>
      </c>
      <c r="K425" s="116">
        <v>0.0</v>
      </c>
      <c r="L425" s="116">
        <v>0.0</v>
      </c>
      <c r="M425" s="115">
        <f t="shared" si="2560"/>
        <v>0</v>
      </c>
      <c r="N425" s="115">
        <v>0.0</v>
      </c>
      <c r="O425" s="116">
        <v>0.0</v>
      </c>
      <c r="P425" s="116">
        <v>0.0</v>
      </c>
      <c r="Q425" s="116">
        <v>0.0</v>
      </c>
      <c r="R425" s="116">
        <v>0.0</v>
      </c>
      <c r="S425" s="116">
        <v>0.0</v>
      </c>
      <c r="T425" s="116">
        <v>0.0</v>
      </c>
      <c r="U425" s="115">
        <v>0.0</v>
      </c>
      <c r="V425" s="115">
        <f t="shared" si="2563"/>
        <v>0</v>
      </c>
      <c r="W425" s="116">
        <v>0.0</v>
      </c>
      <c r="X425" s="116">
        <v>0.0</v>
      </c>
      <c r="Y425" s="116">
        <v>0.0</v>
      </c>
      <c r="Z425" s="116">
        <f t="shared" si="2565"/>
        <v>0</v>
      </c>
      <c r="AA425" s="116">
        <v>0.0</v>
      </c>
      <c r="AB425" s="116">
        <v>0.0</v>
      </c>
      <c r="AC425" s="117">
        <v>0.0</v>
      </c>
      <c r="AD425" s="118">
        <v>0.0</v>
      </c>
      <c r="AE425" s="118">
        <v>0.0</v>
      </c>
      <c r="AF425" s="118">
        <v>0.0</v>
      </c>
      <c r="AG425" s="119">
        <f t="shared" si="2567"/>
        <v>0</v>
      </c>
      <c r="AH425" s="117">
        <v>0.0</v>
      </c>
      <c r="AI425" s="118">
        <v>0.0</v>
      </c>
      <c r="AJ425" s="118">
        <v>0.0</v>
      </c>
      <c r="AK425" s="119">
        <f t="shared" si="2569"/>
        <v>0</v>
      </c>
      <c r="AL425" s="117"/>
      <c r="AM425" s="118"/>
      <c r="AN425" s="118"/>
      <c r="AO425" s="118"/>
      <c r="AP425" s="111"/>
      <c r="AQ425" s="117"/>
      <c r="AR425" s="118"/>
      <c r="AS425" s="118"/>
      <c r="AT425" s="120"/>
      <c r="AU425" s="117"/>
      <c r="AV425" s="118"/>
      <c r="AW425" s="118"/>
      <c r="AX425" s="121"/>
      <c r="AY425" s="122">
        <f t="shared" ref="AY425:BD425" si="2571">SUM(AY423:AY424)</f>
        <v>1.7</v>
      </c>
      <c r="AZ425" s="122">
        <f t="shared" si="2571"/>
        <v>1.2</v>
      </c>
      <c r="BA425" s="118">
        <f t="shared" si="2571"/>
        <v>0</v>
      </c>
      <c r="BB425" s="118">
        <f t="shared" si="2571"/>
        <v>0</v>
      </c>
      <c r="BC425" s="123">
        <f t="shared" si="2571"/>
        <v>2418.5</v>
      </c>
      <c r="BD425" s="123">
        <f t="shared" si="2571"/>
        <v>2419.9</v>
      </c>
      <c r="BE425" s="118"/>
      <c r="BF425" s="118"/>
    </row>
    <row r="426" ht="15.75" customHeight="1">
      <c r="A426" s="67">
        <f t="shared" si="2557"/>
        <v>46269</v>
      </c>
      <c r="B426" s="124" t="s">
        <v>14</v>
      </c>
      <c r="C426" s="96">
        <f t="shared" si="2558"/>
        <v>3</v>
      </c>
      <c r="D426" s="125">
        <f t="shared" ref="D426:L426" si="2572">RANDBETWEEN(0,2)</f>
        <v>1</v>
      </c>
      <c r="E426" s="125">
        <f t="shared" si="2572"/>
        <v>2</v>
      </c>
      <c r="F426" s="125">
        <f t="shared" si="2572"/>
        <v>2</v>
      </c>
      <c r="G426" s="125">
        <f t="shared" si="2572"/>
        <v>2</v>
      </c>
      <c r="H426" s="126">
        <f t="shared" si="2572"/>
        <v>0</v>
      </c>
      <c r="I426" s="127">
        <f t="shared" si="2572"/>
        <v>0</v>
      </c>
      <c r="J426" s="128">
        <f t="shared" si="2572"/>
        <v>1</v>
      </c>
      <c r="K426" s="130">
        <f t="shared" si="2572"/>
        <v>2</v>
      </c>
      <c r="L426" s="130">
        <f t="shared" si="2572"/>
        <v>1</v>
      </c>
      <c r="M426" s="102">
        <f t="shared" si="2560"/>
        <v>25</v>
      </c>
      <c r="N426" s="125">
        <f t="shared" ref="N426:T426" si="2573">RANDBETWEEN(0,10)</f>
        <v>0</v>
      </c>
      <c r="O426" s="125">
        <f t="shared" si="2573"/>
        <v>3</v>
      </c>
      <c r="P426" s="125">
        <f t="shared" si="2573"/>
        <v>4</v>
      </c>
      <c r="Q426" s="125">
        <f t="shared" si="2573"/>
        <v>8</v>
      </c>
      <c r="R426" s="125">
        <f t="shared" si="2573"/>
        <v>8</v>
      </c>
      <c r="S426" s="125">
        <f t="shared" si="2573"/>
        <v>2</v>
      </c>
      <c r="T426" s="125">
        <f t="shared" si="2573"/>
        <v>0</v>
      </c>
      <c r="U426" s="103">
        <f t="shared" ref="U426:U427" si="2580">RANDBETWEEN(10,30)</f>
        <v>23</v>
      </c>
      <c r="V426" s="131">
        <f t="shared" si="2563"/>
        <v>2</v>
      </c>
      <c r="W426" s="125">
        <f t="shared" ref="W426:Y426" si="2574">RANDBETWEEN(0,2)</f>
        <v>0</v>
      </c>
      <c r="X426" s="125">
        <f t="shared" si="2574"/>
        <v>0</v>
      </c>
      <c r="Y426" s="125">
        <f t="shared" si="2574"/>
        <v>2</v>
      </c>
      <c r="Z426" s="132">
        <f t="shared" ref="Z426:Z429" si="2582">SUM(AA426:AB426)</f>
        <v>0</v>
      </c>
      <c r="AA426" s="133">
        <f t="shared" ref="AA426:AF426" si="2575">RANDBETWEEN(0,2)</f>
        <v>0</v>
      </c>
      <c r="AB426" s="133">
        <f t="shared" si="2575"/>
        <v>0</v>
      </c>
      <c r="AC426" s="134">
        <f t="shared" si="2575"/>
        <v>2</v>
      </c>
      <c r="AD426" s="134">
        <f t="shared" si="2575"/>
        <v>1</v>
      </c>
      <c r="AE426" s="134">
        <f t="shared" si="2575"/>
        <v>0</v>
      </c>
      <c r="AF426" s="134">
        <f t="shared" si="2575"/>
        <v>0</v>
      </c>
      <c r="AG426" s="135">
        <f t="shared" si="2567"/>
        <v>3</v>
      </c>
      <c r="AH426" s="136">
        <f t="shared" ref="AH426:AJ426" si="2576">RANDBETWEEN(1,10)</f>
        <v>6</v>
      </c>
      <c r="AI426" s="134">
        <f t="shared" si="2576"/>
        <v>8</v>
      </c>
      <c r="AJ426" s="134">
        <f t="shared" si="2576"/>
        <v>4</v>
      </c>
      <c r="AK426" s="137">
        <f t="shared" si="2569"/>
        <v>18</v>
      </c>
      <c r="AL426" s="134"/>
      <c r="AM426" s="134"/>
      <c r="AN426" s="134"/>
      <c r="AO426" s="134"/>
      <c r="AP426" s="111"/>
      <c r="AQ426" s="136"/>
      <c r="AR426" s="134"/>
      <c r="AS426" s="134"/>
      <c r="AT426" s="120"/>
      <c r="AU426" s="136"/>
      <c r="AV426" s="134"/>
      <c r="AW426" s="134"/>
      <c r="AX426" s="121"/>
      <c r="AY426" s="92">
        <f t="shared" ref="AY426:AZ426" si="2577">RANDBETWEEN(1,10)/10</f>
        <v>0.8</v>
      </c>
      <c r="AZ426" s="92">
        <f t="shared" si="2577"/>
        <v>0.8</v>
      </c>
      <c r="BA426" s="93">
        <v>0.0</v>
      </c>
      <c r="BB426" s="93">
        <v>0.0</v>
      </c>
      <c r="BC426" s="94">
        <f>SUM(BC398,'ГОЧ'!$AY426)</f>
        <v>1207.1</v>
      </c>
      <c r="BD426" s="94">
        <f>SUM(BD398,'ГОЧ'!$AZ426)</f>
        <v>1206.8</v>
      </c>
      <c r="BE426" s="108"/>
      <c r="BF426" s="108"/>
    </row>
    <row r="427" ht="15.75" customHeight="1">
      <c r="A427" s="67">
        <f t="shared" si="2557"/>
        <v>46269</v>
      </c>
      <c r="B427" s="138" t="s">
        <v>16</v>
      </c>
      <c r="C427" s="139">
        <f t="shared" si="2558"/>
        <v>2</v>
      </c>
      <c r="D427" s="97">
        <f t="shared" ref="D427:L427" si="2578">RANDBETWEEN(0,2)</f>
        <v>2</v>
      </c>
      <c r="E427" s="97">
        <f t="shared" si="2578"/>
        <v>1</v>
      </c>
      <c r="F427" s="97">
        <f t="shared" si="2578"/>
        <v>0</v>
      </c>
      <c r="G427" s="97">
        <f t="shared" si="2578"/>
        <v>2</v>
      </c>
      <c r="H427" s="98">
        <f t="shared" si="2578"/>
        <v>2</v>
      </c>
      <c r="I427" s="99">
        <f t="shared" si="2578"/>
        <v>1</v>
      </c>
      <c r="J427" s="100">
        <f t="shared" si="2578"/>
        <v>1</v>
      </c>
      <c r="K427" s="101">
        <f t="shared" si="2578"/>
        <v>1</v>
      </c>
      <c r="L427" s="101">
        <f t="shared" si="2578"/>
        <v>1</v>
      </c>
      <c r="M427" s="140">
        <f t="shared" si="2560"/>
        <v>23</v>
      </c>
      <c r="N427" s="97">
        <f t="shared" ref="N427:T427" si="2579">RANDBETWEEN(0,10)</f>
        <v>1</v>
      </c>
      <c r="O427" s="97">
        <f t="shared" si="2579"/>
        <v>3</v>
      </c>
      <c r="P427" s="97">
        <f t="shared" si="2579"/>
        <v>1</v>
      </c>
      <c r="Q427" s="97">
        <f t="shared" si="2579"/>
        <v>8</v>
      </c>
      <c r="R427" s="97">
        <f t="shared" si="2579"/>
        <v>3</v>
      </c>
      <c r="S427" s="97">
        <f t="shared" si="2579"/>
        <v>4</v>
      </c>
      <c r="T427" s="97">
        <f t="shared" si="2579"/>
        <v>3</v>
      </c>
      <c r="U427" s="103">
        <f t="shared" si="2580"/>
        <v>11</v>
      </c>
      <c r="V427" s="141">
        <f t="shared" si="2563"/>
        <v>2</v>
      </c>
      <c r="W427" s="97">
        <f t="shared" ref="W427:Y427" si="2581">RANDBETWEEN(0,2)</f>
        <v>1</v>
      </c>
      <c r="X427" s="97">
        <f t="shared" si="2581"/>
        <v>0</v>
      </c>
      <c r="Y427" s="97">
        <f t="shared" si="2581"/>
        <v>1</v>
      </c>
      <c r="Z427" s="142">
        <f t="shared" si="2582"/>
        <v>1</v>
      </c>
      <c r="AA427" s="143">
        <f t="shared" ref="AA427:AF427" si="2583">RANDBETWEEN(0,2)</f>
        <v>1</v>
      </c>
      <c r="AB427" s="143">
        <f t="shared" si="2583"/>
        <v>0</v>
      </c>
      <c r="AC427" s="144">
        <f t="shared" si="2583"/>
        <v>2</v>
      </c>
      <c r="AD427" s="145">
        <f t="shared" si="2583"/>
        <v>2</v>
      </c>
      <c r="AE427" s="145">
        <f t="shared" si="2583"/>
        <v>0</v>
      </c>
      <c r="AF427" s="145">
        <f t="shared" si="2583"/>
        <v>1</v>
      </c>
      <c r="AG427" s="146">
        <f t="shared" si="2567"/>
        <v>5</v>
      </c>
      <c r="AH427" s="144">
        <f t="shared" ref="AH427:AJ427" si="2584">RANDBETWEEN(1,10)</f>
        <v>7</v>
      </c>
      <c r="AI427" s="145">
        <f t="shared" si="2584"/>
        <v>7</v>
      </c>
      <c r="AJ427" s="145">
        <f t="shared" si="2584"/>
        <v>6</v>
      </c>
      <c r="AK427" s="147">
        <f t="shared" si="2569"/>
        <v>20</v>
      </c>
      <c r="AL427" s="144"/>
      <c r="AM427" s="145"/>
      <c r="AN427" s="145"/>
      <c r="AO427" s="145"/>
      <c r="AP427" s="148"/>
      <c r="AQ427" s="144"/>
      <c r="AR427" s="145"/>
      <c r="AS427" s="145"/>
      <c r="AT427" s="149"/>
      <c r="AU427" s="144"/>
      <c r="AV427" s="145"/>
      <c r="AW427" s="145"/>
      <c r="AX427" s="150"/>
      <c r="AY427" s="92">
        <f t="shared" ref="AY427:AZ427" si="2585">RANDBETWEEN(1,10)/10</f>
        <v>0.2</v>
      </c>
      <c r="AZ427" s="92">
        <f t="shared" si="2585"/>
        <v>0.5</v>
      </c>
      <c r="BA427" s="93">
        <v>0.0</v>
      </c>
      <c r="BB427" s="93">
        <v>0.0</v>
      </c>
      <c r="BC427" s="94">
        <f>SUM(BC399,'ГОЧ'!$AY427)</f>
        <v>1207.6</v>
      </c>
      <c r="BD427" s="94">
        <f>SUM(BD399,'ГОЧ'!$AZ427)</f>
        <v>1208.9</v>
      </c>
      <c r="BE427" s="108"/>
      <c r="BF427" s="108"/>
    </row>
    <row r="428" ht="15.75" customHeight="1">
      <c r="A428" s="67">
        <f t="shared" si="2557"/>
        <v>46269</v>
      </c>
      <c r="B428" s="114" t="s">
        <v>18</v>
      </c>
      <c r="C428" s="115">
        <f t="shared" si="2558"/>
        <v>5</v>
      </c>
      <c r="D428" s="115">
        <f t="shared" ref="D428:L428" si="2586">SUM(D426:D427)</f>
        <v>3</v>
      </c>
      <c r="E428" s="116">
        <f t="shared" si="2586"/>
        <v>3</v>
      </c>
      <c r="F428" s="116">
        <f t="shared" si="2586"/>
        <v>2</v>
      </c>
      <c r="G428" s="116">
        <f t="shared" si="2586"/>
        <v>4</v>
      </c>
      <c r="H428" s="115">
        <f t="shared" si="2586"/>
        <v>2</v>
      </c>
      <c r="I428" s="116">
        <f t="shared" si="2586"/>
        <v>1</v>
      </c>
      <c r="J428" s="115">
        <f t="shared" si="2586"/>
        <v>2</v>
      </c>
      <c r="K428" s="116">
        <f t="shared" si="2586"/>
        <v>3</v>
      </c>
      <c r="L428" s="116">
        <f t="shared" si="2586"/>
        <v>2</v>
      </c>
      <c r="M428" s="115">
        <f t="shared" si="2560"/>
        <v>37</v>
      </c>
      <c r="N428" s="115">
        <f t="shared" ref="N428:Q428" si="2587">SUM(N426:N427)</f>
        <v>1</v>
      </c>
      <c r="O428" s="116">
        <f t="shared" si="2587"/>
        <v>6</v>
      </c>
      <c r="P428" s="116">
        <f t="shared" si="2587"/>
        <v>5</v>
      </c>
      <c r="Q428" s="116">
        <f t="shared" si="2587"/>
        <v>16</v>
      </c>
      <c r="R428" s="116">
        <v>0.0</v>
      </c>
      <c r="S428" s="116">
        <f t="shared" ref="S428:U428" si="2588">SUM(S426:S427)</f>
        <v>6</v>
      </c>
      <c r="T428" s="116">
        <f t="shared" si="2588"/>
        <v>3</v>
      </c>
      <c r="U428" s="115">
        <f t="shared" si="2588"/>
        <v>34</v>
      </c>
      <c r="V428" s="115">
        <f t="shared" si="2563"/>
        <v>4</v>
      </c>
      <c r="W428" s="116">
        <f t="shared" ref="W428:Y428" si="2589">SUM(W426:W427)</f>
        <v>1</v>
      </c>
      <c r="X428" s="116">
        <f t="shared" si="2589"/>
        <v>0</v>
      </c>
      <c r="Y428" s="116">
        <f t="shared" si="2589"/>
        <v>3</v>
      </c>
      <c r="Z428" s="116">
        <f t="shared" si="2582"/>
        <v>1</v>
      </c>
      <c r="AA428" s="116">
        <f t="shared" ref="AA428:AF428" si="2590">SUM(AA426:AA427)</f>
        <v>1</v>
      </c>
      <c r="AB428" s="116">
        <f t="shared" si="2590"/>
        <v>0</v>
      </c>
      <c r="AC428" s="118">
        <f t="shared" si="2590"/>
        <v>4</v>
      </c>
      <c r="AD428" s="118">
        <f t="shared" si="2590"/>
        <v>3</v>
      </c>
      <c r="AE428" s="118">
        <f t="shared" si="2590"/>
        <v>0</v>
      </c>
      <c r="AF428" s="118">
        <f t="shared" si="2590"/>
        <v>1</v>
      </c>
      <c r="AG428" s="117">
        <f t="shared" si="2567"/>
        <v>8</v>
      </c>
      <c r="AH428" s="117">
        <f t="shared" ref="AH428:AJ428" si="2591">SUM(AH426:AH427)</f>
        <v>13</v>
      </c>
      <c r="AI428" s="118">
        <f t="shared" si="2591"/>
        <v>15</v>
      </c>
      <c r="AJ428" s="118">
        <f t="shared" si="2591"/>
        <v>10</v>
      </c>
      <c r="AK428" s="117">
        <f t="shared" si="2569"/>
        <v>38</v>
      </c>
      <c r="AL428" s="118"/>
      <c r="AM428" s="118"/>
      <c r="AN428" s="118"/>
      <c r="AO428" s="118"/>
      <c r="AP428" s="151"/>
      <c r="AQ428" s="117"/>
      <c r="AR428" s="118"/>
      <c r="AS428" s="118"/>
      <c r="AT428" s="152"/>
      <c r="AU428" s="117"/>
      <c r="AV428" s="118"/>
      <c r="AW428" s="118"/>
      <c r="AX428" s="153"/>
      <c r="AY428" s="122">
        <f t="shared" ref="AY428:BD428" si="2592">SUM(AY426:AY427)</f>
        <v>1</v>
      </c>
      <c r="AZ428" s="122">
        <f t="shared" si="2592"/>
        <v>1.3</v>
      </c>
      <c r="BA428" s="118">
        <f t="shared" si="2592"/>
        <v>0</v>
      </c>
      <c r="BB428" s="118">
        <f t="shared" si="2592"/>
        <v>0</v>
      </c>
      <c r="BC428" s="123">
        <f t="shared" si="2592"/>
        <v>2414.7</v>
      </c>
      <c r="BD428" s="123">
        <f t="shared" si="2592"/>
        <v>2415.7</v>
      </c>
      <c r="BE428" s="154" t="str">
        <f t="shared" ref="BE428:BF428" si="2593">TEXTJOIN(", ",TRUE,BE426:BE427)</f>
        <v/>
      </c>
      <c r="BF428" s="154" t="str">
        <f t="shared" si="2593"/>
        <v/>
      </c>
    </row>
    <row r="429" ht="15.75" customHeight="1">
      <c r="A429" s="67">
        <f t="shared" si="2557"/>
        <v>46269</v>
      </c>
      <c r="B429" s="114" t="s">
        <v>20</v>
      </c>
      <c r="C429" s="115">
        <f t="shared" si="2558"/>
        <v>5</v>
      </c>
      <c r="D429" s="115">
        <v>3.0</v>
      </c>
      <c r="E429" s="116">
        <v>0.0</v>
      </c>
      <c r="F429" s="116">
        <v>2.0</v>
      </c>
      <c r="G429" s="116">
        <v>2.0</v>
      </c>
      <c r="H429" s="115">
        <v>0.0</v>
      </c>
      <c r="I429" s="116">
        <v>0.0</v>
      </c>
      <c r="J429" s="115">
        <v>1.0</v>
      </c>
      <c r="K429" s="116">
        <v>1.0</v>
      </c>
      <c r="L429" s="116">
        <v>0.0</v>
      </c>
      <c r="M429" s="115">
        <f t="shared" si="2560"/>
        <v>38</v>
      </c>
      <c r="N429" s="115">
        <v>0.0</v>
      </c>
      <c r="O429" s="116">
        <v>0.0</v>
      </c>
      <c r="P429" s="116">
        <v>0.0</v>
      </c>
      <c r="Q429" s="116">
        <v>9.0</v>
      </c>
      <c r="R429" s="116">
        <v>0.0</v>
      </c>
      <c r="S429" s="116">
        <v>0.0</v>
      </c>
      <c r="T429" s="116">
        <v>29.0</v>
      </c>
      <c r="U429" s="115">
        <v>7.0</v>
      </c>
      <c r="V429" s="115">
        <f t="shared" ref="V429:V448" si="2597">W429+X429+Y429</f>
        <v>0</v>
      </c>
      <c r="W429" s="116">
        <v>0.0</v>
      </c>
      <c r="X429" s="116">
        <v>0.0</v>
      </c>
      <c r="Y429" s="116">
        <v>0.0</v>
      </c>
      <c r="Z429" s="116">
        <f t="shared" si="2582"/>
        <v>0</v>
      </c>
      <c r="AA429" s="116">
        <v>0.0</v>
      </c>
      <c r="AB429" s="116">
        <v>0.0</v>
      </c>
      <c r="AC429" s="117">
        <v>0.0</v>
      </c>
      <c r="AD429" s="118">
        <v>1.0</v>
      </c>
      <c r="AE429" s="118">
        <v>0.0</v>
      </c>
      <c r="AF429" s="118">
        <v>0.0</v>
      </c>
      <c r="AG429" s="119">
        <f t="shared" si="2567"/>
        <v>1</v>
      </c>
      <c r="AH429" s="117">
        <v>6.0</v>
      </c>
      <c r="AI429" s="118">
        <v>5.0</v>
      </c>
      <c r="AJ429" s="118">
        <v>0.0</v>
      </c>
      <c r="AK429" s="119">
        <f t="shared" si="2569"/>
        <v>11</v>
      </c>
      <c r="AL429" s="117"/>
      <c r="AM429" s="118"/>
      <c r="AN429" s="118"/>
      <c r="AO429" s="118"/>
      <c r="AP429" s="111"/>
      <c r="AQ429" s="117"/>
      <c r="AR429" s="118"/>
      <c r="AS429" s="118"/>
      <c r="AT429" s="120"/>
      <c r="AU429" s="117"/>
      <c r="AV429" s="118"/>
      <c r="AW429" s="118"/>
      <c r="AX429" s="121"/>
      <c r="AY429" s="122">
        <f t="shared" ref="AY429:AZ429" si="2594">RANDBETWEEN(1,10)</f>
        <v>1</v>
      </c>
      <c r="AZ429" s="122">
        <f t="shared" si="2594"/>
        <v>2</v>
      </c>
      <c r="BA429" s="118">
        <v>2.0</v>
      </c>
      <c r="BB429" s="118">
        <v>0.0</v>
      </c>
      <c r="BC429" s="123">
        <v>1.0</v>
      </c>
      <c r="BD429" s="123">
        <v>2.0</v>
      </c>
      <c r="BE429" s="118" t="s">
        <v>157</v>
      </c>
      <c r="BF429" s="118"/>
    </row>
    <row r="430" ht="15.75" customHeight="1">
      <c r="A430" s="67">
        <f t="shared" si="2557"/>
        <v>46269</v>
      </c>
      <c r="B430" s="124" t="s">
        <v>21</v>
      </c>
      <c r="C430" s="155">
        <f t="shared" si="2558"/>
        <v>2</v>
      </c>
      <c r="D430" s="125">
        <f t="shared" ref="D430:L430" si="2595">RANDBETWEEN(0,2)</f>
        <v>1</v>
      </c>
      <c r="E430" s="125">
        <f t="shared" si="2595"/>
        <v>1</v>
      </c>
      <c r="F430" s="125">
        <f t="shared" si="2595"/>
        <v>1</v>
      </c>
      <c r="G430" s="125">
        <f t="shared" si="2595"/>
        <v>1</v>
      </c>
      <c r="H430" s="126">
        <f t="shared" si="2595"/>
        <v>2</v>
      </c>
      <c r="I430" s="127">
        <f t="shared" si="2595"/>
        <v>2</v>
      </c>
      <c r="J430" s="128">
        <f t="shared" si="2595"/>
        <v>0</v>
      </c>
      <c r="K430" s="130">
        <f t="shared" si="2595"/>
        <v>2</v>
      </c>
      <c r="L430" s="130">
        <f t="shared" si="2595"/>
        <v>2</v>
      </c>
      <c r="M430" s="102">
        <f t="shared" si="2560"/>
        <v>40</v>
      </c>
      <c r="N430" s="125">
        <f t="shared" ref="N430:T430" si="2596">RANDBETWEEN(0,10)</f>
        <v>2</v>
      </c>
      <c r="O430" s="125">
        <f t="shared" si="2596"/>
        <v>0</v>
      </c>
      <c r="P430" s="125">
        <f t="shared" si="2596"/>
        <v>10</v>
      </c>
      <c r="Q430" s="125">
        <f t="shared" si="2596"/>
        <v>10</v>
      </c>
      <c r="R430" s="125">
        <f t="shared" si="2596"/>
        <v>7</v>
      </c>
      <c r="S430" s="125">
        <f t="shared" si="2596"/>
        <v>2</v>
      </c>
      <c r="T430" s="125">
        <f t="shared" si="2596"/>
        <v>9</v>
      </c>
      <c r="U430" s="103">
        <f t="shared" ref="U430:U434" si="2604">RANDBETWEEN(10,30)</f>
        <v>30</v>
      </c>
      <c r="V430" s="104">
        <f t="shared" si="2597"/>
        <v>5</v>
      </c>
      <c r="W430" s="125">
        <f t="shared" ref="W430:Y430" si="2598">RANDBETWEEN(0,2)</f>
        <v>1</v>
      </c>
      <c r="X430" s="125">
        <f t="shared" si="2598"/>
        <v>2</v>
      </c>
      <c r="Y430" s="125">
        <f t="shared" si="2598"/>
        <v>2</v>
      </c>
      <c r="Z430" s="105">
        <f t="shared" ref="Z430:Z447" si="2606">AA430+AB430</f>
        <v>1</v>
      </c>
      <c r="AA430" s="133">
        <f t="shared" ref="AA430:AF430" si="2599">RANDBETWEEN(0,2)</f>
        <v>1</v>
      </c>
      <c r="AB430" s="133">
        <f t="shared" si="2599"/>
        <v>0</v>
      </c>
      <c r="AC430" s="136">
        <f t="shared" si="2599"/>
        <v>0</v>
      </c>
      <c r="AD430" s="134">
        <f t="shared" si="2599"/>
        <v>1</v>
      </c>
      <c r="AE430" s="134">
        <f t="shared" si="2599"/>
        <v>0</v>
      </c>
      <c r="AF430" s="134">
        <f t="shared" si="2599"/>
        <v>1</v>
      </c>
      <c r="AG430" s="156">
        <f t="shared" si="2567"/>
        <v>2</v>
      </c>
      <c r="AH430" s="136">
        <f t="shared" ref="AH430:AJ430" si="2600">RANDBETWEEN(1,10)</f>
        <v>2</v>
      </c>
      <c r="AI430" s="134">
        <f t="shared" si="2600"/>
        <v>10</v>
      </c>
      <c r="AJ430" s="134">
        <f t="shared" si="2600"/>
        <v>9</v>
      </c>
      <c r="AK430" s="137">
        <f t="shared" si="2569"/>
        <v>21</v>
      </c>
      <c r="AL430" s="136"/>
      <c r="AM430" s="134"/>
      <c r="AN430" s="134"/>
      <c r="AO430" s="134"/>
      <c r="AP430" s="111"/>
      <c r="AQ430" s="136"/>
      <c r="AR430" s="134"/>
      <c r="AS430" s="134"/>
      <c r="AT430" s="120"/>
      <c r="AU430" s="136"/>
      <c r="AV430" s="134"/>
      <c r="AW430" s="134"/>
      <c r="AX430" s="121"/>
      <c r="AY430" s="92">
        <f t="shared" ref="AY430:AZ430" si="2601">RANDBETWEEN(1,10)/10</f>
        <v>0.5</v>
      </c>
      <c r="AZ430" s="92">
        <f t="shared" si="2601"/>
        <v>0.8</v>
      </c>
      <c r="BA430" s="93">
        <v>1.0</v>
      </c>
      <c r="BB430" s="93">
        <v>0.0</v>
      </c>
      <c r="BC430" s="94">
        <f>SUM(BC402,'ГОЧ'!$AY430)</f>
        <v>1209.6</v>
      </c>
      <c r="BD430" s="94">
        <f>SUM(BD402,'ГОЧ'!$AZ430)</f>
        <v>1207.8</v>
      </c>
      <c r="BE430" s="108" t="s">
        <v>162</v>
      </c>
      <c r="BF430" s="108"/>
    </row>
    <row r="431" ht="15.75" customHeight="1">
      <c r="A431" s="67">
        <f t="shared" si="2557"/>
        <v>46269</v>
      </c>
      <c r="B431" s="138" t="s">
        <v>23</v>
      </c>
      <c r="C431" s="157">
        <f t="shared" si="2558"/>
        <v>3</v>
      </c>
      <c r="D431" s="97">
        <f t="shared" ref="D431:L431" si="2602">RANDBETWEEN(0,2)</f>
        <v>1</v>
      </c>
      <c r="E431" s="97">
        <f t="shared" si="2602"/>
        <v>1</v>
      </c>
      <c r="F431" s="97">
        <f t="shared" si="2602"/>
        <v>2</v>
      </c>
      <c r="G431" s="97">
        <f t="shared" si="2602"/>
        <v>2</v>
      </c>
      <c r="H431" s="98">
        <f t="shared" si="2602"/>
        <v>1</v>
      </c>
      <c r="I431" s="99">
        <f t="shared" si="2602"/>
        <v>1</v>
      </c>
      <c r="J431" s="100">
        <f t="shared" si="2602"/>
        <v>1</v>
      </c>
      <c r="K431" s="101">
        <f t="shared" si="2602"/>
        <v>1</v>
      </c>
      <c r="L431" s="101">
        <f t="shared" si="2602"/>
        <v>0</v>
      </c>
      <c r="M431" s="140">
        <f t="shared" si="2560"/>
        <v>27</v>
      </c>
      <c r="N431" s="97">
        <f t="shared" ref="N431:T431" si="2603">RANDBETWEEN(0,10)</f>
        <v>3</v>
      </c>
      <c r="O431" s="97">
        <f t="shared" si="2603"/>
        <v>5</v>
      </c>
      <c r="P431" s="97">
        <f t="shared" si="2603"/>
        <v>4</v>
      </c>
      <c r="Q431" s="97">
        <f t="shared" si="2603"/>
        <v>1</v>
      </c>
      <c r="R431" s="97">
        <f t="shared" si="2603"/>
        <v>1</v>
      </c>
      <c r="S431" s="97">
        <f t="shared" si="2603"/>
        <v>5</v>
      </c>
      <c r="T431" s="97">
        <f t="shared" si="2603"/>
        <v>8</v>
      </c>
      <c r="U431" s="103">
        <f t="shared" si="2604"/>
        <v>27</v>
      </c>
      <c r="V431" s="158">
        <f t="shared" si="2597"/>
        <v>5</v>
      </c>
      <c r="W431" s="97">
        <f t="shared" ref="W431:Y431" si="2605">RANDBETWEEN(0,2)</f>
        <v>2</v>
      </c>
      <c r="X431" s="97">
        <f t="shared" si="2605"/>
        <v>1</v>
      </c>
      <c r="Y431" s="97">
        <f t="shared" si="2605"/>
        <v>2</v>
      </c>
      <c r="Z431" s="159">
        <f t="shared" si="2606"/>
        <v>1</v>
      </c>
      <c r="AA431" s="143">
        <f t="shared" ref="AA431:AF431" si="2607">RANDBETWEEN(0,2)</f>
        <v>1</v>
      </c>
      <c r="AB431" s="143">
        <f t="shared" si="2607"/>
        <v>0</v>
      </c>
      <c r="AC431" s="144">
        <f t="shared" si="2607"/>
        <v>0</v>
      </c>
      <c r="AD431" s="145">
        <f t="shared" si="2607"/>
        <v>1</v>
      </c>
      <c r="AE431" s="145">
        <f t="shared" si="2607"/>
        <v>0</v>
      </c>
      <c r="AF431" s="145">
        <f t="shared" si="2607"/>
        <v>1</v>
      </c>
      <c r="AG431" s="160">
        <f t="shared" si="2567"/>
        <v>2</v>
      </c>
      <c r="AH431" s="144">
        <f t="shared" ref="AH431:AJ431" si="2608">RANDBETWEEN(1,10)</f>
        <v>4</v>
      </c>
      <c r="AI431" s="145">
        <f t="shared" si="2608"/>
        <v>7</v>
      </c>
      <c r="AJ431" s="145">
        <f t="shared" si="2608"/>
        <v>7</v>
      </c>
      <c r="AK431" s="147">
        <f t="shared" si="2569"/>
        <v>18</v>
      </c>
      <c r="AL431" s="144"/>
      <c r="AM431" s="145"/>
      <c r="AN431" s="145"/>
      <c r="AO431" s="145"/>
      <c r="AP431" s="148"/>
      <c r="AQ431" s="144"/>
      <c r="AR431" s="145"/>
      <c r="AS431" s="145"/>
      <c r="AT431" s="149"/>
      <c r="AU431" s="144"/>
      <c r="AV431" s="145"/>
      <c r="AW431" s="145"/>
      <c r="AX431" s="150"/>
      <c r="AY431" s="92">
        <f t="shared" ref="AY431:AZ431" si="2609">RANDBETWEEN(1,10)/10</f>
        <v>0.8</v>
      </c>
      <c r="AZ431" s="92">
        <f t="shared" si="2609"/>
        <v>0.6</v>
      </c>
      <c r="BA431" s="93">
        <v>1.0</v>
      </c>
      <c r="BB431" s="93">
        <v>2.0</v>
      </c>
      <c r="BC431" s="94">
        <f>SUM(BC403,'ГОЧ'!$AY431)</f>
        <v>1209.9</v>
      </c>
      <c r="BD431" s="94">
        <f>SUM(BD403,'ГОЧ'!$AZ431)</f>
        <v>1208.3</v>
      </c>
      <c r="BE431" s="108" t="s">
        <v>165</v>
      </c>
      <c r="BF431" s="108" t="s">
        <v>166</v>
      </c>
    </row>
    <row r="432" ht="15.75" customHeight="1">
      <c r="A432" s="67">
        <f t="shared" si="2557"/>
        <v>46269</v>
      </c>
      <c r="B432" s="138" t="s">
        <v>25</v>
      </c>
      <c r="C432" s="157">
        <f t="shared" si="2558"/>
        <v>3</v>
      </c>
      <c r="D432" s="97">
        <f t="shared" ref="D432:L432" si="2610">RANDBETWEEN(0,2)</f>
        <v>2</v>
      </c>
      <c r="E432" s="97">
        <f t="shared" si="2610"/>
        <v>1</v>
      </c>
      <c r="F432" s="97">
        <f t="shared" si="2610"/>
        <v>1</v>
      </c>
      <c r="G432" s="97">
        <f t="shared" si="2610"/>
        <v>1</v>
      </c>
      <c r="H432" s="98">
        <f t="shared" si="2610"/>
        <v>2</v>
      </c>
      <c r="I432" s="99">
        <f t="shared" si="2610"/>
        <v>1</v>
      </c>
      <c r="J432" s="100">
        <f t="shared" si="2610"/>
        <v>0</v>
      </c>
      <c r="K432" s="101">
        <f t="shared" si="2610"/>
        <v>0</v>
      </c>
      <c r="L432" s="101">
        <f t="shared" si="2610"/>
        <v>0</v>
      </c>
      <c r="M432" s="140">
        <f t="shared" si="2560"/>
        <v>51</v>
      </c>
      <c r="N432" s="97">
        <f t="shared" ref="N432:T432" si="2611">RANDBETWEEN(0,10)</f>
        <v>6</v>
      </c>
      <c r="O432" s="97">
        <f t="shared" si="2611"/>
        <v>4</v>
      </c>
      <c r="P432" s="97">
        <f t="shared" si="2611"/>
        <v>10</v>
      </c>
      <c r="Q432" s="97">
        <f t="shared" si="2611"/>
        <v>8</v>
      </c>
      <c r="R432" s="97">
        <f t="shared" si="2611"/>
        <v>3</v>
      </c>
      <c r="S432" s="97">
        <f t="shared" si="2611"/>
        <v>10</v>
      </c>
      <c r="T432" s="97">
        <f t="shared" si="2611"/>
        <v>10</v>
      </c>
      <c r="U432" s="103">
        <f t="shared" si="2604"/>
        <v>12</v>
      </c>
      <c r="V432" s="158">
        <f t="shared" si="2597"/>
        <v>2</v>
      </c>
      <c r="W432" s="97">
        <f t="shared" ref="W432:Y432" si="2612">RANDBETWEEN(0,2)</f>
        <v>1</v>
      </c>
      <c r="X432" s="97">
        <f t="shared" si="2612"/>
        <v>1</v>
      </c>
      <c r="Y432" s="97">
        <f t="shared" si="2612"/>
        <v>0</v>
      </c>
      <c r="Z432" s="159">
        <f t="shared" si="2606"/>
        <v>2</v>
      </c>
      <c r="AA432" s="106">
        <f t="shared" ref="AA432:AF432" si="2613">RANDBETWEEN(0,2)</f>
        <v>2</v>
      </c>
      <c r="AB432" s="106">
        <f t="shared" si="2613"/>
        <v>0</v>
      </c>
      <c r="AC432" s="107">
        <f t="shared" si="2613"/>
        <v>2</v>
      </c>
      <c r="AD432" s="108">
        <f t="shared" si="2613"/>
        <v>1</v>
      </c>
      <c r="AE432" s="108">
        <f t="shared" si="2613"/>
        <v>1</v>
      </c>
      <c r="AF432" s="108">
        <f t="shared" si="2613"/>
        <v>1</v>
      </c>
      <c r="AG432" s="160">
        <f t="shared" si="2567"/>
        <v>5</v>
      </c>
      <c r="AH432" s="107">
        <f t="shared" ref="AH432:AJ432" si="2614">RANDBETWEEN(1,10)</f>
        <v>3</v>
      </c>
      <c r="AI432" s="108">
        <f t="shared" si="2614"/>
        <v>2</v>
      </c>
      <c r="AJ432" s="108">
        <f t="shared" si="2614"/>
        <v>1</v>
      </c>
      <c r="AK432" s="147">
        <f t="shared" si="2569"/>
        <v>6</v>
      </c>
      <c r="AL432" s="107"/>
      <c r="AM432" s="108"/>
      <c r="AN432" s="108"/>
      <c r="AO432" s="108"/>
      <c r="AP432" s="148"/>
      <c r="AQ432" s="107"/>
      <c r="AR432" s="108"/>
      <c r="AS432" s="108"/>
      <c r="AT432" s="149"/>
      <c r="AU432" s="107"/>
      <c r="AV432" s="108"/>
      <c r="AW432" s="108"/>
      <c r="AX432" s="150"/>
      <c r="AY432" s="92">
        <f t="shared" ref="AY432:AZ432" si="2615">RANDBETWEEN(1,10)/10</f>
        <v>0.2</v>
      </c>
      <c r="AZ432" s="92">
        <f t="shared" si="2615"/>
        <v>0.3</v>
      </c>
      <c r="BA432" s="93">
        <v>0.0</v>
      </c>
      <c r="BB432" s="93">
        <v>0.0</v>
      </c>
      <c r="BC432" s="94">
        <f>SUM(BC404,'ГОЧ'!$AY432)</f>
        <v>1207.7</v>
      </c>
      <c r="BD432" s="94">
        <f>SUM(BD404,'ГОЧ'!$AZ432)</f>
        <v>1207.9</v>
      </c>
      <c r="BE432" s="108"/>
      <c r="BF432" s="108"/>
    </row>
    <row r="433" ht="15.75" customHeight="1">
      <c r="A433" s="67">
        <f t="shared" si="2557"/>
        <v>46269</v>
      </c>
      <c r="B433" s="138" t="s">
        <v>26</v>
      </c>
      <c r="C433" s="157">
        <f t="shared" si="2558"/>
        <v>0</v>
      </c>
      <c r="D433" s="97">
        <f t="shared" ref="D433:L433" si="2616">RANDBETWEEN(0,2)</f>
        <v>0</v>
      </c>
      <c r="E433" s="97">
        <f t="shared" si="2616"/>
        <v>2</v>
      </c>
      <c r="F433" s="97">
        <f t="shared" si="2616"/>
        <v>0</v>
      </c>
      <c r="G433" s="97">
        <f t="shared" si="2616"/>
        <v>0</v>
      </c>
      <c r="H433" s="98">
        <f t="shared" si="2616"/>
        <v>0</v>
      </c>
      <c r="I433" s="99">
        <f t="shared" si="2616"/>
        <v>0</v>
      </c>
      <c r="J433" s="100">
        <f t="shared" si="2616"/>
        <v>1</v>
      </c>
      <c r="K433" s="101">
        <f t="shared" si="2616"/>
        <v>1</v>
      </c>
      <c r="L433" s="101">
        <f t="shared" si="2616"/>
        <v>0</v>
      </c>
      <c r="M433" s="140">
        <f t="shared" si="2560"/>
        <v>57</v>
      </c>
      <c r="N433" s="97">
        <f t="shared" ref="N433:T433" si="2617">RANDBETWEEN(0,10)</f>
        <v>4</v>
      </c>
      <c r="O433" s="97">
        <f t="shared" si="2617"/>
        <v>9</v>
      </c>
      <c r="P433" s="97">
        <f t="shared" si="2617"/>
        <v>9</v>
      </c>
      <c r="Q433" s="97">
        <f t="shared" si="2617"/>
        <v>10</v>
      </c>
      <c r="R433" s="97">
        <f t="shared" si="2617"/>
        <v>8</v>
      </c>
      <c r="S433" s="97">
        <f t="shared" si="2617"/>
        <v>9</v>
      </c>
      <c r="T433" s="97">
        <f t="shared" si="2617"/>
        <v>8</v>
      </c>
      <c r="U433" s="103">
        <f t="shared" si="2604"/>
        <v>26</v>
      </c>
      <c r="V433" s="158">
        <f t="shared" si="2597"/>
        <v>3</v>
      </c>
      <c r="W433" s="97">
        <f t="shared" ref="W433:Y433" si="2618">RANDBETWEEN(0,2)</f>
        <v>1</v>
      </c>
      <c r="X433" s="97">
        <f t="shared" si="2618"/>
        <v>2</v>
      </c>
      <c r="Y433" s="97">
        <f t="shared" si="2618"/>
        <v>0</v>
      </c>
      <c r="Z433" s="159">
        <f t="shared" si="2606"/>
        <v>2</v>
      </c>
      <c r="AA433" s="143">
        <f t="shared" ref="AA433:AF433" si="2619">RANDBETWEEN(0,2)</f>
        <v>1</v>
      </c>
      <c r="AB433" s="143">
        <f t="shared" si="2619"/>
        <v>1</v>
      </c>
      <c r="AC433" s="144">
        <f t="shared" si="2619"/>
        <v>0</v>
      </c>
      <c r="AD433" s="145">
        <f t="shared" si="2619"/>
        <v>2</v>
      </c>
      <c r="AE433" s="145">
        <f t="shared" si="2619"/>
        <v>1</v>
      </c>
      <c r="AF433" s="145">
        <f t="shared" si="2619"/>
        <v>0</v>
      </c>
      <c r="AG433" s="160">
        <f t="shared" si="2567"/>
        <v>3</v>
      </c>
      <c r="AH433" s="144">
        <f t="shared" ref="AH433:AJ433" si="2620">RANDBETWEEN(1,10)</f>
        <v>1</v>
      </c>
      <c r="AI433" s="145">
        <f t="shared" si="2620"/>
        <v>8</v>
      </c>
      <c r="AJ433" s="145">
        <f t="shared" si="2620"/>
        <v>10</v>
      </c>
      <c r="AK433" s="147">
        <f t="shared" si="2569"/>
        <v>19</v>
      </c>
      <c r="AL433" s="144"/>
      <c r="AM433" s="145"/>
      <c r="AN433" s="145"/>
      <c r="AO433" s="145"/>
      <c r="AP433" s="148"/>
      <c r="AQ433" s="144"/>
      <c r="AR433" s="145"/>
      <c r="AS433" s="145"/>
      <c r="AT433" s="149"/>
      <c r="AU433" s="144"/>
      <c r="AV433" s="145"/>
      <c r="AW433" s="145"/>
      <c r="AX433" s="150"/>
      <c r="AY433" s="92">
        <f t="shared" ref="AY433:AZ433" si="2621">RANDBETWEEN(1,10)/10</f>
        <v>0.3</v>
      </c>
      <c r="AZ433" s="92">
        <f t="shared" si="2621"/>
        <v>0.6</v>
      </c>
      <c r="BA433" s="93">
        <v>1.0</v>
      </c>
      <c r="BB433" s="93">
        <v>0.0</v>
      </c>
      <c r="BC433" s="94">
        <f>SUM(BC405,'ГОЧ'!$AY433)</f>
        <v>1206.8</v>
      </c>
      <c r="BD433" s="94">
        <f>SUM(BD405,'ГОЧ'!$AZ433)</f>
        <v>1208.4</v>
      </c>
      <c r="BE433" s="108" t="s">
        <v>167</v>
      </c>
      <c r="BF433" s="108"/>
    </row>
    <row r="434" ht="15.75" customHeight="1">
      <c r="A434" s="67">
        <f t="shared" si="2557"/>
        <v>46269</v>
      </c>
      <c r="B434" s="138" t="s">
        <v>28</v>
      </c>
      <c r="C434" s="157">
        <f t="shared" si="2558"/>
        <v>4</v>
      </c>
      <c r="D434" s="97">
        <f t="shared" ref="D434:L434" si="2622">RANDBETWEEN(0,2)</f>
        <v>2</v>
      </c>
      <c r="E434" s="97">
        <f t="shared" si="2622"/>
        <v>1</v>
      </c>
      <c r="F434" s="97">
        <f t="shared" si="2622"/>
        <v>2</v>
      </c>
      <c r="G434" s="97">
        <f t="shared" si="2622"/>
        <v>0</v>
      </c>
      <c r="H434" s="98">
        <f t="shared" si="2622"/>
        <v>1</v>
      </c>
      <c r="I434" s="99">
        <f t="shared" si="2622"/>
        <v>2</v>
      </c>
      <c r="J434" s="100">
        <f t="shared" si="2622"/>
        <v>1</v>
      </c>
      <c r="K434" s="101">
        <f t="shared" si="2622"/>
        <v>2</v>
      </c>
      <c r="L434" s="101">
        <f t="shared" si="2622"/>
        <v>0</v>
      </c>
      <c r="M434" s="140">
        <f t="shared" si="2560"/>
        <v>44</v>
      </c>
      <c r="N434" s="97">
        <f t="shared" ref="N434:T434" si="2623">RANDBETWEEN(0,10)</f>
        <v>9</v>
      </c>
      <c r="O434" s="97">
        <f t="shared" si="2623"/>
        <v>9</v>
      </c>
      <c r="P434" s="97">
        <f t="shared" si="2623"/>
        <v>10</v>
      </c>
      <c r="Q434" s="97">
        <f t="shared" si="2623"/>
        <v>1</v>
      </c>
      <c r="R434" s="97">
        <f t="shared" si="2623"/>
        <v>3</v>
      </c>
      <c r="S434" s="97">
        <f t="shared" si="2623"/>
        <v>4</v>
      </c>
      <c r="T434" s="97">
        <f t="shared" si="2623"/>
        <v>8</v>
      </c>
      <c r="U434" s="103">
        <f t="shared" si="2604"/>
        <v>22</v>
      </c>
      <c r="V434" s="158">
        <f t="shared" si="2597"/>
        <v>2</v>
      </c>
      <c r="W434" s="97">
        <f t="shared" ref="W434:Y434" si="2624">RANDBETWEEN(0,2)</f>
        <v>0</v>
      </c>
      <c r="X434" s="97">
        <f t="shared" si="2624"/>
        <v>1</v>
      </c>
      <c r="Y434" s="97">
        <f t="shared" si="2624"/>
        <v>1</v>
      </c>
      <c r="Z434" s="159">
        <f t="shared" si="2606"/>
        <v>2</v>
      </c>
      <c r="AA434" s="106">
        <f t="shared" ref="AA434:AF434" si="2625">RANDBETWEEN(0,2)</f>
        <v>0</v>
      </c>
      <c r="AB434" s="106">
        <f t="shared" si="2625"/>
        <v>2</v>
      </c>
      <c r="AC434" s="107">
        <f t="shared" si="2625"/>
        <v>2</v>
      </c>
      <c r="AD434" s="108">
        <f t="shared" si="2625"/>
        <v>0</v>
      </c>
      <c r="AE434" s="108">
        <f t="shared" si="2625"/>
        <v>0</v>
      </c>
      <c r="AF434" s="108">
        <f t="shared" si="2625"/>
        <v>2</v>
      </c>
      <c r="AG434" s="160">
        <f t="shared" si="2567"/>
        <v>4</v>
      </c>
      <c r="AH434" s="107">
        <f t="shared" ref="AH434:AJ434" si="2626">RANDBETWEEN(1,10)</f>
        <v>8</v>
      </c>
      <c r="AI434" s="108">
        <f t="shared" si="2626"/>
        <v>4</v>
      </c>
      <c r="AJ434" s="108">
        <f t="shared" si="2626"/>
        <v>1</v>
      </c>
      <c r="AK434" s="147">
        <f t="shared" si="2569"/>
        <v>13</v>
      </c>
      <c r="AL434" s="107"/>
      <c r="AM434" s="108"/>
      <c r="AN434" s="108"/>
      <c r="AO434" s="108"/>
      <c r="AP434" s="148"/>
      <c r="AQ434" s="107"/>
      <c r="AR434" s="108"/>
      <c r="AS434" s="108"/>
      <c r="AT434" s="149"/>
      <c r="AU434" s="107"/>
      <c r="AV434" s="108"/>
      <c r="AW434" s="108"/>
      <c r="AX434" s="150"/>
      <c r="AY434" s="92">
        <f t="shared" ref="AY434:AZ434" si="2627">RANDBETWEEN(1,10)/10</f>
        <v>0.2</v>
      </c>
      <c r="AZ434" s="92">
        <f t="shared" si="2627"/>
        <v>0.5</v>
      </c>
      <c r="BA434" s="93">
        <v>0.0</v>
      </c>
      <c r="BB434" s="93">
        <v>1.0</v>
      </c>
      <c r="BC434" s="94">
        <f>SUM(BC406,'ГОЧ'!$AY434)</f>
        <v>1208.3</v>
      </c>
      <c r="BD434" s="94">
        <f>SUM(BD406,'ГОЧ'!$AZ434)</f>
        <v>1208.7</v>
      </c>
      <c r="BE434" s="108"/>
      <c r="BF434" s="108" t="s">
        <v>168</v>
      </c>
    </row>
    <row r="435" ht="15.75" customHeight="1">
      <c r="A435" s="67">
        <f t="shared" si="2557"/>
        <v>46269</v>
      </c>
      <c r="B435" s="114" t="s">
        <v>29</v>
      </c>
      <c r="C435" s="164">
        <f t="shared" si="2558"/>
        <v>12</v>
      </c>
      <c r="D435" s="165">
        <f t="shared" ref="D435:L435" si="2628">D430+D431+D432+D433+D434</f>
        <v>6</v>
      </c>
      <c r="E435" s="165">
        <f t="shared" si="2628"/>
        <v>6</v>
      </c>
      <c r="F435" s="165">
        <f t="shared" si="2628"/>
        <v>6</v>
      </c>
      <c r="G435" s="165">
        <f t="shared" si="2628"/>
        <v>4</v>
      </c>
      <c r="H435" s="164">
        <f t="shared" si="2628"/>
        <v>6</v>
      </c>
      <c r="I435" s="165">
        <f t="shared" si="2628"/>
        <v>6</v>
      </c>
      <c r="J435" s="164">
        <f t="shared" si="2628"/>
        <v>3</v>
      </c>
      <c r="K435" s="165">
        <f t="shared" si="2628"/>
        <v>6</v>
      </c>
      <c r="L435" s="165">
        <f t="shared" si="2628"/>
        <v>2</v>
      </c>
      <c r="M435" s="164">
        <f t="shared" si="2560"/>
        <v>219</v>
      </c>
      <c r="N435" s="164">
        <f t="shared" ref="N435:U435" si="2629">N430+N431+N432+N433+N434</f>
        <v>24</v>
      </c>
      <c r="O435" s="165">
        <f t="shared" si="2629"/>
        <v>27</v>
      </c>
      <c r="P435" s="165">
        <f t="shared" si="2629"/>
        <v>43</v>
      </c>
      <c r="Q435" s="165">
        <f t="shared" si="2629"/>
        <v>30</v>
      </c>
      <c r="R435" s="165">
        <f t="shared" si="2629"/>
        <v>22</v>
      </c>
      <c r="S435" s="165">
        <f t="shared" si="2629"/>
        <v>30</v>
      </c>
      <c r="T435" s="165">
        <f t="shared" si="2629"/>
        <v>43</v>
      </c>
      <c r="U435" s="164">
        <f t="shared" si="2629"/>
        <v>117</v>
      </c>
      <c r="V435" s="164">
        <f t="shared" si="2597"/>
        <v>17</v>
      </c>
      <c r="W435" s="165">
        <f t="shared" ref="W435:Y435" si="2630">W430+W431+W432+W433+W434</f>
        <v>5</v>
      </c>
      <c r="X435" s="165">
        <f t="shared" si="2630"/>
        <v>7</v>
      </c>
      <c r="Y435" s="165">
        <f t="shared" si="2630"/>
        <v>5</v>
      </c>
      <c r="Z435" s="165">
        <f t="shared" si="2606"/>
        <v>8</v>
      </c>
      <c r="AA435" s="165">
        <f t="shared" ref="AA435:AC435" si="2631">AA430+AA431+AA432+AA433+AA434</f>
        <v>5</v>
      </c>
      <c r="AB435" s="165">
        <f t="shared" si="2631"/>
        <v>3</v>
      </c>
      <c r="AC435" s="166">
        <f t="shared" si="2631"/>
        <v>4</v>
      </c>
      <c r="AD435" s="167">
        <f>AE430+AD431+AD432+AD433+AD434</f>
        <v>4</v>
      </c>
      <c r="AE435" s="167">
        <f t="shared" ref="AE435:AF435" si="2632">AE430+AE431+AE432+AE433+AE434</f>
        <v>2</v>
      </c>
      <c r="AF435" s="167">
        <f t="shared" si="2632"/>
        <v>5</v>
      </c>
      <c r="AG435" s="168">
        <f t="shared" si="2567"/>
        <v>15</v>
      </c>
      <c r="AH435" s="166">
        <f t="shared" ref="AH435:AJ435" si="2633">AH430+AH431+AH432+AH433+AH434</f>
        <v>18</v>
      </c>
      <c r="AI435" s="166">
        <f t="shared" si="2633"/>
        <v>31</v>
      </c>
      <c r="AJ435" s="166">
        <f t="shared" si="2633"/>
        <v>28</v>
      </c>
      <c r="AK435" s="168">
        <f t="shared" si="2569"/>
        <v>77</v>
      </c>
      <c r="AL435" s="166"/>
      <c r="AM435" s="167"/>
      <c r="AN435" s="167"/>
      <c r="AO435" s="167"/>
      <c r="AP435" s="169"/>
      <c r="AQ435" s="166"/>
      <c r="AR435" s="166"/>
      <c r="AS435" s="166"/>
      <c r="AT435" s="170"/>
      <c r="AU435" s="166"/>
      <c r="AV435" s="166"/>
      <c r="AW435" s="166"/>
      <c r="AX435" s="171"/>
      <c r="AY435" s="172">
        <f t="shared" ref="AY435:BD435" si="2634">AY430+AY431+AY432+AY433+AY434</f>
        <v>2</v>
      </c>
      <c r="AZ435" s="172">
        <f t="shared" si="2634"/>
        <v>2.8</v>
      </c>
      <c r="BA435" s="166">
        <f t="shared" si="2634"/>
        <v>3</v>
      </c>
      <c r="BB435" s="166">
        <f t="shared" si="2634"/>
        <v>3</v>
      </c>
      <c r="BC435" s="173">
        <f t="shared" si="2634"/>
        <v>6042.3</v>
      </c>
      <c r="BD435" s="173">
        <f t="shared" si="2634"/>
        <v>6041.1</v>
      </c>
      <c r="BE435" s="154" t="str">
        <f t="shared" ref="BE435:BF435" si="2635">TEXTJOIN(", ",TRUE,BE430:BE434)</f>
        <v>Олександівка, Пантелеймонівка, Миколаївка</v>
      </c>
      <c r="BF435" s="154" t="str">
        <f t="shared" si="2635"/>
        <v>Загреблі, Верхні води, Ступочки</v>
      </c>
    </row>
    <row r="436" ht="15.75" customHeight="1">
      <c r="A436" s="67">
        <f t="shared" si="2557"/>
        <v>46269</v>
      </c>
      <c r="B436" s="124" t="s">
        <v>31</v>
      </c>
      <c r="C436" s="174">
        <f t="shared" si="2558"/>
        <v>2</v>
      </c>
      <c r="D436" s="175">
        <f t="shared" ref="D436:L436" si="2636">RANDBETWEEN(0,2)</f>
        <v>1</v>
      </c>
      <c r="E436" s="175">
        <f t="shared" si="2636"/>
        <v>2</v>
      </c>
      <c r="F436" s="175">
        <f t="shared" si="2636"/>
        <v>1</v>
      </c>
      <c r="G436" s="175">
        <f t="shared" si="2636"/>
        <v>1</v>
      </c>
      <c r="H436" s="176">
        <f t="shared" si="2636"/>
        <v>0</v>
      </c>
      <c r="I436" s="177">
        <f t="shared" si="2636"/>
        <v>1</v>
      </c>
      <c r="J436" s="178">
        <f t="shared" si="2636"/>
        <v>1</v>
      </c>
      <c r="K436" s="179">
        <f t="shared" si="2636"/>
        <v>0</v>
      </c>
      <c r="L436" s="179">
        <f t="shared" si="2636"/>
        <v>0</v>
      </c>
      <c r="M436" s="180">
        <f t="shared" si="2560"/>
        <v>25</v>
      </c>
      <c r="N436" s="175">
        <f t="shared" ref="N436:T436" si="2637">RANDBETWEEN(0,10)</f>
        <v>1</v>
      </c>
      <c r="O436" s="175">
        <f t="shared" si="2637"/>
        <v>1</v>
      </c>
      <c r="P436" s="175">
        <f t="shared" si="2637"/>
        <v>1</v>
      </c>
      <c r="Q436" s="175">
        <f t="shared" si="2637"/>
        <v>3</v>
      </c>
      <c r="R436" s="175">
        <f t="shared" si="2637"/>
        <v>10</v>
      </c>
      <c r="S436" s="175">
        <f t="shared" si="2637"/>
        <v>1</v>
      </c>
      <c r="T436" s="175">
        <f t="shared" si="2637"/>
        <v>8</v>
      </c>
      <c r="U436" s="181">
        <f t="shared" ref="U436:U441" si="2644">RANDBETWEEN(10,30)</f>
        <v>10</v>
      </c>
      <c r="V436" s="182">
        <f t="shared" si="2597"/>
        <v>1</v>
      </c>
      <c r="W436" s="175">
        <f t="shared" ref="W436:Y436" si="2638">RANDBETWEEN(0,2)</f>
        <v>0</v>
      </c>
      <c r="X436" s="175">
        <f t="shared" si="2638"/>
        <v>0</v>
      </c>
      <c r="Y436" s="175">
        <f t="shared" si="2638"/>
        <v>1</v>
      </c>
      <c r="Z436" s="183">
        <f t="shared" si="2606"/>
        <v>3</v>
      </c>
      <c r="AA436" s="184">
        <f t="shared" ref="AA436:AF436" si="2639">RANDBETWEEN(0,2)</f>
        <v>2</v>
      </c>
      <c r="AB436" s="184">
        <f t="shared" si="2639"/>
        <v>1</v>
      </c>
      <c r="AC436" s="185">
        <f t="shared" si="2639"/>
        <v>1</v>
      </c>
      <c r="AD436" s="186">
        <f t="shared" si="2639"/>
        <v>1</v>
      </c>
      <c r="AE436" s="186">
        <f t="shared" si="2639"/>
        <v>2</v>
      </c>
      <c r="AF436" s="186">
        <f t="shared" si="2639"/>
        <v>1</v>
      </c>
      <c r="AG436" s="187">
        <f t="shared" si="2567"/>
        <v>5</v>
      </c>
      <c r="AH436" s="185">
        <f t="shared" ref="AH436:AJ436" si="2640">RANDBETWEEN(1,10)</f>
        <v>9</v>
      </c>
      <c r="AI436" s="186">
        <f t="shared" si="2640"/>
        <v>1</v>
      </c>
      <c r="AJ436" s="186">
        <f t="shared" si="2640"/>
        <v>2</v>
      </c>
      <c r="AK436" s="188">
        <f t="shared" si="2569"/>
        <v>12</v>
      </c>
      <c r="AL436" s="185"/>
      <c r="AM436" s="186"/>
      <c r="AN436" s="186"/>
      <c r="AO436" s="186"/>
      <c r="AP436" s="189"/>
      <c r="AQ436" s="185"/>
      <c r="AR436" s="186"/>
      <c r="AS436" s="186"/>
      <c r="AT436" s="190"/>
      <c r="AU436" s="185"/>
      <c r="AV436" s="186"/>
      <c r="AW436" s="186"/>
      <c r="AX436" s="191"/>
      <c r="AY436" s="92">
        <f t="shared" ref="AY436:AZ436" si="2641">RANDBETWEEN(1,10)/10</f>
        <v>0.2</v>
      </c>
      <c r="AZ436" s="92">
        <f t="shared" si="2641"/>
        <v>0.1</v>
      </c>
      <c r="BA436" s="93">
        <v>0.0</v>
      </c>
      <c r="BB436" s="93">
        <v>0.0</v>
      </c>
      <c r="BC436" s="94">
        <f>SUM(BC408,'ГОЧ'!$AY436)</f>
        <v>1208</v>
      </c>
      <c r="BD436" s="94">
        <f>SUM(BD408,'ГОЧ'!$AZ436)</f>
        <v>1208.4</v>
      </c>
      <c r="BE436" s="186"/>
      <c r="BF436" s="186"/>
    </row>
    <row r="437" ht="15.75" customHeight="1">
      <c r="A437" s="67">
        <f t="shared" si="2557"/>
        <v>46269</v>
      </c>
      <c r="B437" s="138" t="s">
        <v>33</v>
      </c>
      <c r="C437" s="157">
        <f t="shared" si="2558"/>
        <v>1</v>
      </c>
      <c r="D437" s="97">
        <f t="shared" ref="D437:L437" si="2642">RANDBETWEEN(0,2)</f>
        <v>1</v>
      </c>
      <c r="E437" s="97">
        <f t="shared" si="2642"/>
        <v>0</v>
      </c>
      <c r="F437" s="97">
        <f t="shared" si="2642"/>
        <v>0</v>
      </c>
      <c r="G437" s="97">
        <f t="shared" si="2642"/>
        <v>1</v>
      </c>
      <c r="H437" s="98">
        <f t="shared" si="2642"/>
        <v>0</v>
      </c>
      <c r="I437" s="99">
        <f t="shared" si="2642"/>
        <v>1</v>
      </c>
      <c r="J437" s="100">
        <f t="shared" si="2642"/>
        <v>0</v>
      </c>
      <c r="K437" s="101">
        <f t="shared" si="2642"/>
        <v>1</v>
      </c>
      <c r="L437" s="101">
        <f t="shared" si="2642"/>
        <v>2</v>
      </c>
      <c r="M437" s="140">
        <f t="shared" si="2560"/>
        <v>28</v>
      </c>
      <c r="N437" s="97">
        <f t="shared" ref="N437:T437" si="2643">RANDBETWEEN(0,10)</f>
        <v>3</v>
      </c>
      <c r="O437" s="97">
        <f t="shared" si="2643"/>
        <v>7</v>
      </c>
      <c r="P437" s="97">
        <f t="shared" si="2643"/>
        <v>4</v>
      </c>
      <c r="Q437" s="97">
        <f t="shared" si="2643"/>
        <v>1</v>
      </c>
      <c r="R437" s="97">
        <f t="shared" si="2643"/>
        <v>3</v>
      </c>
      <c r="S437" s="97">
        <f t="shared" si="2643"/>
        <v>7</v>
      </c>
      <c r="T437" s="97">
        <f t="shared" si="2643"/>
        <v>3</v>
      </c>
      <c r="U437" s="103">
        <f t="shared" si="2644"/>
        <v>20</v>
      </c>
      <c r="V437" s="158">
        <f t="shared" si="2597"/>
        <v>2</v>
      </c>
      <c r="W437" s="97">
        <f t="shared" ref="W437:Y437" si="2645">RANDBETWEEN(0,2)</f>
        <v>0</v>
      </c>
      <c r="X437" s="97">
        <f t="shared" si="2645"/>
        <v>1</v>
      </c>
      <c r="Y437" s="97">
        <f t="shared" si="2645"/>
        <v>1</v>
      </c>
      <c r="Z437" s="105">
        <f t="shared" si="2606"/>
        <v>2</v>
      </c>
      <c r="AA437" s="143">
        <f t="shared" ref="AA437:AF437" si="2646">RANDBETWEEN(0,2)</f>
        <v>0</v>
      </c>
      <c r="AB437" s="143">
        <f t="shared" si="2646"/>
        <v>2</v>
      </c>
      <c r="AC437" s="144">
        <f t="shared" si="2646"/>
        <v>0</v>
      </c>
      <c r="AD437" s="145">
        <f t="shared" si="2646"/>
        <v>2</v>
      </c>
      <c r="AE437" s="145">
        <f t="shared" si="2646"/>
        <v>2</v>
      </c>
      <c r="AF437" s="145">
        <f t="shared" si="2646"/>
        <v>0</v>
      </c>
      <c r="AG437" s="86">
        <f t="shared" si="2567"/>
        <v>4</v>
      </c>
      <c r="AH437" s="144">
        <f t="shared" ref="AH437:AJ437" si="2647">RANDBETWEEN(1,10)</f>
        <v>8</v>
      </c>
      <c r="AI437" s="145">
        <f t="shared" si="2647"/>
        <v>8</v>
      </c>
      <c r="AJ437" s="145">
        <f t="shared" si="2647"/>
        <v>3</v>
      </c>
      <c r="AK437" s="192">
        <f t="shared" si="2569"/>
        <v>19</v>
      </c>
      <c r="AL437" s="144"/>
      <c r="AM437" s="145"/>
      <c r="AN437" s="145"/>
      <c r="AO437" s="145"/>
      <c r="AP437" s="89"/>
      <c r="AQ437" s="144"/>
      <c r="AR437" s="145"/>
      <c r="AS437" s="145"/>
      <c r="AT437" s="193"/>
      <c r="AU437" s="144"/>
      <c r="AV437" s="145"/>
      <c r="AW437" s="145"/>
      <c r="AX437" s="194"/>
      <c r="AY437" s="92">
        <f t="shared" ref="AY437:AZ437" si="2648">RANDBETWEEN(1,10)/10</f>
        <v>0.5</v>
      </c>
      <c r="AZ437" s="92">
        <f t="shared" si="2648"/>
        <v>0.5</v>
      </c>
      <c r="BA437" s="93">
        <v>0.0</v>
      </c>
      <c r="BB437" s="93">
        <v>0.0</v>
      </c>
      <c r="BC437" s="94">
        <f>SUM(BC409,'ГОЧ'!$AY437)</f>
        <v>1207.6</v>
      </c>
      <c r="BD437" s="94">
        <f>SUM(BD409,'ГОЧ'!$AZ437)</f>
        <v>1207.3</v>
      </c>
      <c r="BE437" s="108"/>
      <c r="BF437" s="108"/>
    </row>
    <row r="438" ht="15.75" customHeight="1">
      <c r="A438" s="67">
        <f t="shared" si="2557"/>
        <v>46269</v>
      </c>
      <c r="B438" s="138" t="s">
        <v>35</v>
      </c>
      <c r="C438" s="157">
        <f t="shared" si="2558"/>
        <v>1</v>
      </c>
      <c r="D438" s="97">
        <f t="shared" ref="D438:L438" si="2649">RANDBETWEEN(0,2)</f>
        <v>1</v>
      </c>
      <c r="E438" s="97">
        <f t="shared" si="2649"/>
        <v>0</v>
      </c>
      <c r="F438" s="97">
        <f t="shared" si="2649"/>
        <v>0</v>
      </c>
      <c r="G438" s="97">
        <f t="shared" si="2649"/>
        <v>0</v>
      </c>
      <c r="H438" s="98">
        <f t="shared" si="2649"/>
        <v>0</v>
      </c>
      <c r="I438" s="99">
        <f t="shared" si="2649"/>
        <v>2</v>
      </c>
      <c r="J438" s="100">
        <f t="shared" si="2649"/>
        <v>2</v>
      </c>
      <c r="K438" s="101">
        <f t="shared" si="2649"/>
        <v>1</v>
      </c>
      <c r="L438" s="101">
        <f t="shared" si="2649"/>
        <v>2</v>
      </c>
      <c r="M438" s="140">
        <f t="shared" si="2560"/>
        <v>25</v>
      </c>
      <c r="N438" s="97">
        <f t="shared" ref="N438:T438" si="2650">RANDBETWEEN(0,10)</f>
        <v>10</v>
      </c>
      <c r="O438" s="97">
        <f t="shared" si="2650"/>
        <v>2</v>
      </c>
      <c r="P438" s="97">
        <f t="shared" si="2650"/>
        <v>0</v>
      </c>
      <c r="Q438" s="97">
        <f t="shared" si="2650"/>
        <v>3</v>
      </c>
      <c r="R438" s="97">
        <f t="shared" si="2650"/>
        <v>0</v>
      </c>
      <c r="S438" s="97">
        <f t="shared" si="2650"/>
        <v>9</v>
      </c>
      <c r="T438" s="97">
        <f t="shared" si="2650"/>
        <v>1</v>
      </c>
      <c r="U438" s="103">
        <f t="shared" si="2644"/>
        <v>21</v>
      </c>
      <c r="V438" s="158">
        <f t="shared" si="2597"/>
        <v>5</v>
      </c>
      <c r="W438" s="97">
        <f t="shared" ref="W438:Y438" si="2651">RANDBETWEEN(0,2)</f>
        <v>2</v>
      </c>
      <c r="X438" s="97">
        <f t="shared" si="2651"/>
        <v>1</v>
      </c>
      <c r="Y438" s="97">
        <f t="shared" si="2651"/>
        <v>2</v>
      </c>
      <c r="Z438" s="105">
        <f t="shared" si="2606"/>
        <v>2</v>
      </c>
      <c r="AA438" s="106">
        <f t="shared" ref="AA438:AF438" si="2652">RANDBETWEEN(0,2)</f>
        <v>2</v>
      </c>
      <c r="AB438" s="106">
        <f t="shared" si="2652"/>
        <v>0</v>
      </c>
      <c r="AC438" s="107">
        <f t="shared" si="2652"/>
        <v>0</v>
      </c>
      <c r="AD438" s="108">
        <f t="shared" si="2652"/>
        <v>2</v>
      </c>
      <c r="AE438" s="108">
        <f t="shared" si="2652"/>
        <v>2</v>
      </c>
      <c r="AF438" s="108">
        <f t="shared" si="2652"/>
        <v>1</v>
      </c>
      <c r="AG438" s="86">
        <f t="shared" si="2567"/>
        <v>5</v>
      </c>
      <c r="AH438" s="107">
        <f t="shared" ref="AH438:AJ438" si="2653">RANDBETWEEN(1,10)</f>
        <v>1</v>
      </c>
      <c r="AI438" s="108">
        <f t="shared" si="2653"/>
        <v>9</v>
      </c>
      <c r="AJ438" s="108">
        <f t="shared" si="2653"/>
        <v>6</v>
      </c>
      <c r="AK438" s="192">
        <f t="shared" si="2569"/>
        <v>16</v>
      </c>
      <c r="AL438" s="107"/>
      <c r="AM438" s="108"/>
      <c r="AN438" s="108"/>
      <c r="AO438" s="108"/>
      <c r="AP438" s="89"/>
      <c r="AQ438" s="107"/>
      <c r="AR438" s="108"/>
      <c r="AS438" s="108"/>
      <c r="AT438" s="193"/>
      <c r="AU438" s="107"/>
      <c r="AV438" s="108"/>
      <c r="AW438" s="108"/>
      <c r="AX438" s="194"/>
      <c r="AY438" s="92">
        <f t="shared" ref="AY438:AZ438" si="2654">RANDBETWEEN(1,10)/10</f>
        <v>0.1</v>
      </c>
      <c r="AZ438" s="92">
        <f t="shared" si="2654"/>
        <v>0.1</v>
      </c>
      <c r="BA438" s="93">
        <v>0.0</v>
      </c>
      <c r="BB438" s="93">
        <v>0.0</v>
      </c>
      <c r="BC438" s="94">
        <f>SUM(BC410,'ГОЧ'!$AY438)</f>
        <v>1207.5</v>
      </c>
      <c r="BD438" s="94">
        <f>SUM(BD410,'ГОЧ'!$AZ438)</f>
        <v>1208.3</v>
      </c>
      <c r="BE438" s="108"/>
      <c r="BF438" s="108"/>
    </row>
    <row r="439" ht="15.75" customHeight="1">
      <c r="A439" s="67">
        <f t="shared" si="2557"/>
        <v>46269</v>
      </c>
      <c r="B439" s="138" t="s">
        <v>36</v>
      </c>
      <c r="C439" s="157">
        <f t="shared" si="2558"/>
        <v>1</v>
      </c>
      <c r="D439" s="97">
        <f t="shared" ref="D439:L439" si="2655">RANDBETWEEN(0,2)</f>
        <v>0</v>
      </c>
      <c r="E439" s="97">
        <f t="shared" si="2655"/>
        <v>2</v>
      </c>
      <c r="F439" s="97">
        <f t="shared" si="2655"/>
        <v>1</v>
      </c>
      <c r="G439" s="97">
        <f t="shared" si="2655"/>
        <v>1</v>
      </c>
      <c r="H439" s="98">
        <f t="shared" si="2655"/>
        <v>2</v>
      </c>
      <c r="I439" s="99">
        <f t="shared" si="2655"/>
        <v>2</v>
      </c>
      <c r="J439" s="100">
        <f t="shared" si="2655"/>
        <v>2</v>
      </c>
      <c r="K439" s="101">
        <f t="shared" si="2655"/>
        <v>2</v>
      </c>
      <c r="L439" s="101">
        <f t="shared" si="2655"/>
        <v>1</v>
      </c>
      <c r="M439" s="140">
        <f t="shared" si="2560"/>
        <v>34</v>
      </c>
      <c r="N439" s="97">
        <f t="shared" ref="N439:T439" si="2656">RANDBETWEEN(0,10)</f>
        <v>2</v>
      </c>
      <c r="O439" s="97">
        <f t="shared" si="2656"/>
        <v>5</v>
      </c>
      <c r="P439" s="97">
        <f t="shared" si="2656"/>
        <v>10</v>
      </c>
      <c r="Q439" s="97">
        <f t="shared" si="2656"/>
        <v>4</v>
      </c>
      <c r="R439" s="97">
        <f t="shared" si="2656"/>
        <v>6</v>
      </c>
      <c r="S439" s="97">
        <f t="shared" si="2656"/>
        <v>3</v>
      </c>
      <c r="T439" s="97">
        <f t="shared" si="2656"/>
        <v>4</v>
      </c>
      <c r="U439" s="103">
        <f t="shared" si="2644"/>
        <v>19</v>
      </c>
      <c r="V439" s="158">
        <f t="shared" si="2597"/>
        <v>4</v>
      </c>
      <c r="W439" s="97">
        <f t="shared" ref="W439:Y439" si="2657">RANDBETWEEN(0,2)</f>
        <v>1</v>
      </c>
      <c r="X439" s="97">
        <f t="shared" si="2657"/>
        <v>2</v>
      </c>
      <c r="Y439" s="97">
        <f t="shared" si="2657"/>
        <v>1</v>
      </c>
      <c r="Z439" s="105">
        <f t="shared" si="2606"/>
        <v>1</v>
      </c>
      <c r="AA439" s="143">
        <f t="shared" ref="AA439:AF439" si="2658">RANDBETWEEN(0,2)</f>
        <v>0</v>
      </c>
      <c r="AB439" s="143">
        <f t="shared" si="2658"/>
        <v>1</v>
      </c>
      <c r="AC439" s="144">
        <f t="shared" si="2658"/>
        <v>0</v>
      </c>
      <c r="AD439" s="145">
        <f t="shared" si="2658"/>
        <v>1</v>
      </c>
      <c r="AE439" s="145">
        <f t="shared" si="2658"/>
        <v>0</v>
      </c>
      <c r="AF439" s="145">
        <f t="shared" si="2658"/>
        <v>0</v>
      </c>
      <c r="AG439" s="86">
        <f t="shared" si="2567"/>
        <v>1</v>
      </c>
      <c r="AH439" s="144">
        <f t="shared" ref="AH439:AJ439" si="2659">RANDBETWEEN(1,10)</f>
        <v>5</v>
      </c>
      <c r="AI439" s="145">
        <f t="shared" si="2659"/>
        <v>4</v>
      </c>
      <c r="AJ439" s="145">
        <f t="shared" si="2659"/>
        <v>7</v>
      </c>
      <c r="AK439" s="192">
        <f t="shared" si="2569"/>
        <v>16</v>
      </c>
      <c r="AL439" s="144"/>
      <c r="AM439" s="145"/>
      <c r="AN439" s="145"/>
      <c r="AO439" s="145"/>
      <c r="AP439" s="89"/>
      <c r="AQ439" s="144"/>
      <c r="AR439" s="145"/>
      <c r="AS439" s="145"/>
      <c r="AT439" s="193"/>
      <c r="AU439" s="144"/>
      <c r="AV439" s="145"/>
      <c r="AW439" s="145"/>
      <c r="AX439" s="194"/>
      <c r="AY439" s="92">
        <f t="shared" ref="AY439:AZ439" si="2660">RANDBETWEEN(1,10)/10</f>
        <v>0.8</v>
      </c>
      <c r="AZ439" s="92">
        <f t="shared" si="2660"/>
        <v>0.3</v>
      </c>
      <c r="BA439" s="93">
        <v>0.0</v>
      </c>
      <c r="BB439" s="93">
        <v>0.0</v>
      </c>
      <c r="BC439" s="94">
        <f>SUM(BC411,'ГОЧ'!$AY439)</f>
        <v>1208.6</v>
      </c>
      <c r="BD439" s="94">
        <f>SUM(BD411,'ГОЧ'!$AZ439)</f>
        <v>1208</v>
      </c>
      <c r="BE439" s="108"/>
      <c r="BF439" s="108"/>
    </row>
    <row r="440" ht="15.75" customHeight="1">
      <c r="A440" s="67">
        <f t="shared" si="2557"/>
        <v>46269</v>
      </c>
      <c r="B440" s="195" t="s">
        <v>38</v>
      </c>
      <c r="C440" s="157">
        <f t="shared" si="2558"/>
        <v>2</v>
      </c>
      <c r="D440" s="97">
        <f t="shared" ref="D440:L440" si="2661">RANDBETWEEN(0,2)</f>
        <v>2</v>
      </c>
      <c r="E440" s="97">
        <f t="shared" si="2661"/>
        <v>1</v>
      </c>
      <c r="F440" s="97">
        <f t="shared" si="2661"/>
        <v>0</v>
      </c>
      <c r="G440" s="97">
        <f t="shared" si="2661"/>
        <v>0</v>
      </c>
      <c r="H440" s="98">
        <f t="shared" si="2661"/>
        <v>2</v>
      </c>
      <c r="I440" s="99">
        <f t="shared" si="2661"/>
        <v>1</v>
      </c>
      <c r="J440" s="100">
        <f t="shared" si="2661"/>
        <v>2</v>
      </c>
      <c r="K440" s="101">
        <f t="shared" si="2661"/>
        <v>2</v>
      </c>
      <c r="L440" s="101">
        <f t="shared" si="2661"/>
        <v>2</v>
      </c>
      <c r="M440" s="140">
        <f t="shared" si="2560"/>
        <v>36</v>
      </c>
      <c r="N440" s="97">
        <f t="shared" ref="N440:T440" si="2662">RANDBETWEEN(0,10)</f>
        <v>9</v>
      </c>
      <c r="O440" s="97">
        <f t="shared" si="2662"/>
        <v>1</v>
      </c>
      <c r="P440" s="97">
        <f t="shared" si="2662"/>
        <v>5</v>
      </c>
      <c r="Q440" s="97">
        <f t="shared" si="2662"/>
        <v>4</v>
      </c>
      <c r="R440" s="97">
        <f t="shared" si="2662"/>
        <v>5</v>
      </c>
      <c r="S440" s="97">
        <f t="shared" si="2662"/>
        <v>7</v>
      </c>
      <c r="T440" s="97">
        <f t="shared" si="2662"/>
        <v>5</v>
      </c>
      <c r="U440" s="103">
        <f t="shared" si="2644"/>
        <v>15</v>
      </c>
      <c r="V440" s="158">
        <f t="shared" si="2597"/>
        <v>1</v>
      </c>
      <c r="W440" s="97">
        <f t="shared" ref="W440:Y440" si="2663">RANDBETWEEN(0,2)</f>
        <v>0</v>
      </c>
      <c r="X440" s="97">
        <f t="shared" si="2663"/>
        <v>1</v>
      </c>
      <c r="Y440" s="97">
        <f t="shared" si="2663"/>
        <v>0</v>
      </c>
      <c r="Z440" s="105">
        <f t="shared" si="2606"/>
        <v>2</v>
      </c>
      <c r="AA440" s="106">
        <f t="shared" ref="AA440:AF440" si="2664">RANDBETWEEN(0,2)</f>
        <v>2</v>
      </c>
      <c r="AB440" s="106">
        <f t="shared" si="2664"/>
        <v>0</v>
      </c>
      <c r="AC440" s="107">
        <f t="shared" si="2664"/>
        <v>2</v>
      </c>
      <c r="AD440" s="108">
        <f t="shared" si="2664"/>
        <v>1</v>
      </c>
      <c r="AE440" s="108">
        <f t="shared" si="2664"/>
        <v>2</v>
      </c>
      <c r="AF440" s="108">
        <f t="shared" si="2664"/>
        <v>0</v>
      </c>
      <c r="AG440" s="86">
        <f t="shared" si="2567"/>
        <v>5</v>
      </c>
      <c r="AH440" s="107">
        <f t="shared" ref="AH440:AJ440" si="2665">RANDBETWEEN(1,10)</f>
        <v>1</v>
      </c>
      <c r="AI440" s="108">
        <f t="shared" si="2665"/>
        <v>7</v>
      </c>
      <c r="AJ440" s="108">
        <f t="shared" si="2665"/>
        <v>9</v>
      </c>
      <c r="AK440" s="192">
        <f t="shared" si="2569"/>
        <v>17</v>
      </c>
      <c r="AL440" s="107"/>
      <c r="AM440" s="108"/>
      <c r="AN440" s="108"/>
      <c r="AO440" s="108"/>
      <c r="AP440" s="89"/>
      <c r="AQ440" s="107"/>
      <c r="AR440" s="108"/>
      <c r="AS440" s="108"/>
      <c r="AT440" s="193"/>
      <c r="AU440" s="107"/>
      <c r="AV440" s="108"/>
      <c r="AW440" s="108"/>
      <c r="AX440" s="194"/>
      <c r="AY440" s="92">
        <f t="shared" ref="AY440:AZ440" si="2666">RANDBETWEEN(1,10)/10</f>
        <v>0.5</v>
      </c>
      <c r="AZ440" s="92">
        <f t="shared" si="2666"/>
        <v>1</v>
      </c>
      <c r="BA440" s="93">
        <v>0.0</v>
      </c>
      <c r="BB440" s="93">
        <v>0.0</v>
      </c>
      <c r="BC440" s="94">
        <f>SUM(BC412,'ГОЧ'!$AY440)</f>
        <v>1207.1</v>
      </c>
      <c r="BD440" s="94">
        <f>SUM(BD412,'ГОЧ'!$AZ440)</f>
        <v>1207.1</v>
      </c>
      <c r="BE440" s="108"/>
      <c r="BF440" s="108"/>
    </row>
    <row r="441" ht="15.75" customHeight="1">
      <c r="A441" s="67">
        <f t="shared" si="2557"/>
        <v>46269</v>
      </c>
      <c r="B441" s="138" t="s">
        <v>41</v>
      </c>
      <c r="C441" s="157">
        <f t="shared" si="2558"/>
        <v>0</v>
      </c>
      <c r="D441" s="97">
        <f t="shared" ref="D441:L441" si="2667">RANDBETWEEN(0,2)</f>
        <v>0</v>
      </c>
      <c r="E441" s="97">
        <f t="shared" si="2667"/>
        <v>2</v>
      </c>
      <c r="F441" s="97">
        <f t="shared" si="2667"/>
        <v>0</v>
      </c>
      <c r="G441" s="97">
        <f t="shared" si="2667"/>
        <v>0</v>
      </c>
      <c r="H441" s="98">
        <f t="shared" si="2667"/>
        <v>1</v>
      </c>
      <c r="I441" s="99">
        <f t="shared" si="2667"/>
        <v>2</v>
      </c>
      <c r="J441" s="100">
        <f t="shared" si="2667"/>
        <v>2</v>
      </c>
      <c r="K441" s="101">
        <f t="shared" si="2667"/>
        <v>0</v>
      </c>
      <c r="L441" s="101">
        <f t="shared" si="2667"/>
        <v>2</v>
      </c>
      <c r="M441" s="140">
        <f t="shared" si="2560"/>
        <v>26</v>
      </c>
      <c r="N441" s="97">
        <f t="shared" ref="N441:T441" si="2668">RANDBETWEEN(0,10)</f>
        <v>3</v>
      </c>
      <c r="O441" s="97">
        <f t="shared" si="2668"/>
        <v>1</v>
      </c>
      <c r="P441" s="97">
        <f t="shared" si="2668"/>
        <v>0</v>
      </c>
      <c r="Q441" s="97">
        <f t="shared" si="2668"/>
        <v>5</v>
      </c>
      <c r="R441" s="97">
        <f t="shared" si="2668"/>
        <v>3</v>
      </c>
      <c r="S441" s="97">
        <f t="shared" si="2668"/>
        <v>9</v>
      </c>
      <c r="T441" s="97">
        <f t="shared" si="2668"/>
        <v>5</v>
      </c>
      <c r="U441" s="103">
        <f t="shared" si="2644"/>
        <v>13</v>
      </c>
      <c r="V441" s="158">
        <f t="shared" si="2597"/>
        <v>4</v>
      </c>
      <c r="W441" s="97">
        <f t="shared" ref="W441:Y441" si="2669">RANDBETWEEN(0,2)</f>
        <v>2</v>
      </c>
      <c r="X441" s="97">
        <f t="shared" si="2669"/>
        <v>2</v>
      </c>
      <c r="Y441" s="97">
        <f t="shared" si="2669"/>
        <v>0</v>
      </c>
      <c r="Z441" s="105">
        <f t="shared" si="2606"/>
        <v>2</v>
      </c>
      <c r="AA441" s="143">
        <f t="shared" ref="AA441:AF441" si="2670">RANDBETWEEN(0,2)</f>
        <v>1</v>
      </c>
      <c r="AB441" s="143">
        <f t="shared" si="2670"/>
        <v>1</v>
      </c>
      <c r="AC441" s="144">
        <f t="shared" si="2670"/>
        <v>0</v>
      </c>
      <c r="AD441" s="145">
        <f t="shared" si="2670"/>
        <v>0</v>
      </c>
      <c r="AE441" s="145">
        <f t="shared" si="2670"/>
        <v>1</v>
      </c>
      <c r="AF441" s="145">
        <f t="shared" si="2670"/>
        <v>0</v>
      </c>
      <c r="AG441" s="86">
        <f t="shared" si="2567"/>
        <v>1</v>
      </c>
      <c r="AH441" s="144">
        <f t="shared" ref="AH441:AJ441" si="2671">RANDBETWEEN(1,10)</f>
        <v>7</v>
      </c>
      <c r="AI441" s="145">
        <f t="shared" si="2671"/>
        <v>9</v>
      </c>
      <c r="AJ441" s="145">
        <f t="shared" si="2671"/>
        <v>6</v>
      </c>
      <c r="AK441" s="192">
        <f t="shared" si="2569"/>
        <v>22</v>
      </c>
      <c r="AL441" s="144"/>
      <c r="AM441" s="145"/>
      <c r="AN441" s="145"/>
      <c r="AO441" s="145"/>
      <c r="AP441" s="89"/>
      <c r="AQ441" s="144"/>
      <c r="AR441" s="145"/>
      <c r="AS441" s="145"/>
      <c r="AT441" s="193"/>
      <c r="AU441" s="144"/>
      <c r="AV441" s="145"/>
      <c r="AW441" s="145"/>
      <c r="AX441" s="194"/>
      <c r="AY441" s="92">
        <f t="shared" ref="AY441:AZ441" si="2672">RANDBETWEEN(1,10)/10</f>
        <v>0.4</v>
      </c>
      <c r="AZ441" s="92">
        <f t="shared" si="2672"/>
        <v>0.8</v>
      </c>
      <c r="BA441" s="93">
        <v>0.0</v>
      </c>
      <c r="BB441" s="93">
        <v>0.0</v>
      </c>
      <c r="BC441" s="94">
        <f>SUM(BC413,'ГОЧ'!$AY441)</f>
        <v>1208.3</v>
      </c>
      <c r="BD441" s="94">
        <f>SUM(BD413,'ГОЧ'!$AZ441)</f>
        <v>1209</v>
      </c>
      <c r="BE441" s="108"/>
      <c r="BF441" s="108"/>
    </row>
    <row r="442" ht="15.75" customHeight="1">
      <c r="A442" s="67">
        <f t="shared" si="2557"/>
        <v>46269</v>
      </c>
      <c r="B442" s="114" t="s">
        <v>45</v>
      </c>
      <c r="C442" s="164">
        <f t="shared" si="2558"/>
        <v>7</v>
      </c>
      <c r="D442" s="164">
        <f t="shared" ref="D442:U442" si="2673">SUM(D436:D441)</f>
        <v>5</v>
      </c>
      <c r="E442" s="165">
        <f t="shared" si="2673"/>
        <v>7</v>
      </c>
      <c r="F442" s="165">
        <f t="shared" si="2673"/>
        <v>2</v>
      </c>
      <c r="G442" s="165">
        <f t="shared" si="2673"/>
        <v>3</v>
      </c>
      <c r="H442" s="165">
        <f t="shared" si="2673"/>
        <v>5</v>
      </c>
      <c r="I442" s="165">
        <f t="shared" si="2673"/>
        <v>9</v>
      </c>
      <c r="J442" s="165">
        <f t="shared" si="2673"/>
        <v>9</v>
      </c>
      <c r="K442" s="165">
        <f t="shared" si="2673"/>
        <v>6</v>
      </c>
      <c r="L442" s="165">
        <f t="shared" si="2673"/>
        <v>9</v>
      </c>
      <c r="M442" s="164">
        <f t="shared" si="2673"/>
        <v>174</v>
      </c>
      <c r="N442" s="164">
        <f t="shared" si="2673"/>
        <v>28</v>
      </c>
      <c r="O442" s="165">
        <f t="shared" si="2673"/>
        <v>17</v>
      </c>
      <c r="P442" s="165">
        <f t="shared" si="2673"/>
        <v>20</v>
      </c>
      <c r="Q442" s="165">
        <f t="shared" si="2673"/>
        <v>20</v>
      </c>
      <c r="R442" s="165">
        <f t="shared" si="2673"/>
        <v>27</v>
      </c>
      <c r="S442" s="165">
        <f t="shared" si="2673"/>
        <v>36</v>
      </c>
      <c r="T442" s="165">
        <f t="shared" si="2673"/>
        <v>26</v>
      </c>
      <c r="U442" s="164">
        <f t="shared" si="2673"/>
        <v>98</v>
      </c>
      <c r="V442" s="164">
        <f t="shared" si="2597"/>
        <v>17</v>
      </c>
      <c r="W442" s="165">
        <f t="shared" ref="W442:Y442" si="2674">SUM(W436:W441)</f>
        <v>5</v>
      </c>
      <c r="X442" s="165">
        <f t="shared" si="2674"/>
        <v>7</v>
      </c>
      <c r="Y442" s="165">
        <f t="shared" si="2674"/>
        <v>5</v>
      </c>
      <c r="Z442" s="165">
        <f t="shared" si="2606"/>
        <v>12</v>
      </c>
      <c r="AA442" s="165">
        <f t="shared" ref="AA442:AF442" si="2675">SUM(AA436:AA441)</f>
        <v>7</v>
      </c>
      <c r="AB442" s="165">
        <f t="shared" si="2675"/>
        <v>5</v>
      </c>
      <c r="AC442" s="166">
        <f t="shared" si="2675"/>
        <v>3</v>
      </c>
      <c r="AD442" s="166">
        <f t="shared" si="2675"/>
        <v>7</v>
      </c>
      <c r="AE442" s="166">
        <f t="shared" si="2675"/>
        <v>9</v>
      </c>
      <c r="AF442" s="166">
        <f t="shared" si="2675"/>
        <v>2</v>
      </c>
      <c r="AG442" s="168">
        <f t="shared" si="2567"/>
        <v>21</v>
      </c>
      <c r="AH442" s="166">
        <f t="shared" ref="AH442:AJ442" si="2676">SUM(AH436:AH441)</f>
        <v>31</v>
      </c>
      <c r="AI442" s="167">
        <f t="shared" si="2676"/>
        <v>38</v>
      </c>
      <c r="AJ442" s="167">
        <f t="shared" si="2676"/>
        <v>33</v>
      </c>
      <c r="AK442" s="168">
        <f t="shared" si="2569"/>
        <v>102</v>
      </c>
      <c r="AL442" s="166"/>
      <c r="AM442" s="166"/>
      <c r="AN442" s="166"/>
      <c r="AO442" s="166"/>
      <c r="AP442" s="169"/>
      <c r="AQ442" s="166"/>
      <c r="AR442" s="167"/>
      <c r="AS442" s="167"/>
      <c r="AT442" s="170"/>
      <c r="AU442" s="166"/>
      <c r="AV442" s="167"/>
      <c r="AW442" s="167"/>
      <c r="AX442" s="171"/>
      <c r="AY442" s="196">
        <f t="shared" ref="AY442:BD442" si="2677">SUM(AY436:AY441)</f>
        <v>2.5</v>
      </c>
      <c r="AZ442" s="196">
        <f t="shared" si="2677"/>
        <v>2.8</v>
      </c>
      <c r="BA442" s="167">
        <f t="shared" si="2677"/>
        <v>0</v>
      </c>
      <c r="BB442" s="167">
        <f t="shared" si="2677"/>
        <v>0</v>
      </c>
      <c r="BC442" s="197">
        <f t="shared" si="2677"/>
        <v>7247.1</v>
      </c>
      <c r="BD442" s="197">
        <f t="shared" si="2677"/>
        <v>7248.1</v>
      </c>
      <c r="BE442" s="154" t="str">
        <f t="shared" ref="BE442:BF442" si="2678">TEXTJOIN(", ",TRUE,BE436:BE441)</f>
        <v/>
      </c>
      <c r="BF442" s="154" t="str">
        <f t="shared" si="2678"/>
        <v/>
      </c>
    </row>
    <row r="443" ht="15.75" customHeight="1">
      <c r="A443" s="67">
        <f t="shared" si="2557"/>
        <v>46269</v>
      </c>
      <c r="B443" s="124" t="s">
        <v>49</v>
      </c>
      <c r="C443" s="174">
        <f t="shared" si="2558"/>
        <v>1</v>
      </c>
      <c r="D443" s="175">
        <f t="shared" ref="D443:L443" si="2679">RANDBETWEEN(0,2)</f>
        <v>0</v>
      </c>
      <c r="E443" s="175">
        <f t="shared" si="2679"/>
        <v>0</v>
      </c>
      <c r="F443" s="175">
        <f t="shared" si="2679"/>
        <v>1</v>
      </c>
      <c r="G443" s="175">
        <f t="shared" si="2679"/>
        <v>2</v>
      </c>
      <c r="H443" s="176">
        <f t="shared" si="2679"/>
        <v>0</v>
      </c>
      <c r="I443" s="177">
        <f t="shared" si="2679"/>
        <v>0</v>
      </c>
      <c r="J443" s="178">
        <f t="shared" si="2679"/>
        <v>2</v>
      </c>
      <c r="K443" s="179">
        <f t="shared" si="2679"/>
        <v>0</v>
      </c>
      <c r="L443" s="179">
        <f t="shared" si="2679"/>
        <v>1</v>
      </c>
      <c r="M443" s="180">
        <f t="shared" ref="M443:M448" si="2686">SUM(N443:T443)</f>
        <v>25</v>
      </c>
      <c r="N443" s="175">
        <f t="shared" ref="N443:T443" si="2680">RANDBETWEEN(0,10)</f>
        <v>3</v>
      </c>
      <c r="O443" s="175">
        <f t="shared" si="2680"/>
        <v>3</v>
      </c>
      <c r="P443" s="175">
        <f t="shared" si="2680"/>
        <v>9</v>
      </c>
      <c r="Q443" s="175">
        <f t="shared" si="2680"/>
        <v>8</v>
      </c>
      <c r="R443" s="175">
        <f t="shared" si="2680"/>
        <v>0</v>
      </c>
      <c r="S443" s="175">
        <f t="shared" si="2680"/>
        <v>0</v>
      </c>
      <c r="T443" s="175">
        <f t="shared" si="2680"/>
        <v>2</v>
      </c>
      <c r="U443" s="181">
        <f t="shared" ref="U443:U447" si="2688">RANDBETWEEN(10,30)</f>
        <v>22</v>
      </c>
      <c r="V443" s="182">
        <f t="shared" si="2597"/>
        <v>3</v>
      </c>
      <c r="W443" s="175">
        <f t="shared" ref="W443:Y443" si="2681">RANDBETWEEN(0,2)</f>
        <v>0</v>
      </c>
      <c r="X443" s="175">
        <f t="shared" si="2681"/>
        <v>2</v>
      </c>
      <c r="Y443" s="175">
        <f t="shared" si="2681"/>
        <v>1</v>
      </c>
      <c r="Z443" s="183">
        <f t="shared" si="2606"/>
        <v>3</v>
      </c>
      <c r="AA443" s="198">
        <f t="shared" ref="AA443:AF443" si="2682">RANDBETWEEN(0,2)</f>
        <v>1</v>
      </c>
      <c r="AB443" s="198">
        <f t="shared" si="2682"/>
        <v>2</v>
      </c>
      <c r="AC443" s="199">
        <f t="shared" si="2682"/>
        <v>0</v>
      </c>
      <c r="AD443" s="200">
        <f t="shared" si="2682"/>
        <v>1</v>
      </c>
      <c r="AE443" s="200">
        <f t="shared" si="2682"/>
        <v>0</v>
      </c>
      <c r="AF443" s="200">
        <f t="shared" si="2682"/>
        <v>1</v>
      </c>
      <c r="AG443" s="187">
        <f t="shared" si="2567"/>
        <v>2</v>
      </c>
      <c r="AH443" s="199">
        <f t="shared" ref="AH443:AJ443" si="2683">RANDBETWEEN(1,10)</f>
        <v>6</v>
      </c>
      <c r="AI443" s="200">
        <f t="shared" si="2683"/>
        <v>1</v>
      </c>
      <c r="AJ443" s="200">
        <f t="shared" si="2683"/>
        <v>10</v>
      </c>
      <c r="AK443" s="188">
        <f t="shared" si="2569"/>
        <v>17</v>
      </c>
      <c r="AL443" s="199"/>
      <c r="AM443" s="200"/>
      <c r="AN443" s="200"/>
      <c r="AO443" s="200"/>
      <c r="AP443" s="189"/>
      <c r="AQ443" s="199"/>
      <c r="AR443" s="200"/>
      <c r="AS443" s="200"/>
      <c r="AT443" s="190"/>
      <c r="AU443" s="199"/>
      <c r="AV443" s="200"/>
      <c r="AW443" s="200"/>
      <c r="AX443" s="191"/>
      <c r="AY443" s="92">
        <f t="shared" ref="AY443:AZ443" si="2684">RANDBETWEEN(1,10)/10</f>
        <v>0.3</v>
      </c>
      <c r="AZ443" s="92">
        <f t="shared" si="2684"/>
        <v>0.5</v>
      </c>
      <c r="BA443" s="93">
        <v>0.0</v>
      </c>
      <c r="BB443" s="93">
        <v>0.0</v>
      </c>
      <c r="BC443" s="94">
        <f>SUM(BC415,'ГОЧ'!$AY443)</f>
        <v>1207.6</v>
      </c>
      <c r="BD443" s="94">
        <f>SUM(BD415,'ГОЧ'!$AZ443)</f>
        <v>1206.6</v>
      </c>
      <c r="BE443" s="186"/>
      <c r="BF443" s="186"/>
    </row>
    <row r="444" ht="15.75" customHeight="1">
      <c r="A444" s="67">
        <f t="shared" si="2557"/>
        <v>46269</v>
      </c>
      <c r="B444" s="195" t="s">
        <v>53</v>
      </c>
      <c r="C444" s="157">
        <f t="shared" si="2558"/>
        <v>1</v>
      </c>
      <c r="D444" s="97">
        <f t="shared" ref="D444:L444" si="2685">RANDBETWEEN(0,2)</f>
        <v>1</v>
      </c>
      <c r="E444" s="97">
        <f t="shared" si="2685"/>
        <v>1</v>
      </c>
      <c r="F444" s="97">
        <f t="shared" si="2685"/>
        <v>0</v>
      </c>
      <c r="G444" s="97">
        <f t="shared" si="2685"/>
        <v>2</v>
      </c>
      <c r="H444" s="98">
        <f t="shared" si="2685"/>
        <v>0</v>
      </c>
      <c r="I444" s="99">
        <f t="shared" si="2685"/>
        <v>2</v>
      </c>
      <c r="J444" s="100">
        <f t="shared" si="2685"/>
        <v>0</v>
      </c>
      <c r="K444" s="101">
        <f t="shared" si="2685"/>
        <v>0</v>
      </c>
      <c r="L444" s="101">
        <f t="shared" si="2685"/>
        <v>2</v>
      </c>
      <c r="M444" s="140">
        <f t="shared" si="2686"/>
        <v>20</v>
      </c>
      <c r="N444" s="97">
        <f t="shared" ref="N444:T444" si="2687">RANDBETWEEN(0,10)</f>
        <v>1</v>
      </c>
      <c r="O444" s="97">
        <f t="shared" si="2687"/>
        <v>7</v>
      </c>
      <c r="P444" s="97">
        <f t="shared" si="2687"/>
        <v>3</v>
      </c>
      <c r="Q444" s="97">
        <f t="shared" si="2687"/>
        <v>1</v>
      </c>
      <c r="R444" s="97">
        <f t="shared" si="2687"/>
        <v>3</v>
      </c>
      <c r="S444" s="97">
        <f t="shared" si="2687"/>
        <v>1</v>
      </c>
      <c r="T444" s="97">
        <f t="shared" si="2687"/>
        <v>4</v>
      </c>
      <c r="U444" s="103">
        <f t="shared" si="2688"/>
        <v>25</v>
      </c>
      <c r="V444" s="158">
        <f t="shared" si="2597"/>
        <v>2</v>
      </c>
      <c r="W444" s="97">
        <f t="shared" ref="W444:Y444" si="2689">RANDBETWEEN(0,2)</f>
        <v>0</v>
      </c>
      <c r="X444" s="97">
        <f t="shared" si="2689"/>
        <v>2</v>
      </c>
      <c r="Y444" s="97">
        <f t="shared" si="2689"/>
        <v>0</v>
      </c>
      <c r="Z444" s="105">
        <f t="shared" si="2606"/>
        <v>1</v>
      </c>
      <c r="AA444" s="106">
        <f t="shared" ref="AA444:AF444" si="2690">RANDBETWEEN(0,2)</f>
        <v>0</v>
      </c>
      <c r="AB444" s="106">
        <f t="shared" si="2690"/>
        <v>1</v>
      </c>
      <c r="AC444" s="107">
        <f t="shared" si="2690"/>
        <v>2</v>
      </c>
      <c r="AD444" s="108">
        <f t="shared" si="2690"/>
        <v>2</v>
      </c>
      <c r="AE444" s="108">
        <f t="shared" si="2690"/>
        <v>0</v>
      </c>
      <c r="AF444" s="108">
        <f t="shared" si="2690"/>
        <v>0</v>
      </c>
      <c r="AG444" s="86">
        <f t="shared" si="2567"/>
        <v>4</v>
      </c>
      <c r="AH444" s="107">
        <f t="shared" ref="AH444:AJ444" si="2691">RANDBETWEEN(1,10)</f>
        <v>3</v>
      </c>
      <c r="AI444" s="108">
        <f t="shared" si="2691"/>
        <v>9</v>
      </c>
      <c r="AJ444" s="108">
        <f t="shared" si="2691"/>
        <v>7</v>
      </c>
      <c r="AK444" s="192">
        <f t="shared" si="2569"/>
        <v>19</v>
      </c>
      <c r="AL444" s="107"/>
      <c r="AM444" s="108"/>
      <c r="AN444" s="108"/>
      <c r="AO444" s="108"/>
      <c r="AP444" s="89"/>
      <c r="AQ444" s="107"/>
      <c r="AR444" s="108"/>
      <c r="AS444" s="108"/>
      <c r="AT444" s="193"/>
      <c r="AU444" s="107"/>
      <c r="AV444" s="108"/>
      <c r="AW444" s="108"/>
      <c r="AX444" s="194"/>
      <c r="AY444" s="92">
        <f t="shared" ref="AY444:AZ444" si="2692">RANDBETWEEN(1,10)/10</f>
        <v>0.2</v>
      </c>
      <c r="AZ444" s="92">
        <f t="shared" si="2692"/>
        <v>0.3</v>
      </c>
      <c r="BA444" s="93">
        <v>0.0</v>
      </c>
      <c r="BB444" s="93">
        <v>0.0</v>
      </c>
      <c r="BC444" s="94">
        <f>SUM(BC416,'ГОЧ'!$AY444)</f>
        <v>1206.7</v>
      </c>
      <c r="BD444" s="94">
        <f>SUM(BD416,'ГОЧ'!$AZ444)</f>
        <v>1207.6</v>
      </c>
      <c r="BE444" s="108"/>
      <c r="BF444" s="108"/>
    </row>
    <row r="445" ht="15.75" customHeight="1">
      <c r="A445" s="67">
        <f t="shared" si="2557"/>
        <v>46269</v>
      </c>
      <c r="B445" s="138" t="s">
        <v>57</v>
      </c>
      <c r="C445" s="157">
        <f t="shared" si="2558"/>
        <v>1</v>
      </c>
      <c r="D445" s="97">
        <f t="shared" ref="D445:L445" si="2693">RANDBETWEEN(0,2)</f>
        <v>0</v>
      </c>
      <c r="E445" s="97">
        <f t="shared" si="2693"/>
        <v>0</v>
      </c>
      <c r="F445" s="97">
        <f t="shared" si="2693"/>
        <v>1</v>
      </c>
      <c r="G445" s="97">
        <f t="shared" si="2693"/>
        <v>1</v>
      </c>
      <c r="H445" s="98">
        <f t="shared" si="2693"/>
        <v>0</v>
      </c>
      <c r="I445" s="99">
        <f t="shared" si="2693"/>
        <v>0</v>
      </c>
      <c r="J445" s="100">
        <f t="shared" si="2693"/>
        <v>1</v>
      </c>
      <c r="K445" s="101">
        <f t="shared" si="2693"/>
        <v>2</v>
      </c>
      <c r="L445" s="101">
        <f t="shared" si="2693"/>
        <v>2</v>
      </c>
      <c r="M445" s="140">
        <f t="shared" si="2686"/>
        <v>27</v>
      </c>
      <c r="N445" s="97">
        <f t="shared" ref="N445:T445" si="2694">RANDBETWEEN(0,10)</f>
        <v>6</v>
      </c>
      <c r="O445" s="97">
        <f t="shared" si="2694"/>
        <v>4</v>
      </c>
      <c r="P445" s="97">
        <f t="shared" si="2694"/>
        <v>4</v>
      </c>
      <c r="Q445" s="97">
        <f t="shared" si="2694"/>
        <v>6</v>
      </c>
      <c r="R445" s="97">
        <f t="shared" si="2694"/>
        <v>6</v>
      </c>
      <c r="S445" s="97">
        <f t="shared" si="2694"/>
        <v>1</v>
      </c>
      <c r="T445" s="97">
        <f t="shared" si="2694"/>
        <v>0</v>
      </c>
      <c r="U445" s="103">
        <f t="shared" si="2688"/>
        <v>20</v>
      </c>
      <c r="V445" s="158">
        <f t="shared" si="2597"/>
        <v>4</v>
      </c>
      <c r="W445" s="97">
        <f t="shared" ref="W445:Y445" si="2695">RANDBETWEEN(0,2)</f>
        <v>1</v>
      </c>
      <c r="X445" s="97">
        <f t="shared" si="2695"/>
        <v>1</v>
      </c>
      <c r="Y445" s="97">
        <f t="shared" si="2695"/>
        <v>2</v>
      </c>
      <c r="Z445" s="105">
        <f t="shared" si="2606"/>
        <v>3</v>
      </c>
      <c r="AA445" s="143">
        <f t="shared" ref="AA445:AF445" si="2696">RANDBETWEEN(0,2)</f>
        <v>1</v>
      </c>
      <c r="AB445" s="143">
        <f t="shared" si="2696"/>
        <v>2</v>
      </c>
      <c r="AC445" s="144">
        <f t="shared" si="2696"/>
        <v>2</v>
      </c>
      <c r="AD445" s="145">
        <f t="shared" si="2696"/>
        <v>2</v>
      </c>
      <c r="AE445" s="145">
        <f t="shared" si="2696"/>
        <v>0</v>
      </c>
      <c r="AF445" s="145">
        <f t="shared" si="2696"/>
        <v>1</v>
      </c>
      <c r="AG445" s="86">
        <f t="shared" si="2567"/>
        <v>5</v>
      </c>
      <c r="AH445" s="144">
        <f t="shared" ref="AH445:AJ445" si="2697">RANDBETWEEN(1,10)</f>
        <v>7</v>
      </c>
      <c r="AI445" s="145">
        <f t="shared" si="2697"/>
        <v>8</v>
      </c>
      <c r="AJ445" s="145">
        <f t="shared" si="2697"/>
        <v>6</v>
      </c>
      <c r="AK445" s="192">
        <f t="shared" si="2569"/>
        <v>21</v>
      </c>
      <c r="AL445" s="144"/>
      <c r="AM445" s="145"/>
      <c r="AN445" s="145"/>
      <c r="AO445" s="145"/>
      <c r="AP445" s="89"/>
      <c r="AQ445" s="144"/>
      <c r="AR445" s="145"/>
      <c r="AS445" s="145"/>
      <c r="AT445" s="193"/>
      <c r="AU445" s="144"/>
      <c r="AV445" s="145"/>
      <c r="AW445" s="145"/>
      <c r="AX445" s="194"/>
      <c r="AY445" s="92">
        <f t="shared" ref="AY445:AZ445" si="2698">RANDBETWEEN(1,10)/10</f>
        <v>1</v>
      </c>
      <c r="AZ445" s="92">
        <f t="shared" si="2698"/>
        <v>0.5</v>
      </c>
      <c r="BA445" s="93">
        <v>0.0</v>
      </c>
      <c r="BB445" s="93">
        <v>0.0</v>
      </c>
      <c r="BC445" s="94">
        <f>SUM(BC417,'ГОЧ'!$AY445)</f>
        <v>1209.2</v>
      </c>
      <c r="BD445" s="94">
        <f>SUM(BD417,'ГОЧ'!$AZ445)</f>
        <v>1208.9</v>
      </c>
      <c r="BE445" s="108"/>
      <c r="BF445" s="108"/>
    </row>
    <row r="446" ht="15.75" customHeight="1">
      <c r="A446" s="67">
        <f t="shared" si="2557"/>
        <v>46269</v>
      </c>
      <c r="B446" s="138" t="s">
        <v>60</v>
      </c>
      <c r="C446" s="157">
        <f t="shared" si="2558"/>
        <v>2</v>
      </c>
      <c r="D446" s="97">
        <f t="shared" ref="D446:L446" si="2699">RANDBETWEEN(0,2)</f>
        <v>1</v>
      </c>
      <c r="E446" s="97">
        <f t="shared" si="2699"/>
        <v>1</v>
      </c>
      <c r="F446" s="97">
        <f t="shared" si="2699"/>
        <v>1</v>
      </c>
      <c r="G446" s="97">
        <f t="shared" si="2699"/>
        <v>0</v>
      </c>
      <c r="H446" s="98">
        <f t="shared" si="2699"/>
        <v>2</v>
      </c>
      <c r="I446" s="99">
        <f t="shared" si="2699"/>
        <v>1</v>
      </c>
      <c r="J446" s="100">
        <f t="shared" si="2699"/>
        <v>0</v>
      </c>
      <c r="K446" s="101">
        <f t="shared" si="2699"/>
        <v>0</v>
      </c>
      <c r="L446" s="101">
        <f t="shared" si="2699"/>
        <v>0</v>
      </c>
      <c r="M446" s="140">
        <f t="shared" si="2686"/>
        <v>32</v>
      </c>
      <c r="N446" s="97">
        <f t="shared" ref="N446:T446" si="2700">RANDBETWEEN(0,10)</f>
        <v>8</v>
      </c>
      <c r="O446" s="97">
        <f t="shared" si="2700"/>
        <v>6</v>
      </c>
      <c r="P446" s="97">
        <f t="shared" si="2700"/>
        <v>7</v>
      </c>
      <c r="Q446" s="97">
        <f t="shared" si="2700"/>
        <v>5</v>
      </c>
      <c r="R446" s="97">
        <f t="shared" si="2700"/>
        <v>4</v>
      </c>
      <c r="S446" s="97">
        <f t="shared" si="2700"/>
        <v>2</v>
      </c>
      <c r="T446" s="97">
        <f t="shared" si="2700"/>
        <v>0</v>
      </c>
      <c r="U446" s="103">
        <f t="shared" si="2688"/>
        <v>17</v>
      </c>
      <c r="V446" s="158">
        <f t="shared" si="2597"/>
        <v>2</v>
      </c>
      <c r="W446" s="97">
        <f t="shared" ref="W446:Y446" si="2701">RANDBETWEEN(0,2)</f>
        <v>1</v>
      </c>
      <c r="X446" s="97">
        <f t="shared" si="2701"/>
        <v>1</v>
      </c>
      <c r="Y446" s="97">
        <f t="shared" si="2701"/>
        <v>0</v>
      </c>
      <c r="Z446" s="105">
        <f t="shared" si="2606"/>
        <v>1</v>
      </c>
      <c r="AA446" s="106">
        <f t="shared" ref="AA446:AF446" si="2702">RANDBETWEEN(0,2)</f>
        <v>1</v>
      </c>
      <c r="AB446" s="106">
        <f t="shared" si="2702"/>
        <v>0</v>
      </c>
      <c r="AC446" s="107">
        <f t="shared" si="2702"/>
        <v>0</v>
      </c>
      <c r="AD446" s="108">
        <f t="shared" si="2702"/>
        <v>2</v>
      </c>
      <c r="AE446" s="108">
        <f t="shared" si="2702"/>
        <v>2</v>
      </c>
      <c r="AF446" s="108">
        <f t="shared" si="2702"/>
        <v>2</v>
      </c>
      <c r="AG446" s="86">
        <f t="shared" si="2567"/>
        <v>6</v>
      </c>
      <c r="AH446" s="107">
        <f t="shared" ref="AH446:AJ446" si="2703">RANDBETWEEN(1,10)</f>
        <v>5</v>
      </c>
      <c r="AI446" s="108">
        <f t="shared" si="2703"/>
        <v>1</v>
      </c>
      <c r="AJ446" s="108">
        <f t="shared" si="2703"/>
        <v>8</v>
      </c>
      <c r="AK446" s="192">
        <f t="shared" si="2569"/>
        <v>14</v>
      </c>
      <c r="AL446" s="107"/>
      <c r="AM446" s="108"/>
      <c r="AN446" s="108"/>
      <c r="AO446" s="108"/>
      <c r="AP446" s="89"/>
      <c r="AQ446" s="107"/>
      <c r="AR446" s="108"/>
      <c r="AS446" s="108"/>
      <c r="AT446" s="193"/>
      <c r="AU446" s="107"/>
      <c r="AV446" s="108"/>
      <c r="AW446" s="108"/>
      <c r="AX446" s="194"/>
      <c r="AY446" s="92">
        <f t="shared" ref="AY446:AZ446" si="2704">RANDBETWEEN(1,10)/10</f>
        <v>0.4</v>
      </c>
      <c r="AZ446" s="92">
        <f t="shared" si="2704"/>
        <v>0.8</v>
      </c>
      <c r="BA446" s="93">
        <v>0.0</v>
      </c>
      <c r="BB446" s="93">
        <v>0.0</v>
      </c>
      <c r="BC446" s="94">
        <f>SUM(BC418,'ГОЧ'!$AY446)</f>
        <v>1207.2</v>
      </c>
      <c r="BD446" s="94">
        <f>SUM(BD418,'ГОЧ'!$AZ446)</f>
        <v>1207.5</v>
      </c>
      <c r="BE446" s="108"/>
      <c r="BF446" s="108"/>
    </row>
    <row r="447" ht="15.75" customHeight="1">
      <c r="A447" s="67">
        <f t="shared" si="2557"/>
        <v>46269</v>
      </c>
      <c r="B447" s="195" t="s">
        <v>64</v>
      </c>
      <c r="C447" s="157">
        <f t="shared" si="2558"/>
        <v>0</v>
      </c>
      <c r="D447" s="97">
        <f t="shared" ref="D447:L447" si="2705">RANDBETWEEN(0,2)</f>
        <v>0</v>
      </c>
      <c r="E447" s="97">
        <f t="shared" si="2705"/>
        <v>0</v>
      </c>
      <c r="F447" s="97">
        <f t="shared" si="2705"/>
        <v>0</v>
      </c>
      <c r="G447" s="97">
        <f t="shared" si="2705"/>
        <v>1</v>
      </c>
      <c r="H447" s="98">
        <f t="shared" si="2705"/>
        <v>2</v>
      </c>
      <c r="I447" s="99">
        <f t="shared" si="2705"/>
        <v>1</v>
      </c>
      <c r="J447" s="100">
        <f t="shared" si="2705"/>
        <v>2</v>
      </c>
      <c r="K447" s="101">
        <f t="shared" si="2705"/>
        <v>2</v>
      </c>
      <c r="L447" s="101">
        <f t="shared" si="2705"/>
        <v>2</v>
      </c>
      <c r="M447" s="140">
        <f t="shared" si="2686"/>
        <v>50</v>
      </c>
      <c r="N447" s="97">
        <f t="shared" ref="N447:T447" si="2706">RANDBETWEEN(0,10)</f>
        <v>4</v>
      </c>
      <c r="O447" s="97">
        <f t="shared" si="2706"/>
        <v>9</v>
      </c>
      <c r="P447" s="97">
        <f t="shared" si="2706"/>
        <v>9</v>
      </c>
      <c r="Q447" s="97">
        <f t="shared" si="2706"/>
        <v>8</v>
      </c>
      <c r="R447" s="97">
        <f t="shared" si="2706"/>
        <v>9</v>
      </c>
      <c r="S447" s="97">
        <f t="shared" si="2706"/>
        <v>5</v>
      </c>
      <c r="T447" s="97">
        <f t="shared" si="2706"/>
        <v>6</v>
      </c>
      <c r="U447" s="103">
        <f t="shared" si="2688"/>
        <v>23</v>
      </c>
      <c r="V447" s="158">
        <f t="shared" si="2597"/>
        <v>4</v>
      </c>
      <c r="W447" s="97">
        <f t="shared" ref="W447:Y447" si="2707">RANDBETWEEN(0,2)</f>
        <v>1</v>
      </c>
      <c r="X447" s="97">
        <f t="shared" si="2707"/>
        <v>2</v>
      </c>
      <c r="Y447" s="97">
        <f t="shared" si="2707"/>
        <v>1</v>
      </c>
      <c r="Z447" s="105">
        <f t="shared" si="2606"/>
        <v>1</v>
      </c>
      <c r="AA447" s="143">
        <f t="shared" ref="AA447:AF447" si="2708">RANDBETWEEN(0,2)</f>
        <v>0</v>
      </c>
      <c r="AB447" s="143">
        <f t="shared" si="2708"/>
        <v>1</v>
      </c>
      <c r="AC447" s="144">
        <f t="shared" si="2708"/>
        <v>0</v>
      </c>
      <c r="AD447" s="145">
        <f t="shared" si="2708"/>
        <v>1</v>
      </c>
      <c r="AE447" s="145">
        <f t="shared" si="2708"/>
        <v>2</v>
      </c>
      <c r="AF447" s="145">
        <f t="shared" si="2708"/>
        <v>2</v>
      </c>
      <c r="AG447" s="86">
        <f t="shared" si="2567"/>
        <v>5</v>
      </c>
      <c r="AH447" s="144">
        <f t="shared" ref="AH447:AJ447" si="2709">RANDBETWEEN(1,10)</f>
        <v>2</v>
      </c>
      <c r="AI447" s="145">
        <f t="shared" si="2709"/>
        <v>10</v>
      </c>
      <c r="AJ447" s="145">
        <f t="shared" si="2709"/>
        <v>10</v>
      </c>
      <c r="AK447" s="192">
        <f t="shared" si="2569"/>
        <v>22</v>
      </c>
      <c r="AL447" s="144"/>
      <c r="AM447" s="145"/>
      <c r="AN447" s="145"/>
      <c r="AO447" s="145"/>
      <c r="AP447" s="89"/>
      <c r="AQ447" s="144"/>
      <c r="AR447" s="145"/>
      <c r="AS447" s="145"/>
      <c r="AT447" s="193"/>
      <c r="AU447" s="144"/>
      <c r="AV447" s="145"/>
      <c r="AW447" s="145"/>
      <c r="AX447" s="194"/>
      <c r="AY447" s="92">
        <f t="shared" ref="AY447:AZ447" si="2710">RANDBETWEEN(1,10)/10</f>
        <v>0.5</v>
      </c>
      <c r="AZ447" s="92">
        <f t="shared" si="2710"/>
        <v>0.1</v>
      </c>
      <c r="BA447" s="93">
        <v>0.0</v>
      </c>
      <c r="BB447" s="93">
        <v>0.0</v>
      </c>
      <c r="BC447" s="94">
        <f>SUM(BC419,'ГОЧ'!$AY447)</f>
        <v>1206.9</v>
      </c>
      <c r="BD447" s="94">
        <f>SUM(BD419,'ГОЧ'!$AZ447)</f>
        <v>1206.8</v>
      </c>
      <c r="BE447" s="108"/>
      <c r="BF447" s="108"/>
    </row>
    <row r="448" ht="15.75" customHeight="1">
      <c r="A448" s="67">
        <f t="shared" si="2557"/>
        <v>46269</v>
      </c>
      <c r="B448" s="201" t="s">
        <v>67</v>
      </c>
      <c r="C448" s="164">
        <f t="shared" si="2558"/>
        <v>5</v>
      </c>
      <c r="D448" s="164">
        <f t="shared" ref="D448:L448" si="2711">SUM(D443:D447)</f>
        <v>2</v>
      </c>
      <c r="E448" s="165">
        <f t="shared" si="2711"/>
        <v>2</v>
      </c>
      <c r="F448" s="165">
        <f t="shared" si="2711"/>
        <v>3</v>
      </c>
      <c r="G448" s="165">
        <f t="shared" si="2711"/>
        <v>6</v>
      </c>
      <c r="H448" s="165">
        <f t="shared" si="2711"/>
        <v>4</v>
      </c>
      <c r="I448" s="165">
        <f t="shared" si="2711"/>
        <v>4</v>
      </c>
      <c r="J448" s="165">
        <f t="shared" si="2711"/>
        <v>5</v>
      </c>
      <c r="K448" s="165">
        <f t="shared" si="2711"/>
        <v>4</v>
      </c>
      <c r="L448" s="165">
        <f t="shared" si="2711"/>
        <v>7</v>
      </c>
      <c r="M448" s="164">
        <f t="shared" si="2686"/>
        <v>154</v>
      </c>
      <c r="N448" s="164">
        <f t="shared" ref="N448:U448" si="2712">SUM(N443:N447)</f>
        <v>22</v>
      </c>
      <c r="O448" s="165">
        <f t="shared" si="2712"/>
        <v>29</v>
      </c>
      <c r="P448" s="165">
        <f t="shared" si="2712"/>
        <v>32</v>
      </c>
      <c r="Q448" s="165">
        <f t="shared" si="2712"/>
        <v>28</v>
      </c>
      <c r="R448" s="165">
        <f t="shared" si="2712"/>
        <v>22</v>
      </c>
      <c r="S448" s="165">
        <f t="shared" si="2712"/>
        <v>9</v>
      </c>
      <c r="T448" s="165">
        <f t="shared" si="2712"/>
        <v>12</v>
      </c>
      <c r="U448" s="164">
        <f t="shared" si="2712"/>
        <v>107</v>
      </c>
      <c r="V448" s="164">
        <f t="shared" si="2597"/>
        <v>15</v>
      </c>
      <c r="W448" s="165">
        <f t="shared" ref="W448:Y448" si="2713">SUM(W443:W447)</f>
        <v>3</v>
      </c>
      <c r="X448" s="165">
        <f t="shared" si="2713"/>
        <v>8</v>
      </c>
      <c r="Y448" s="165">
        <f t="shared" si="2713"/>
        <v>4</v>
      </c>
      <c r="Z448" s="164">
        <f>SUM(AA448:AB448)</f>
        <v>9</v>
      </c>
      <c r="AA448" s="164">
        <f t="shared" ref="AA448:AF448" si="2714">SUM(AA443:AA447)</f>
        <v>3</v>
      </c>
      <c r="AB448" s="165">
        <f t="shared" si="2714"/>
        <v>6</v>
      </c>
      <c r="AC448" s="166">
        <f t="shared" si="2714"/>
        <v>4</v>
      </c>
      <c r="AD448" s="166">
        <f t="shared" si="2714"/>
        <v>8</v>
      </c>
      <c r="AE448" s="166">
        <f t="shared" si="2714"/>
        <v>4</v>
      </c>
      <c r="AF448" s="166">
        <f t="shared" si="2714"/>
        <v>6</v>
      </c>
      <c r="AG448" s="168">
        <f t="shared" si="2567"/>
        <v>22</v>
      </c>
      <c r="AH448" s="166">
        <f t="shared" ref="AH448:AJ448" si="2715">SUM(AH443:AH447)</f>
        <v>23</v>
      </c>
      <c r="AI448" s="167">
        <f t="shared" si="2715"/>
        <v>29</v>
      </c>
      <c r="AJ448" s="167">
        <f t="shared" si="2715"/>
        <v>41</v>
      </c>
      <c r="AK448" s="168">
        <f t="shared" si="2569"/>
        <v>93</v>
      </c>
      <c r="AL448" s="166"/>
      <c r="AM448" s="166"/>
      <c r="AN448" s="166"/>
      <c r="AO448" s="166"/>
      <c r="AP448" s="169"/>
      <c r="AQ448" s="166"/>
      <c r="AR448" s="167"/>
      <c r="AS448" s="167"/>
      <c r="AT448" s="170"/>
      <c r="AU448" s="166"/>
      <c r="AV448" s="167"/>
      <c r="AW448" s="167"/>
      <c r="AX448" s="171"/>
      <c r="AY448" s="196">
        <f t="shared" ref="AY448:BD448" si="2716">SUM(AY443:AY447)</f>
        <v>2.4</v>
      </c>
      <c r="AZ448" s="196">
        <f t="shared" si="2716"/>
        <v>2.2</v>
      </c>
      <c r="BA448" s="167">
        <f t="shared" si="2716"/>
        <v>0</v>
      </c>
      <c r="BB448" s="167">
        <f t="shared" si="2716"/>
        <v>0</v>
      </c>
      <c r="BC448" s="197">
        <f t="shared" si="2716"/>
        <v>6037.6</v>
      </c>
      <c r="BD448" s="197">
        <f t="shared" si="2716"/>
        <v>6037.4</v>
      </c>
      <c r="BE448" s="154" t="str">
        <f t="shared" ref="BE448:BF448" si="2717">TEXTJOIN(", ",TRUE,BE443:BE447)</f>
        <v/>
      </c>
      <c r="BF448" s="154" t="str">
        <f t="shared" si="2717"/>
        <v/>
      </c>
    </row>
    <row r="449" ht="15.75" customHeight="1">
      <c r="A449" s="67">
        <f t="shared" si="2557"/>
        <v>46269</v>
      </c>
      <c r="B449" s="202" t="s">
        <v>72</v>
      </c>
      <c r="C449" s="203">
        <f t="shared" ref="C449:AK449" si="2718">SUM(C423+C424+C425+C429,C428,C435,C442,C448)</f>
        <v>38</v>
      </c>
      <c r="D449" s="203">
        <f t="shared" si="2718"/>
        <v>20</v>
      </c>
      <c r="E449" s="203">
        <f t="shared" si="2718"/>
        <v>19</v>
      </c>
      <c r="F449" s="203">
        <f t="shared" si="2718"/>
        <v>18</v>
      </c>
      <c r="G449" s="203">
        <f t="shared" si="2718"/>
        <v>20</v>
      </c>
      <c r="H449" s="203">
        <f t="shared" si="2718"/>
        <v>19</v>
      </c>
      <c r="I449" s="203">
        <f t="shared" si="2718"/>
        <v>21</v>
      </c>
      <c r="J449" s="203">
        <f t="shared" si="2718"/>
        <v>22</v>
      </c>
      <c r="K449" s="203">
        <f t="shared" si="2718"/>
        <v>23</v>
      </c>
      <c r="L449" s="203">
        <f t="shared" si="2718"/>
        <v>21</v>
      </c>
      <c r="M449" s="203">
        <f t="shared" si="2718"/>
        <v>689</v>
      </c>
      <c r="N449" s="203">
        <f t="shared" si="2718"/>
        <v>84</v>
      </c>
      <c r="O449" s="203">
        <f t="shared" si="2718"/>
        <v>89</v>
      </c>
      <c r="P449" s="203">
        <f t="shared" si="2718"/>
        <v>117</v>
      </c>
      <c r="Q449" s="203">
        <f t="shared" si="2718"/>
        <v>117</v>
      </c>
      <c r="R449" s="203">
        <f t="shared" si="2718"/>
        <v>74</v>
      </c>
      <c r="S449" s="203">
        <f t="shared" si="2718"/>
        <v>86</v>
      </c>
      <c r="T449" s="203">
        <f t="shared" si="2718"/>
        <v>122</v>
      </c>
      <c r="U449" s="203">
        <f t="shared" si="2718"/>
        <v>404</v>
      </c>
      <c r="V449" s="203">
        <f t="shared" si="2718"/>
        <v>59</v>
      </c>
      <c r="W449" s="203">
        <f t="shared" si="2718"/>
        <v>17</v>
      </c>
      <c r="X449" s="203">
        <f t="shared" si="2718"/>
        <v>24</v>
      </c>
      <c r="Y449" s="203">
        <f t="shared" si="2718"/>
        <v>18</v>
      </c>
      <c r="Z449" s="203">
        <f t="shared" si="2718"/>
        <v>34</v>
      </c>
      <c r="AA449" s="203">
        <f t="shared" si="2718"/>
        <v>18</v>
      </c>
      <c r="AB449" s="203">
        <f t="shared" si="2718"/>
        <v>16</v>
      </c>
      <c r="AC449" s="204">
        <f t="shared" si="2718"/>
        <v>15</v>
      </c>
      <c r="AD449" s="204">
        <f t="shared" si="2718"/>
        <v>24</v>
      </c>
      <c r="AE449" s="204">
        <f t="shared" si="2718"/>
        <v>17</v>
      </c>
      <c r="AF449" s="204">
        <f t="shared" si="2718"/>
        <v>15</v>
      </c>
      <c r="AG449" s="204">
        <f t="shared" si="2718"/>
        <v>71</v>
      </c>
      <c r="AH449" s="204">
        <f t="shared" si="2718"/>
        <v>96</v>
      </c>
      <c r="AI449" s="204">
        <f t="shared" si="2718"/>
        <v>133</v>
      </c>
      <c r="AJ449" s="204">
        <f t="shared" si="2718"/>
        <v>123</v>
      </c>
      <c r="AK449" s="204">
        <f t="shared" si="2718"/>
        <v>352</v>
      </c>
      <c r="AL449" s="204"/>
      <c r="AM449" s="204"/>
      <c r="AN449" s="204"/>
      <c r="AO449" s="204"/>
      <c r="AP449" s="151"/>
      <c r="AQ449" s="204"/>
      <c r="AR449" s="204"/>
      <c r="AS449" s="204"/>
      <c r="AT449" s="152"/>
      <c r="AU449" s="204"/>
      <c r="AV449" s="204"/>
      <c r="AW449" s="204"/>
      <c r="AX449" s="153"/>
      <c r="AY449" s="205">
        <f t="shared" ref="AY449:BD449" si="2719">SUM(AY423+AY424+AY425+AY429,AY428,AY435,AY442,AY448)</f>
        <v>12.3</v>
      </c>
      <c r="AZ449" s="205">
        <f t="shared" si="2719"/>
        <v>13.5</v>
      </c>
      <c r="BA449" s="206">
        <f t="shared" si="2719"/>
        <v>5</v>
      </c>
      <c r="BB449" s="206">
        <f t="shared" si="2719"/>
        <v>3</v>
      </c>
      <c r="BC449" s="207">
        <f t="shared" si="2719"/>
        <v>26579.7</v>
      </c>
      <c r="BD449" s="207">
        <f t="shared" si="2719"/>
        <v>26584.1</v>
      </c>
      <c r="BE449" s="154" t="str">
        <f t="shared" ref="BE449:BF449" si="2720">TEXTJOIN(", ",TRUE,BE448,BE442,BE435,BE429,BE428,BE425,BE424,BE423)</f>
        <v>Олександівка, Пантелеймонівка, Миколаївка, Курськ, Рильск</v>
      </c>
      <c r="BF449" s="154" t="str">
        <f t="shared" si="2720"/>
        <v>Загреблі, Верхні води, Ступочки</v>
      </c>
    </row>
    <row r="450" ht="15.75" customHeight="1">
      <c r="A450" s="55">
        <f>A449+1</f>
        <v>46270</v>
      </c>
      <c r="B450" s="56"/>
      <c r="C450" s="57"/>
      <c r="D450" s="58"/>
      <c r="E450" s="59"/>
      <c r="F450" s="58"/>
      <c r="G450" s="59"/>
      <c r="H450" s="57"/>
      <c r="I450" s="60"/>
      <c r="J450" s="57"/>
      <c r="K450" s="57"/>
      <c r="L450" s="57"/>
      <c r="M450" s="57"/>
      <c r="N450" s="60"/>
      <c r="O450" s="60"/>
      <c r="P450" s="60"/>
      <c r="Q450" s="60"/>
      <c r="R450" s="60"/>
      <c r="S450" s="60"/>
      <c r="T450" s="60"/>
      <c r="U450" s="57"/>
      <c r="V450" s="58"/>
      <c r="W450" s="61"/>
      <c r="X450" s="61"/>
      <c r="Y450" s="61"/>
      <c r="Z450" s="57"/>
      <c r="AA450" s="60"/>
      <c r="AB450" s="60"/>
      <c r="AC450" s="62"/>
      <c r="AD450" s="62"/>
      <c r="AE450" s="62"/>
      <c r="AF450" s="62"/>
      <c r="AG450" s="62"/>
      <c r="AH450" s="62"/>
      <c r="AI450" s="62"/>
      <c r="AJ450" s="62"/>
      <c r="AK450" s="62"/>
      <c r="AL450" s="62"/>
      <c r="AM450" s="62"/>
      <c r="AN450" s="62"/>
      <c r="AO450" s="62"/>
      <c r="AP450" s="64"/>
      <c r="AQ450" s="62"/>
      <c r="AR450" s="62"/>
      <c r="AS450" s="62"/>
      <c r="AT450" s="65"/>
      <c r="AU450" s="62"/>
      <c r="AV450" s="62"/>
      <c r="AW450" s="62"/>
      <c r="AX450" s="66"/>
      <c r="AY450" s="208"/>
      <c r="AZ450" s="208"/>
      <c r="BA450" s="62"/>
      <c r="BB450" s="62"/>
      <c r="BC450" s="209"/>
      <c r="BD450" s="209"/>
      <c r="BE450" s="62"/>
      <c r="BF450" s="62"/>
    </row>
    <row r="451" ht="15.75" customHeight="1">
      <c r="A451" s="67">
        <f t="shared" ref="A451:A477" si="2722">A450</f>
        <v>46270</v>
      </c>
      <c r="B451" s="70" t="s">
        <v>8</v>
      </c>
      <c r="C451" s="72">
        <v>2.0</v>
      </c>
      <c r="D451" s="74">
        <v>1.0</v>
      </c>
      <c r="E451" s="74">
        <v>0.0</v>
      </c>
      <c r="F451" s="74">
        <v>1.0</v>
      </c>
      <c r="G451" s="74">
        <v>2.0</v>
      </c>
      <c r="H451" s="75">
        <v>2.0</v>
      </c>
      <c r="I451" s="76">
        <v>0.0</v>
      </c>
      <c r="J451" s="77">
        <v>2.0</v>
      </c>
      <c r="K451" s="78">
        <v>0.0</v>
      </c>
      <c r="L451" s="78">
        <v>1.0</v>
      </c>
      <c r="M451" s="79">
        <v>42.0</v>
      </c>
      <c r="N451" s="74">
        <v>10.0</v>
      </c>
      <c r="O451" s="74">
        <v>3.0</v>
      </c>
      <c r="P451" s="74">
        <v>4.0</v>
      </c>
      <c r="Q451" s="74">
        <v>4.0</v>
      </c>
      <c r="R451" s="74">
        <v>10.0</v>
      </c>
      <c r="S451" s="74">
        <v>8.0</v>
      </c>
      <c r="T451" s="74">
        <v>3.0</v>
      </c>
      <c r="U451" s="81">
        <v>11.0</v>
      </c>
      <c r="V451" s="82">
        <v>2.0</v>
      </c>
      <c r="W451" s="74">
        <v>0.0</v>
      </c>
      <c r="X451" s="74">
        <v>1.0</v>
      </c>
      <c r="Y451" s="74">
        <v>1.0</v>
      </c>
      <c r="Z451" s="83">
        <v>2.0</v>
      </c>
      <c r="AA451" s="84">
        <v>1.0</v>
      </c>
      <c r="AB451" s="84">
        <v>1.0</v>
      </c>
      <c r="AC451" s="85">
        <v>1.0</v>
      </c>
      <c r="AD451" s="85">
        <v>2.0</v>
      </c>
      <c r="AE451" s="85">
        <v>2.0</v>
      </c>
      <c r="AF451" s="85">
        <v>1.0</v>
      </c>
      <c r="AG451" s="86">
        <v>6.0</v>
      </c>
      <c r="AH451" s="87">
        <v>5.0</v>
      </c>
      <c r="AI451" s="85">
        <v>10.0</v>
      </c>
      <c r="AJ451" s="85">
        <v>5.0</v>
      </c>
      <c r="AK451" s="88">
        <v>20.0</v>
      </c>
      <c r="AL451" s="85"/>
      <c r="AM451" s="85"/>
      <c r="AN451" s="85"/>
      <c r="AO451" s="85"/>
      <c r="AP451" s="89"/>
      <c r="AQ451" s="87"/>
      <c r="AR451" s="85"/>
      <c r="AS451" s="85"/>
      <c r="AT451" s="90"/>
      <c r="AU451" s="87"/>
      <c r="AV451" s="85"/>
      <c r="AW451" s="85"/>
      <c r="AX451" s="91"/>
      <c r="AY451" s="92">
        <f t="shared" ref="AY451:AZ451" si="2721">RANDBETWEEN(1,10)/10</f>
        <v>0.2</v>
      </c>
      <c r="AZ451" s="92">
        <f t="shared" si="2721"/>
        <v>0.5</v>
      </c>
      <c r="BA451" s="93">
        <v>0.0</v>
      </c>
      <c r="BB451" s="93">
        <v>0.0</v>
      </c>
      <c r="BC451" s="94">
        <f>SUM(BC423,'ГОЧ'!$AY451)</f>
        <v>1211</v>
      </c>
      <c r="BD451" s="94">
        <f>SUM(BD423,'ГОЧ'!$AZ451)</f>
        <v>1211.2</v>
      </c>
      <c r="BE451" s="85"/>
      <c r="BF451" s="85"/>
    </row>
    <row r="452" ht="15.75" customHeight="1">
      <c r="A452" s="67">
        <f t="shared" si="2722"/>
        <v>46270</v>
      </c>
      <c r="B452" s="95" t="s">
        <v>10</v>
      </c>
      <c r="C452" s="96">
        <v>1.0</v>
      </c>
      <c r="D452" s="97">
        <v>0.0</v>
      </c>
      <c r="E452" s="97">
        <v>2.0</v>
      </c>
      <c r="F452" s="97">
        <v>1.0</v>
      </c>
      <c r="G452" s="97">
        <v>0.0</v>
      </c>
      <c r="H452" s="98">
        <v>1.0</v>
      </c>
      <c r="I452" s="99">
        <v>2.0</v>
      </c>
      <c r="J452" s="100">
        <v>0.0</v>
      </c>
      <c r="K452" s="101">
        <v>2.0</v>
      </c>
      <c r="L452" s="101">
        <v>0.0</v>
      </c>
      <c r="M452" s="102">
        <v>28.0</v>
      </c>
      <c r="N452" s="97">
        <v>5.0</v>
      </c>
      <c r="O452" s="97">
        <v>6.0</v>
      </c>
      <c r="P452" s="97">
        <v>3.0</v>
      </c>
      <c r="Q452" s="97">
        <v>5.0</v>
      </c>
      <c r="R452" s="97">
        <v>1.0</v>
      </c>
      <c r="S452" s="97">
        <v>7.0</v>
      </c>
      <c r="T452" s="97">
        <v>1.0</v>
      </c>
      <c r="U452" s="103">
        <v>25.0</v>
      </c>
      <c r="V452" s="104">
        <v>1.0</v>
      </c>
      <c r="W452" s="97">
        <v>1.0</v>
      </c>
      <c r="X452" s="97">
        <v>0.0</v>
      </c>
      <c r="Y452" s="97">
        <v>0.0</v>
      </c>
      <c r="Z452" s="105">
        <v>4.0</v>
      </c>
      <c r="AA452" s="106">
        <v>2.0</v>
      </c>
      <c r="AB452" s="106">
        <v>2.0</v>
      </c>
      <c r="AC452" s="107">
        <v>2.0</v>
      </c>
      <c r="AD452" s="108">
        <v>2.0</v>
      </c>
      <c r="AE452" s="108">
        <v>2.0</v>
      </c>
      <c r="AF452" s="108">
        <v>2.0</v>
      </c>
      <c r="AG452" s="109">
        <v>8.0</v>
      </c>
      <c r="AH452" s="107">
        <v>2.0</v>
      </c>
      <c r="AI452" s="108">
        <v>2.0</v>
      </c>
      <c r="AJ452" s="108">
        <v>9.0</v>
      </c>
      <c r="AK452" s="110">
        <v>13.0</v>
      </c>
      <c r="AL452" s="107"/>
      <c r="AM452" s="108"/>
      <c r="AN452" s="108"/>
      <c r="AO452" s="108"/>
      <c r="AP452" s="111"/>
      <c r="AQ452" s="107"/>
      <c r="AR452" s="108"/>
      <c r="AS452" s="108"/>
      <c r="AT452" s="112"/>
      <c r="AU452" s="107"/>
      <c r="AV452" s="108"/>
      <c r="AW452" s="108"/>
      <c r="AX452" s="113"/>
      <c r="AY452" s="92">
        <f t="shared" ref="AY452:AZ452" si="2723">RANDBETWEEN(1,10)/10</f>
        <v>0.9</v>
      </c>
      <c r="AZ452" s="92">
        <f t="shared" si="2723"/>
        <v>0.3</v>
      </c>
      <c r="BA452" s="93">
        <v>0.0</v>
      </c>
      <c r="BB452" s="93">
        <v>0.0</v>
      </c>
      <c r="BC452" s="94">
        <f>SUM(BC424,'ГОЧ'!$AY452)</f>
        <v>1208.6</v>
      </c>
      <c r="BD452" s="94">
        <f>SUM(BD424,'ГОЧ'!$AZ452)</f>
        <v>1209.5</v>
      </c>
      <c r="BE452" s="108"/>
      <c r="BF452" s="108"/>
    </row>
    <row r="453" ht="15.75" customHeight="1">
      <c r="A453" s="67">
        <f t="shared" si="2722"/>
        <v>46270</v>
      </c>
      <c r="B453" s="114" t="s">
        <v>12</v>
      </c>
      <c r="C453" s="115">
        <v>0.0</v>
      </c>
      <c r="D453" s="115">
        <v>0.0</v>
      </c>
      <c r="E453" s="116">
        <v>0.0</v>
      </c>
      <c r="F453" s="116">
        <v>0.0</v>
      </c>
      <c r="G453" s="116">
        <v>0.0</v>
      </c>
      <c r="H453" s="115">
        <v>0.0</v>
      </c>
      <c r="I453" s="116">
        <v>0.0</v>
      </c>
      <c r="J453" s="115">
        <v>0.0</v>
      </c>
      <c r="K453" s="116">
        <v>0.0</v>
      </c>
      <c r="L453" s="116">
        <v>0.0</v>
      </c>
      <c r="M453" s="115">
        <v>0.0</v>
      </c>
      <c r="N453" s="115">
        <v>0.0</v>
      </c>
      <c r="O453" s="116">
        <v>0.0</v>
      </c>
      <c r="P453" s="116">
        <v>0.0</v>
      </c>
      <c r="Q453" s="116">
        <v>0.0</v>
      </c>
      <c r="R453" s="116">
        <v>0.0</v>
      </c>
      <c r="S453" s="116">
        <v>0.0</v>
      </c>
      <c r="T453" s="116">
        <v>0.0</v>
      </c>
      <c r="U453" s="115">
        <v>0.0</v>
      </c>
      <c r="V453" s="115">
        <v>0.0</v>
      </c>
      <c r="W453" s="116">
        <v>0.0</v>
      </c>
      <c r="X453" s="116">
        <v>0.0</v>
      </c>
      <c r="Y453" s="116">
        <v>0.0</v>
      </c>
      <c r="Z453" s="116">
        <v>0.0</v>
      </c>
      <c r="AA453" s="116">
        <v>0.0</v>
      </c>
      <c r="AB453" s="116">
        <v>0.0</v>
      </c>
      <c r="AC453" s="117">
        <v>0.0</v>
      </c>
      <c r="AD453" s="118">
        <v>0.0</v>
      </c>
      <c r="AE453" s="118">
        <v>0.0</v>
      </c>
      <c r="AF453" s="118">
        <v>0.0</v>
      </c>
      <c r="AG453" s="119">
        <v>0.0</v>
      </c>
      <c r="AH453" s="117">
        <v>0.0</v>
      </c>
      <c r="AI453" s="118">
        <v>0.0</v>
      </c>
      <c r="AJ453" s="118">
        <v>0.0</v>
      </c>
      <c r="AK453" s="119">
        <v>0.0</v>
      </c>
      <c r="AL453" s="117"/>
      <c r="AM453" s="118"/>
      <c r="AN453" s="118"/>
      <c r="AO453" s="118"/>
      <c r="AP453" s="111"/>
      <c r="AQ453" s="117"/>
      <c r="AR453" s="118"/>
      <c r="AS453" s="118"/>
      <c r="AT453" s="120"/>
      <c r="AU453" s="117"/>
      <c r="AV453" s="118"/>
      <c r="AW453" s="118"/>
      <c r="AX453" s="121"/>
      <c r="AY453" s="122">
        <f t="shared" ref="AY453:BD453" si="2724">SUM(AY451:AY452)</f>
        <v>1.1</v>
      </c>
      <c r="AZ453" s="122">
        <f t="shared" si="2724"/>
        <v>0.8</v>
      </c>
      <c r="BA453" s="118">
        <f t="shared" si="2724"/>
        <v>0</v>
      </c>
      <c r="BB453" s="118">
        <f t="shared" si="2724"/>
        <v>0</v>
      </c>
      <c r="BC453" s="123">
        <f t="shared" si="2724"/>
        <v>2419.6</v>
      </c>
      <c r="BD453" s="123">
        <f t="shared" si="2724"/>
        <v>2420.7</v>
      </c>
      <c r="BE453" s="118"/>
      <c r="BF453" s="118"/>
    </row>
    <row r="454" ht="15.75" customHeight="1">
      <c r="A454" s="67">
        <f t="shared" si="2722"/>
        <v>46270</v>
      </c>
      <c r="B454" s="124" t="s">
        <v>14</v>
      </c>
      <c r="C454" s="96">
        <v>2.0</v>
      </c>
      <c r="D454" s="125">
        <v>1.0</v>
      </c>
      <c r="E454" s="125">
        <v>2.0</v>
      </c>
      <c r="F454" s="125">
        <v>1.0</v>
      </c>
      <c r="G454" s="125">
        <v>2.0</v>
      </c>
      <c r="H454" s="126">
        <v>2.0</v>
      </c>
      <c r="I454" s="127">
        <v>2.0</v>
      </c>
      <c r="J454" s="128">
        <v>0.0</v>
      </c>
      <c r="K454" s="130">
        <v>2.0</v>
      </c>
      <c r="L454" s="130">
        <v>1.0</v>
      </c>
      <c r="M454" s="102">
        <v>43.0</v>
      </c>
      <c r="N454" s="125">
        <v>3.0</v>
      </c>
      <c r="O454" s="125">
        <v>10.0</v>
      </c>
      <c r="P454" s="125">
        <v>4.0</v>
      </c>
      <c r="Q454" s="125">
        <v>10.0</v>
      </c>
      <c r="R454" s="125">
        <v>7.0</v>
      </c>
      <c r="S454" s="125">
        <v>1.0</v>
      </c>
      <c r="T454" s="125">
        <v>8.0</v>
      </c>
      <c r="U454" s="103">
        <v>27.0</v>
      </c>
      <c r="V454" s="131">
        <v>4.0</v>
      </c>
      <c r="W454" s="125">
        <v>2.0</v>
      </c>
      <c r="X454" s="125">
        <v>2.0</v>
      </c>
      <c r="Y454" s="125">
        <v>0.0</v>
      </c>
      <c r="Z454" s="132">
        <v>2.0</v>
      </c>
      <c r="AA454" s="133">
        <v>0.0</v>
      </c>
      <c r="AB454" s="133">
        <v>2.0</v>
      </c>
      <c r="AC454" s="134">
        <v>0.0</v>
      </c>
      <c r="AD454" s="134">
        <v>1.0</v>
      </c>
      <c r="AE454" s="134">
        <v>2.0</v>
      </c>
      <c r="AF454" s="134">
        <v>2.0</v>
      </c>
      <c r="AG454" s="135">
        <v>5.0</v>
      </c>
      <c r="AH454" s="136">
        <v>8.0</v>
      </c>
      <c r="AI454" s="134">
        <v>8.0</v>
      </c>
      <c r="AJ454" s="134">
        <v>3.0</v>
      </c>
      <c r="AK454" s="137">
        <v>19.0</v>
      </c>
      <c r="AL454" s="134"/>
      <c r="AM454" s="134"/>
      <c r="AN454" s="134"/>
      <c r="AO454" s="134"/>
      <c r="AP454" s="111"/>
      <c r="AQ454" s="136"/>
      <c r="AR454" s="134"/>
      <c r="AS454" s="134"/>
      <c r="AT454" s="120"/>
      <c r="AU454" s="136"/>
      <c r="AV454" s="134"/>
      <c r="AW454" s="134"/>
      <c r="AX454" s="121"/>
      <c r="AY454" s="92">
        <f t="shared" ref="AY454:AZ454" si="2725">RANDBETWEEN(1,10)/10</f>
        <v>0.3</v>
      </c>
      <c r="AZ454" s="92">
        <f t="shared" si="2725"/>
        <v>0.3</v>
      </c>
      <c r="BA454" s="93">
        <v>0.0</v>
      </c>
      <c r="BB454" s="93">
        <v>0.0</v>
      </c>
      <c r="BC454" s="94">
        <f>SUM(BC426,'ГОЧ'!$AY454)</f>
        <v>1207.4</v>
      </c>
      <c r="BD454" s="94">
        <f>SUM(BD426,'ГОЧ'!$AZ454)</f>
        <v>1207.1</v>
      </c>
      <c r="BE454" s="108"/>
      <c r="BF454" s="108"/>
    </row>
    <row r="455" ht="15.75" customHeight="1">
      <c r="A455" s="67">
        <f t="shared" si="2722"/>
        <v>46270</v>
      </c>
      <c r="B455" s="138" t="s">
        <v>16</v>
      </c>
      <c r="C455" s="139">
        <v>1.0</v>
      </c>
      <c r="D455" s="97">
        <v>1.0</v>
      </c>
      <c r="E455" s="97">
        <v>0.0</v>
      </c>
      <c r="F455" s="97">
        <v>0.0</v>
      </c>
      <c r="G455" s="97">
        <v>1.0</v>
      </c>
      <c r="H455" s="98">
        <v>1.0</v>
      </c>
      <c r="I455" s="99">
        <v>2.0</v>
      </c>
      <c r="J455" s="100">
        <v>1.0</v>
      </c>
      <c r="K455" s="101">
        <v>0.0</v>
      </c>
      <c r="L455" s="101">
        <v>0.0</v>
      </c>
      <c r="M455" s="140">
        <v>44.0</v>
      </c>
      <c r="N455" s="97">
        <v>4.0</v>
      </c>
      <c r="O455" s="97">
        <v>7.0</v>
      </c>
      <c r="P455" s="97">
        <v>6.0</v>
      </c>
      <c r="Q455" s="97">
        <v>8.0</v>
      </c>
      <c r="R455" s="97">
        <v>10.0</v>
      </c>
      <c r="S455" s="97">
        <v>6.0</v>
      </c>
      <c r="T455" s="97">
        <v>3.0</v>
      </c>
      <c r="U455" s="103">
        <v>26.0</v>
      </c>
      <c r="V455" s="141">
        <v>4.0</v>
      </c>
      <c r="W455" s="97">
        <v>2.0</v>
      </c>
      <c r="X455" s="97">
        <v>1.0</v>
      </c>
      <c r="Y455" s="97">
        <v>1.0</v>
      </c>
      <c r="Z455" s="142">
        <v>3.0</v>
      </c>
      <c r="AA455" s="143">
        <v>1.0</v>
      </c>
      <c r="AB455" s="143">
        <v>2.0</v>
      </c>
      <c r="AC455" s="144">
        <v>0.0</v>
      </c>
      <c r="AD455" s="145">
        <v>1.0</v>
      </c>
      <c r="AE455" s="145">
        <v>1.0</v>
      </c>
      <c r="AF455" s="145">
        <v>0.0</v>
      </c>
      <c r="AG455" s="146">
        <v>2.0</v>
      </c>
      <c r="AH455" s="144">
        <v>5.0</v>
      </c>
      <c r="AI455" s="145">
        <v>6.0</v>
      </c>
      <c r="AJ455" s="145">
        <v>4.0</v>
      </c>
      <c r="AK455" s="147">
        <v>15.0</v>
      </c>
      <c r="AL455" s="144"/>
      <c r="AM455" s="145"/>
      <c r="AN455" s="145"/>
      <c r="AO455" s="145"/>
      <c r="AP455" s="148"/>
      <c r="AQ455" s="144"/>
      <c r="AR455" s="145"/>
      <c r="AS455" s="145"/>
      <c r="AT455" s="149"/>
      <c r="AU455" s="144"/>
      <c r="AV455" s="145"/>
      <c r="AW455" s="145"/>
      <c r="AX455" s="150"/>
      <c r="AY455" s="92">
        <f t="shared" ref="AY455:AZ455" si="2726">RANDBETWEEN(1,10)/10</f>
        <v>0.5</v>
      </c>
      <c r="AZ455" s="92">
        <f t="shared" si="2726"/>
        <v>0.4</v>
      </c>
      <c r="BA455" s="93">
        <v>0.0</v>
      </c>
      <c r="BB455" s="93">
        <v>0.0</v>
      </c>
      <c r="BC455" s="94">
        <f>SUM(BC427,'ГОЧ'!$AY455)</f>
        <v>1208.1</v>
      </c>
      <c r="BD455" s="94">
        <f>SUM(BD427,'ГОЧ'!$AZ455)</f>
        <v>1209.3</v>
      </c>
      <c r="BE455" s="108"/>
      <c r="BF455" s="108"/>
    </row>
    <row r="456" ht="15.75" customHeight="1">
      <c r="A456" s="67">
        <f t="shared" si="2722"/>
        <v>46270</v>
      </c>
      <c r="B456" s="114" t="s">
        <v>18</v>
      </c>
      <c r="C456" s="115">
        <v>3.0</v>
      </c>
      <c r="D456" s="115">
        <v>2.0</v>
      </c>
      <c r="E456" s="116">
        <v>2.0</v>
      </c>
      <c r="F456" s="116">
        <v>1.0</v>
      </c>
      <c r="G456" s="116">
        <v>3.0</v>
      </c>
      <c r="H456" s="115">
        <v>3.0</v>
      </c>
      <c r="I456" s="116">
        <v>4.0</v>
      </c>
      <c r="J456" s="115">
        <v>1.0</v>
      </c>
      <c r="K456" s="116">
        <v>2.0</v>
      </c>
      <c r="L456" s="116">
        <v>1.0</v>
      </c>
      <c r="M456" s="115">
        <v>70.0</v>
      </c>
      <c r="N456" s="115">
        <v>7.0</v>
      </c>
      <c r="O456" s="116">
        <v>17.0</v>
      </c>
      <c r="P456" s="116">
        <v>10.0</v>
      </c>
      <c r="Q456" s="116">
        <v>18.0</v>
      </c>
      <c r="R456" s="116">
        <v>0.0</v>
      </c>
      <c r="S456" s="116">
        <v>7.0</v>
      </c>
      <c r="T456" s="116">
        <v>11.0</v>
      </c>
      <c r="U456" s="115">
        <v>53.0</v>
      </c>
      <c r="V456" s="115">
        <v>8.0</v>
      </c>
      <c r="W456" s="116">
        <v>4.0</v>
      </c>
      <c r="X456" s="116">
        <v>3.0</v>
      </c>
      <c r="Y456" s="116">
        <v>1.0</v>
      </c>
      <c r="Z456" s="116">
        <v>5.0</v>
      </c>
      <c r="AA456" s="116">
        <v>1.0</v>
      </c>
      <c r="AB456" s="116">
        <v>4.0</v>
      </c>
      <c r="AC456" s="118">
        <v>0.0</v>
      </c>
      <c r="AD456" s="118">
        <v>2.0</v>
      </c>
      <c r="AE456" s="118">
        <v>3.0</v>
      </c>
      <c r="AF456" s="118">
        <v>2.0</v>
      </c>
      <c r="AG456" s="117">
        <v>7.0</v>
      </c>
      <c r="AH456" s="117">
        <v>13.0</v>
      </c>
      <c r="AI456" s="118">
        <v>14.0</v>
      </c>
      <c r="AJ456" s="118">
        <v>7.0</v>
      </c>
      <c r="AK456" s="117">
        <v>34.0</v>
      </c>
      <c r="AL456" s="118"/>
      <c r="AM456" s="118"/>
      <c r="AN456" s="118"/>
      <c r="AO456" s="118"/>
      <c r="AP456" s="151"/>
      <c r="AQ456" s="117"/>
      <c r="AR456" s="118"/>
      <c r="AS456" s="118"/>
      <c r="AT456" s="152"/>
      <c r="AU456" s="117"/>
      <c r="AV456" s="118"/>
      <c r="AW456" s="118"/>
      <c r="AX456" s="153"/>
      <c r="AY456" s="122">
        <f t="shared" ref="AY456:BD456" si="2727">SUM(AY454:AY455)</f>
        <v>0.8</v>
      </c>
      <c r="AZ456" s="122">
        <f t="shared" si="2727"/>
        <v>0.7</v>
      </c>
      <c r="BA456" s="118">
        <f t="shared" si="2727"/>
        <v>0</v>
      </c>
      <c r="BB456" s="118">
        <f t="shared" si="2727"/>
        <v>0</v>
      </c>
      <c r="BC456" s="123">
        <f t="shared" si="2727"/>
        <v>2415.5</v>
      </c>
      <c r="BD456" s="123">
        <f t="shared" si="2727"/>
        <v>2416.4</v>
      </c>
      <c r="BE456" s="154" t="str">
        <f t="shared" ref="BE456:BF456" si="2728">TEXTJOIN(", ",TRUE,BE454:BE455)</f>
        <v/>
      </c>
      <c r="BF456" s="154" t="str">
        <f t="shared" si="2728"/>
        <v/>
      </c>
    </row>
    <row r="457" ht="15.75" customHeight="1">
      <c r="A457" s="67">
        <f t="shared" si="2722"/>
        <v>46270</v>
      </c>
      <c r="B457" s="114" t="s">
        <v>20</v>
      </c>
      <c r="C457" s="115">
        <v>5.0</v>
      </c>
      <c r="D457" s="115">
        <v>3.0</v>
      </c>
      <c r="E457" s="116">
        <v>0.0</v>
      </c>
      <c r="F457" s="116">
        <v>2.0</v>
      </c>
      <c r="G457" s="116">
        <v>2.0</v>
      </c>
      <c r="H457" s="115">
        <v>0.0</v>
      </c>
      <c r="I457" s="116">
        <v>0.0</v>
      </c>
      <c r="J457" s="115">
        <v>1.0</v>
      </c>
      <c r="K457" s="116">
        <v>1.0</v>
      </c>
      <c r="L457" s="116">
        <v>0.0</v>
      </c>
      <c r="M457" s="115">
        <v>38.0</v>
      </c>
      <c r="N457" s="115">
        <v>0.0</v>
      </c>
      <c r="O457" s="116">
        <v>0.0</v>
      </c>
      <c r="P457" s="116">
        <v>0.0</v>
      </c>
      <c r="Q457" s="116">
        <v>9.0</v>
      </c>
      <c r="R457" s="116">
        <v>0.0</v>
      </c>
      <c r="S457" s="116">
        <v>0.0</v>
      </c>
      <c r="T457" s="116">
        <v>29.0</v>
      </c>
      <c r="U457" s="115">
        <v>7.0</v>
      </c>
      <c r="V457" s="115">
        <v>0.0</v>
      </c>
      <c r="W457" s="116">
        <v>0.0</v>
      </c>
      <c r="X457" s="116">
        <v>0.0</v>
      </c>
      <c r="Y457" s="116">
        <v>0.0</v>
      </c>
      <c r="Z457" s="116">
        <v>0.0</v>
      </c>
      <c r="AA457" s="116">
        <v>0.0</v>
      </c>
      <c r="AB457" s="116">
        <v>0.0</v>
      </c>
      <c r="AC457" s="117">
        <v>0.0</v>
      </c>
      <c r="AD457" s="118">
        <v>1.0</v>
      </c>
      <c r="AE457" s="118">
        <v>0.0</v>
      </c>
      <c r="AF457" s="118">
        <v>0.0</v>
      </c>
      <c r="AG457" s="119">
        <v>1.0</v>
      </c>
      <c r="AH457" s="117">
        <v>6.0</v>
      </c>
      <c r="AI457" s="118">
        <v>5.0</v>
      </c>
      <c r="AJ457" s="118">
        <v>0.0</v>
      </c>
      <c r="AK457" s="119">
        <v>11.0</v>
      </c>
      <c r="AL457" s="117"/>
      <c r="AM457" s="118"/>
      <c r="AN457" s="118"/>
      <c r="AO457" s="118"/>
      <c r="AP457" s="111"/>
      <c r="AQ457" s="117"/>
      <c r="AR457" s="118"/>
      <c r="AS457" s="118"/>
      <c r="AT457" s="120"/>
      <c r="AU457" s="117"/>
      <c r="AV457" s="118"/>
      <c r="AW457" s="118"/>
      <c r="AX457" s="121"/>
      <c r="AY457" s="122">
        <f t="shared" ref="AY457:AZ457" si="2729">RANDBETWEEN(1,10)</f>
        <v>9</v>
      </c>
      <c r="AZ457" s="122">
        <f t="shared" si="2729"/>
        <v>2</v>
      </c>
      <c r="BA457" s="118">
        <v>2.0</v>
      </c>
      <c r="BB457" s="118">
        <v>0.0</v>
      </c>
      <c r="BC457" s="123">
        <v>1.0</v>
      </c>
      <c r="BD457" s="123">
        <v>2.0</v>
      </c>
      <c r="BE457" s="118" t="s">
        <v>157</v>
      </c>
      <c r="BF457" s="118"/>
    </row>
    <row r="458" ht="15.75" customHeight="1">
      <c r="A458" s="67">
        <f t="shared" si="2722"/>
        <v>46270</v>
      </c>
      <c r="B458" s="124" t="s">
        <v>21</v>
      </c>
      <c r="C458" s="155">
        <v>3.0</v>
      </c>
      <c r="D458" s="125">
        <v>2.0</v>
      </c>
      <c r="E458" s="125">
        <v>1.0</v>
      </c>
      <c r="F458" s="125">
        <v>1.0</v>
      </c>
      <c r="G458" s="125">
        <v>1.0</v>
      </c>
      <c r="H458" s="126">
        <v>0.0</v>
      </c>
      <c r="I458" s="127">
        <v>2.0</v>
      </c>
      <c r="J458" s="128">
        <v>1.0</v>
      </c>
      <c r="K458" s="130">
        <v>1.0</v>
      </c>
      <c r="L458" s="130">
        <v>1.0</v>
      </c>
      <c r="M458" s="102">
        <v>27.0</v>
      </c>
      <c r="N458" s="125">
        <v>10.0</v>
      </c>
      <c r="O458" s="125">
        <v>3.0</v>
      </c>
      <c r="P458" s="125">
        <v>6.0</v>
      </c>
      <c r="Q458" s="125">
        <v>0.0</v>
      </c>
      <c r="R458" s="125">
        <v>0.0</v>
      </c>
      <c r="S458" s="125">
        <v>0.0</v>
      </c>
      <c r="T458" s="125">
        <v>8.0</v>
      </c>
      <c r="U458" s="103">
        <v>28.0</v>
      </c>
      <c r="V458" s="104">
        <v>2.0</v>
      </c>
      <c r="W458" s="125">
        <v>1.0</v>
      </c>
      <c r="X458" s="125">
        <v>1.0</v>
      </c>
      <c r="Y458" s="125">
        <v>0.0</v>
      </c>
      <c r="Z458" s="105">
        <v>3.0</v>
      </c>
      <c r="AA458" s="133">
        <v>2.0</v>
      </c>
      <c r="AB458" s="133">
        <v>1.0</v>
      </c>
      <c r="AC458" s="136">
        <v>0.0</v>
      </c>
      <c r="AD458" s="134">
        <v>0.0</v>
      </c>
      <c r="AE458" s="134">
        <v>1.0</v>
      </c>
      <c r="AF458" s="134">
        <v>0.0</v>
      </c>
      <c r="AG458" s="156">
        <v>1.0</v>
      </c>
      <c r="AH458" s="136">
        <v>5.0</v>
      </c>
      <c r="AI458" s="134">
        <v>10.0</v>
      </c>
      <c r="AJ458" s="134">
        <v>4.0</v>
      </c>
      <c r="AK458" s="137">
        <v>19.0</v>
      </c>
      <c r="AL458" s="136"/>
      <c r="AM458" s="134"/>
      <c r="AN458" s="134"/>
      <c r="AO458" s="134"/>
      <c r="AP458" s="111"/>
      <c r="AQ458" s="136"/>
      <c r="AR458" s="134"/>
      <c r="AS458" s="134"/>
      <c r="AT458" s="120"/>
      <c r="AU458" s="136"/>
      <c r="AV458" s="134"/>
      <c r="AW458" s="134"/>
      <c r="AX458" s="121"/>
      <c r="AY458" s="92">
        <f t="shared" ref="AY458:AZ458" si="2730">RANDBETWEEN(1,10)/10</f>
        <v>0.1</v>
      </c>
      <c r="AZ458" s="92">
        <f t="shared" si="2730"/>
        <v>0.4</v>
      </c>
      <c r="BA458" s="93">
        <v>1.0</v>
      </c>
      <c r="BB458" s="93">
        <v>0.0</v>
      </c>
      <c r="BC458" s="94">
        <f>SUM(BC430,'ГОЧ'!$AY458)</f>
        <v>1209.7</v>
      </c>
      <c r="BD458" s="94">
        <f>SUM(BD430,'ГОЧ'!$AZ458)</f>
        <v>1208.2</v>
      </c>
      <c r="BE458" s="108" t="s">
        <v>162</v>
      </c>
      <c r="BF458" s="108"/>
    </row>
    <row r="459" ht="15.75" customHeight="1">
      <c r="A459" s="67">
        <f t="shared" si="2722"/>
        <v>46270</v>
      </c>
      <c r="B459" s="138" t="s">
        <v>23</v>
      </c>
      <c r="C459" s="157">
        <v>1.0</v>
      </c>
      <c r="D459" s="97">
        <v>0.0</v>
      </c>
      <c r="E459" s="97">
        <v>0.0</v>
      </c>
      <c r="F459" s="97">
        <v>1.0</v>
      </c>
      <c r="G459" s="97">
        <v>2.0</v>
      </c>
      <c r="H459" s="98">
        <v>2.0</v>
      </c>
      <c r="I459" s="99">
        <v>0.0</v>
      </c>
      <c r="J459" s="100">
        <v>1.0</v>
      </c>
      <c r="K459" s="101">
        <v>0.0</v>
      </c>
      <c r="L459" s="101">
        <v>2.0</v>
      </c>
      <c r="M459" s="140">
        <v>37.0</v>
      </c>
      <c r="N459" s="97">
        <v>9.0</v>
      </c>
      <c r="O459" s="97">
        <v>7.0</v>
      </c>
      <c r="P459" s="97">
        <v>6.0</v>
      </c>
      <c r="Q459" s="97">
        <v>9.0</v>
      </c>
      <c r="R459" s="97">
        <v>3.0</v>
      </c>
      <c r="S459" s="97">
        <v>2.0</v>
      </c>
      <c r="T459" s="97">
        <v>1.0</v>
      </c>
      <c r="U459" s="103">
        <v>11.0</v>
      </c>
      <c r="V459" s="158">
        <v>4.0</v>
      </c>
      <c r="W459" s="97">
        <v>0.0</v>
      </c>
      <c r="X459" s="97">
        <v>2.0</v>
      </c>
      <c r="Y459" s="97">
        <v>2.0</v>
      </c>
      <c r="Z459" s="159">
        <v>4.0</v>
      </c>
      <c r="AA459" s="143">
        <v>2.0</v>
      </c>
      <c r="AB459" s="143">
        <v>2.0</v>
      </c>
      <c r="AC459" s="144">
        <v>0.0</v>
      </c>
      <c r="AD459" s="145">
        <v>0.0</v>
      </c>
      <c r="AE459" s="145">
        <v>2.0</v>
      </c>
      <c r="AF459" s="145">
        <v>0.0</v>
      </c>
      <c r="AG459" s="160">
        <v>2.0</v>
      </c>
      <c r="AH459" s="144">
        <v>7.0</v>
      </c>
      <c r="AI459" s="145">
        <v>5.0</v>
      </c>
      <c r="AJ459" s="145">
        <v>6.0</v>
      </c>
      <c r="AK459" s="147">
        <v>18.0</v>
      </c>
      <c r="AL459" s="144"/>
      <c r="AM459" s="145"/>
      <c r="AN459" s="145"/>
      <c r="AO459" s="145"/>
      <c r="AP459" s="148"/>
      <c r="AQ459" s="144"/>
      <c r="AR459" s="145"/>
      <c r="AS459" s="145"/>
      <c r="AT459" s="149"/>
      <c r="AU459" s="144"/>
      <c r="AV459" s="145"/>
      <c r="AW459" s="145"/>
      <c r="AX459" s="150"/>
      <c r="AY459" s="92">
        <f t="shared" ref="AY459:AZ459" si="2731">RANDBETWEEN(1,10)/10</f>
        <v>0.1</v>
      </c>
      <c r="AZ459" s="92">
        <f t="shared" si="2731"/>
        <v>0.6</v>
      </c>
      <c r="BA459" s="93">
        <v>1.0</v>
      </c>
      <c r="BB459" s="93">
        <v>2.0</v>
      </c>
      <c r="BC459" s="94">
        <f>SUM(BC431,'ГОЧ'!$AY459)</f>
        <v>1210</v>
      </c>
      <c r="BD459" s="94">
        <f>SUM(BD431,'ГОЧ'!$AZ459)</f>
        <v>1208.9</v>
      </c>
      <c r="BE459" s="108" t="s">
        <v>165</v>
      </c>
      <c r="BF459" s="108" t="s">
        <v>166</v>
      </c>
    </row>
    <row r="460" ht="15.75" customHeight="1">
      <c r="A460" s="67">
        <f t="shared" si="2722"/>
        <v>46270</v>
      </c>
      <c r="B460" s="138" t="s">
        <v>25</v>
      </c>
      <c r="C460" s="157">
        <v>0.0</v>
      </c>
      <c r="D460" s="97">
        <v>0.0</v>
      </c>
      <c r="E460" s="97">
        <v>0.0</v>
      </c>
      <c r="F460" s="97">
        <v>0.0</v>
      </c>
      <c r="G460" s="97">
        <v>1.0</v>
      </c>
      <c r="H460" s="98">
        <v>0.0</v>
      </c>
      <c r="I460" s="99">
        <v>1.0</v>
      </c>
      <c r="J460" s="100">
        <v>0.0</v>
      </c>
      <c r="K460" s="101">
        <v>0.0</v>
      </c>
      <c r="L460" s="101">
        <v>2.0</v>
      </c>
      <c r="M460" s="140">
        <v>42.0</v>
      </c>
      <c r="N460" s="97">
        <v>6.0</v>
      </c>
      <c r="O460" s="97">
        <v>8.0</v>
      </c>
      <c r="P460" s="97">
        <v>0.0</v>
      </c>
      <c r="Q460" s="97">
        <v>10.0</v>
      </c>
      <c r="R460" s="97">
        <v>8.0</v>
      </c>
      <c r="S460" s="97">
        <v>5.0</v>
      </c>
      <c r="T460" s="97">
        <v>5.0</v>
      </c>
      <c r="U460" s="103">
        <v>26.0</v>
      </c>
      <c r="V460" s="158">
        <v>0.0</v>
      </c>
      <c r="W460" s="97">
        <v>0.0</v>
      </c>
      <c r="X460" s="97">
        <v>0.0</v>
      </c>
      <c r="Y460" s="97">
        <v>0.0</v>
      </c>
      <c r="Z460" s="159">
        <v>2.0</v>
      </c>
      <c r="AA460" s="106">
        <v>0.0</v>
      </c>
      <c r="AB460" s="106">
        <v>2.0</v>
      </c>
      <c r="AC460" s="107">
        <v>0.0</v>
      </c>
      <c r="AD460" s="108">
        <v>0.0</v>
      </c>
      <c r="AE460" s="108">
        <v>0.0</v>
      </c>
      <c r="AF460" s="108">
        <v>1.0</v>
      </c>
      <c r="AG460" s="160">
        <v>1.0</v>
      </c>
      <c r="AH460" s="107">
        <v>4.0</v>
      </c>
      <c r="AI460" s="108">
        <v>8.0</v>
      </c>
      <c r="AJ460" s="108">
        <v>2.0</v>
      </c>
      <c r="AK460" s="147">
        <v>14.0</v>
      </c>
      <c r="AL460" s="107"/>
      <c r="AM460" s="108"/>
      <c r="AN460" s="108"/>
      <c r="AO460" s="108"/>
      <c r="AP460" s="148"/>
      <c r="AQ460" s="107"/>
      <c r="AR460" s="108"/>
      <c r="AS460" s="108"/>
      <c r="AT460" s="149"/>
      <c r="AU460" s="107"/>
      <c r="AV460" s="108"/>
      <c r="AW460" s="108"/>
      <c r="AX460" s="150"/>
      <c r="AY460" s="92">
        <f t="shared" ref="AY460:AZ460" si="2732">RANDBETWEEN(1,10)/10</f>
        <v>0.7</v>
      </c>
      <c r="AZ460" s="92">
        <f t="shared" si="2732"/>
        <v>0.3</v>
      </c>
      <c r="BA460" s="93">
        <v>0.0</v>
      </c>
      <c r="BB460" s="93">
        <v>0.0</v>
      </c>
      <c r="BC460" s="94">
        <f>SUM(BC432,'ГОЧ'!$AY460)</f>
        <v>1208.4</v>
      </c>
      <c r="BD460" s="94">
        <f>SUM(BD432,'ГОЧ'!$AZ460)</f>
        <v>1208.2</v>
      </c>
      <c r="BE460" s="108"/>
      <c r="BF460" s="108"/>
    </row>
    <row r="461" ht="15.75" customHeight="1">
      <c r="A461" s="67">
        <f t="shared" si="2722"/>
        <v>46270</v>
      </c>
      <c r="B461" s="138" t="s">
        <v>26</v>
      </c>
      <c r="C461" s="157">
        <v>3.0</v>
      </c>
      <c r="D461" s="97">
        <v>1.0</v>
      </c>
      <c r="E461" s="97">
        <v>2.0</v>
      </c>
      <c r="F461" s="97">
        <v>2.0</v>
      </c>
      <c r="G461" s="97">
        <v>0.0</v>
      </c>
      <c r="H461" s="98">
        <v>2.0</v>
      </c>
      <c r="I461" s="99">
        <v>2.0</v>
      </c>
      <c r="J461" s="100">
        <v>0.0</v>
      </c>
      <c r="K461" s="101">
        <v>1.0</v>
      </c>
      <c r="L461" s="101">
        <v>0.0</v>
      </c>
      <c r="M461" s="140">
        <v>34.0</v>
      </c>
      <c r="N461" s="97">
        <v>3.0</v>
      </c>
      <c r="O461" s="97">
        <v>3.0</v>
      </c>
      <c r="P461" s="97">
        <v>8.0</v>
      </c>
      <c r="Q461" s="97">
        <v>2.0</v>
      </c>
      <c r="R461" s="97">
        <v>5.0</v>
      </c>
      <c r="S461" s="97">
        <v>5.0</v>
      </c>
      <c r="T461" s="97">
        <v>8.0</v>
      </c>
      <c r="U461" s="103">
        <v>11.0</v>
      </c>
      <c r="V461" s="158">
        <v>2.0</v>
      </c>
      <c r="W461" s="97">
        <v>2.0</v>
      </c>
      <c r="X461" s="97">
        <v>0.0</v>
      </c>
      <c r="Y461" s="97">
        <v>0.0</v>
      </c>
      <c r="Z461" s="159">
        <v>0.0</v>
      </c>
      <c r="AA461" s="143">
        <v>0.0</v>
      </c>
      <c r="AB461" s="143">
        <v>0.0</v>
      </c>
      <c r="AC461" s="144">
        <v>1.0</v>
      </c>
      <c r="AD461" s="145">
        <v>1.0</v>
      </c>
      <c r="AE461" s="145">
        <v>2.0</v>
      </c>
      <c r="AF461" s="145">
        <v>2.0</v>
      </c>
      <c r="AG461" s="160">
        <v>6.0</v>
      </c>
      <c r="AH461" s="144">
        <v>5.0</v>
      </c>
      <c r="AI461" s="145">
        <v>7.0</v>
      </c>
      <c r="AJ461" s="145">
        <v>1.0</v>
      </c>
      <c r="AK461" s="147">
        <v>13.0</v>
      </c>
      <c r="AL461" s="144"/>
      <c r="AM461" s="145"/>
      <c r="AN461" s="145"/>
      <c r="AO461" s="145"/>
      <c r="AP461" s="148"/>
      <c r="AQ461" s="144"/>
      <c r="AR461" s="145"/>
      <c r="AS461" s="145"/>
      <c r="AT461" s="149"/>
      <c r="AU461" s="144"/>
      <c r="AV461" s="145"/>
      <c r="AW461" s="145"/>
      <c r="AX461" s="150"/>
      <c r="AY461" s="92">
        <f t="shared" ref="AY461:AZ461" si="2733">RANDBETWEEN(1,10)/10</f>
        <v>0.6</v>
      </c>
      <c r="AZ461" s="92">
        <f t="shared" si="2733"/>
        <v>0.3</v>
      </c>
      <c r="BA461" s="93">
        <v>1.0</v>
      </c>
      <c r="BB461" s="93">
        <v>0.0</v>
      </c>
      <c r="BC461" s="94">
        <f>SUM(BC433,'ГОЧ'!$AY461)</f>
        <v>1207.4</v>
      </c>
      <c r="BD461" s="94">
        <f>SUM(BD433,'ГОЧ'!$AZ461)</f>
        <v>1208.7</v>
      </c>
      <c r="BE461" s="108" t="s">
        <v>167</v>
      </c>
      <c r="BF461" s="108"/>
    </row>
    <row r="462" ht="15.75" customHeight="1">
      <c r="A462" s="67">
        <f t="shared" si="2722"/>
        <v>46270</v>
      </c>
      <c r="B462" s="138" t="s">
        <v>28</v>
      </c>
      <c r="C462" s="157">
        <v>4.0</v>
      </c>
      <c r="D462" s="97">
        <v>2.0</v>
      </c>
      <c r="E462" s="97">
        <v>0.0</v>
      </c>
      <c r="F462" s="97">
        <v>2.0</v>
      </c>
      <c r="G462" s="97">
        <v>2.0</v>
      </c>
      <c r="H462" s="98">
        <v>2.0</v>
      </c>
      <c r="I462" s="99">
        <v>2.0</v>
      </c>
      <c r="J462" s="100">
        <v>0.0</v>
      </c>
      <c r="K462" s="101">
        <v>2.0</v>
      </c>
      <c r="L462" s="101">
        <v>0.0</v>
      </c>
      <c r="M462" s="140">
        <v>29.0</v>
      </c>
      <c r="N462" s="97">
        <v>6.0</v>
      </c>
      <c r="O462" s="97">
        <v>10.0</v>
      </c>
      <c r="P462" s="97">
        <v>1.0</v>
      </c>
      <c r="Q462" s="97">
        <v>1.0</v>
      </c>
      <c r="R462" s="97">
        <v>3.0</v>
      </c>
      <c r="S462" s="97">
        <v>7.0</v>
      </c>
      <c r="T462" s="97">
        <v>1.0</v>
      </c>
      <c r="U462" s="103">
        <v>23.0</v>
      </c>
      <c r="V462" s="158">
        <v>1.0</v>
      </c>
      <c r="W462" s="97">
        <v>0.0</v>
      </c>
      <c r="X462" s="97">
        <v>0.0</v>
      </c>
      <c r="Y462" s="97">
        <v>1.0</v>
      </c>
      <c r="Z462" s="159">
        <v>0.0</v>
      </c>
      <c r="AA462" s="106">
        <v>0.0</v>
      </c>
      <c r="AB462" s="106">
        <v>0.0</v>
      </c>
      <c r="AC462" s="107">
        <v>1.0</v>
      </c>
      <c r="AD462" s="108">
        <v>1.0</v>
      </c>
      <c r="AE462" s="108">
        <v>0.0</v>
      </c>
      <c r="AF462" s="108">
        <v>2.0</v>
      </c>
      <c r="AG462" s="160">
        <v>4.0</v>
      </c>
      <c r="AH462" s="107">
        <v>4.0</v>
      </c>
      <c r="AI462" s="108">
        <v>6.0</v>
      </c>
      <c r="AJ462" s="108">
        <v>8.0</v>
      </c>
      <c r="AK462" s="147">
        <v>18.0</v>
      </c>
      <c r="AL462" s="107"/>
      <c r="AM462" s="108"/>
      <c r="AN462" s="108"/>
      <c r="AO462" s="108"/>
      <c r="AP462" s="148"/>
      <c r="AQ462" s="107"/>
      <c r="AR462" s="108"/>
      <c r="AS462" s="108"/>
      <c r="AT462" s="149"/>
      <c r="AU462" s="107"/>
      <c r="AV462" s="108"/>
      <c r="AW462" s="108"/>
      <c r="AX462" s="150"/>
      <c r="AY462" s="92">
        <f t="shared" ref="AY462:AZ462" si="2734">RANDBETWEEN(1,10)/10</f>
        <v>0.9</v>
      </c>
      <c r="AZ462" s="92">
        <f t="shared" si="2734"/>
        <v>0.5</v>
      </c>
      <c r="BA462" s="93">
        <v>0.0</v>
      </c>
      <c r="BB462" s="93">
        <v>1.0</v>
      </c>
      <c r="BC462" s="94">
        <f>SUM(BC434,'ГОЧ'!$AY462)</f>
        <v>1209.2</v>
      </c>
      <c r="BD462" s="94">
        <f>SUM(BD434,'ГОЧ'!$AZ462)</f>
        <v>1209.2</v>
      </c>
      <c r="BE462" s="108"/>
      <c r="BF462" s="108" t="s">
        <v>168</v>
      </c>
    </row>
    <row r="463" ht="15.75" customHeight="1">
      <c r="A463" s="67">
        <f t="shared" si="2722"/>
        <v>46270</v>
      </c>
      <c r="B463" s="114" t="s">
        <v>29</v>
      </c>
      <c r="C463" s="164">
        <v>11.0</v>
      </c>
      <c r="D463" s="165">
        <v>5.0</v>
      </c>
      <c r="E463" s="165">
        <v>3.0</v>
      </c>
      <c r="F463" s="165">
        <v>6.0</v>
      </c>
      <c r="G463" s="165">
        <v>6.0</v>
      </c>
      <c r="H463" s="164">
        <v>6.0</v>
      </c>
      <c r="I463" s="165">
        <v>7.0</v>
      </c>
      <c r="J463" s="164">
        <v>2.0</v>
      </c>
      <c r="K463" s="165">
        <v>4.0</v>
      </c>
      <c r="L463" s="165">
        <v>5.0</v>
      </c>
      <c r="M463" s="164">
        <v>169.0</v>
      </c>
      <c r="N463" s="164">
        <v>34.0</v>
      </c>
      <c r="O463" s="165">
        <v>31.0</v>
      </c>
      <c r="P463" s="165">
        <v>21.0</v>
      </c>
      <c r="Q463" s="165">
        <v>22.0</v>
      </c>
      <c r="R463" s="165">
        <v>19.0</v>
      </c>
      <c r="S463" s="165">
        <v>19.0</v>
      </c>
      <c r="T463" s="165">
        <v>23.0</v>
      </c>
      <c r="U463" s="164">
        <v>99.0</v>
      </c>
      <c r="V463" s="164">
        <v>9.0</v>
      </c>
      <c r="W463" s="165">
        <v>3.0</v>
      </c>
      <c r="X463" s="165">
        <v>3.0</v>
      </c>
      <c r="Y463" s="165">
        <v>3.0</v>
      </c>
      <c r="Z463" s="165">
        <v>9.0</v>
      </c>
      <c r="AA463" s="165">
        <v>4.0</v>
      </c>
      <c r="AB463" s="165">
        <v>5.0</v>
      </c>
      <c r="AC463" s="166">
        <v>2.0</v>
      </c>
      <c r="AD463" s="167">
        <v>3.0</v>
      </c>
      <c r="AE463" s="167">
        <v>5.0</v>
      </c>
      <c r="AF463" s="167">
        <v>5.0</v>
      </c>
      <c r="AG463" s="168">
        <v>15.0</v>
      </c>
      <c r="AH463" s="166">
        <v>25.0</v>
      </c>
      <c r="AI463" s="166">
        <v>36.0</v>
      </c>
      <c r="AJ463" s="166">
        <v>21.0</v>
      </c>
      <c r="AK463" s="168">
        <v>82.0</v>
      </c>
      <c r="AL463" s="166"/>
      <c r="AM463" s="167"/>
      <c r="AN463" s="167"/>
      <c r="AO463" s="167"/>
      <c r="AP463" s="169"/>
      <c r="AQ463" s="166"/>
      <c r="AR463" s="166"/>
      <c r="AS463" s="166"/>
      <c r="AT463" s="170"/>
      <c r="AU463" s="166"/>
      <c r="AV463" s="166"/>
      <c r="AW463" s="166"/>
      <c r="AX463" s="171"/>
      <c r="AY463" s="172">
        <f t="shared" ref="AY463:BD463" si="2735">AY458+AY459+AY460+AY461+AY462</f>
        <v>2.4</v>
      </c>
      <c r="AZ463" s="172">
        <f t="shared" si="2735"/>
        <v>2.1</v>
      </c>
      <c r="BA463" s="166">
        <f t="shared" si="2735"/>
        <v>3</v>
      </c>
      <c r="BB463" s="166">
        <f t="shared" si="2735"/>
        <v>3</v>
      </c>
      <c r="BC463" s="173">
        <f t="shared" si="2735"/>
        <v>6044.7</v>
      </c>
      <c r="BD463" s="173">
        <f t="shared" si="2735"/>
        <v>6043.2</v>
      </c>
      <c r="BE463" s="154" t="str">
        <f t="shared" ref="BE463:BF463" si="2736">TEXTJOIN(", ",TRUE,BE458:BE462)</f>
        <v>Олександівка, Пантелеймонівка, Миколаївка</v>
      </c>
      <c r="BF463" s="154" t="str">
        <f t="shared" si="2736"/>
        <v>Загреблі, Верхні води, Ступочки</v>
      </c>
    </row>
    <row r="464" ht="15.75" customHeight="1">
      <c r="A464" s="67">
        <f t="shared" si="2722"/>
        <v>46270</v>
      </c>
      <c r="B464" s="124" t="s">
        <v>31</v>
      </c>
      <c r="C464" s="174">
        <v>2.0</v>
      </c>
      <c r="D464" s="175">
        <v>2.0</v>
      </c>
      <c r="E464" s="175">
        <v>1.0</v>
      </c>
      <c r="F464" s="175">
        <v>0.0</v>
      </c>
      <c r="G464" s="175">
        <v>1.0</v>
      </c>
      <c r="H464" s="176">
        <v>0.0</v>
      </c>
      <c r="I464" s="177">
        <v>2.0</v>
      </c>
      <c r="J464" s="178">
        <v>0.0</v>
      </c>
      <c r="K464" s="179">
        <v>0.0</v>
      </c>
      <c r="L464" s="179">
        <v>1.0</v>
      </c>
      <c r="M464" s="180">
        <v>33.0</v>
      </c>
      <c r="N464" s="175">
        <v>4.0</v>
      </c>
      <c r="O464" s="175">
        <v>8.0</v>
      </c>
      <c r="P464" s="175">
        <v>7.0</v>
      </c>
      <c r="Q464" s="175">
        <v>9.0</v>
      </c>
      <c r="R464" s="175">
        <v>3.0</v>
      </c>
      <c r="S464" s="175">
        <v>2.0</v>
      </c>
      <c r="T464" s="175">
        <v>0.0</v>
      </c>
      <c r="U464" s="181">
        <v>11.0</v>
      </c>
      <c r="V464" s="182">
        <v>0.0</v>
      </c>
      <c r="W464" s="175">
        <v>0.0</v>
      </c>
      <c r="X464" s="175">
        <v>0.0</v>
      </c>
      <c r="Y464" s="175">
        <v>0.0</v>
      </c>
      <c r="Z464" s="183">
        <v>1.0</v>
      </c>
      <c r="AA464" s="184">
        <v>1.0</v>
      </c>
      <c r="AB464" s="184">
        <v>0.0</v>
      </c>
      <c r="AC464" s="185">
        <v>1.0</v>
      </c>
      <c r="AD464" s="186">
        <v>1.0</v>
      </c>
      <c r="AE464" s="186">
        <v>0.0</v>
      </c>
      <c r="AF464" s="186">
        <v>0.0</v>
      </c>
      <c r="AG464" s="187">
        <v>2.0</v>
      </c>
      <c r="AH464" s="185">
        <v>1.0</v>
      </c>
      <c r="AI464" s="186">
        <v>8.0</v>
      </c>
      <c r="AJ464" s="186">
        <v>10.0</v>
      </c>
      <c r="AK464" s="188">
        <v>19.0</v>
      </c>
      <c r="AL464" s="185"/>
      <c r="AM464" s="186"/>
      <c r="AN464" s="186"/>
      <c r="AO464" s="186"/>
      <c r="AP464" s="189"/>
      <c r="AQ464" s="185"/>
      <c r="AR464" s="186"/>
      <c r="AS464" s="186"/>
      <c r="AT464" s="190"/>
      <c r="AU464" s="185"/>
      <c r="AV464" s="186"/>
      <c r="AW464" s="186"/>
      <c r="AX464" s="191"/>
      <c r="AY464" s="92">
        <f t="shared" ref="AY464:AZ464" si="2737">RANDBETWEEN(1,10)/10</f>
        <v>0.5</v>
      </c>
      <c r="AZ464" s="92">
        <f t="shared" si="2737"/>
        <v>0.9</v>
      </c>
      <c r="BA464" s="93">
        <v>0.0</v>
      </c>
      <c r="BB464" s="93">
        <v>0.0</v>
      </c>
      <c r="BC464" s="94">
        <f>SUM(BC436,'ГОЧ'!$AY464)</f>
        <v>1208.5</v>
      </c>
      <c r="BD464" s="94">
        <f>SUM(BD436,'ГОЧ'!$AZ464)</f>
        <v>1209.3</v>
      </c>
      <c r="BE464" s="186"/>
      <c r="BF464" s="186"/>
    </row>
    <row r="465" ht="15.75" customHeight="1">
      <c r="A465" s="67">
        <f t="shared" si="2722"/>
        <v>46270</v>
      </c>
      <c r="B465" s="138" t="s">
        <v>33</v>
      </c>
      <c r="C465" s="157">
        <v>3.0</v>
      </c>
      <c r="D465" s="97">
        <v>2.0</v>
      </c>
      <c r="E465" s="97">
        <v>0.0</v>
      </c>
      <c r="F465" s="97">
        <v>1.0</v>
      </c>
      <c r="G465" s="97">
        <v>2.0</v>
      </c>
      <c r="H465" s="98">
        <v>1.0</v>
      </c>
      <c r="I465" s="99">
        <v>2.0</v>
      </c>
      <c r="J465" s="100">
        <v>2.0</v>
      </c>
      <c r="K465" s="101">
        <v>1.0</v>
      </c>
      <c r="L465" s="101">
        <v>2.0</v>
      </c>
      <c r="M465" s="140">
        <v>35.0</v>
      </c>
      <c r="N465" s="97">
        <v>8.0</v>
      </c>
      <c r="O465" s="97">
        <v>2.0</v>
      </c>
      <c r="P465" s="97">
        <v>2.0</v>
      </c>
      <c r="Q465" s="97">
        <v>5.0</v>
      </c>
      <c r="R465" s="97">
        <v>3.0</v>
      </c>
      <c r="S465" s="97">
        <v>6.0</v>
      </c>
      <c r="T465" s="97">
        <v>9.0</v>
      </c>
      <c r="U465" s="103">
        <v>23.0</v>
      </c>
      <c r="V465" s="158">
        <v>3.0</v>
      </c>
      <c r="W465" s="97">
        <v>1.0</v>
      </c>
      <c r="X465" s="97">
        <v>0.0</v>
      </c>
      <c r="Y465" s="97">
        <v>2.0</v>
      </c>
      <c r="Z465" s="105">
        <v>2.0</v>
      </c>
      <c r="AA465" s="143">
        <v>1.0</v>
      </c>
      <c r="AB465" s="143">
        <v>1.0</v>
      </c>
      <c r="AC465" s="144">
        <v>1.0</v>
      </c>
      <c r="AD465" s="145">
        <v>0.0</v>
      </c>
      <c r="AE465" s="145">
        <v>0.0</v>
      </c>
      <c r="AF465" s="145">
        <v>0.0</v>
      </c>
      <c r="AG465" s="86">
        <v>1.0</v>
      </c>
      <c r="AH465" s="144">
        <v>8.0</v>
      </c>
      <c r="AI465" s="145">
        <v>4.0</v>
      </c>
      <c r="AJ465" s="145">
        <v>6.0</v>
      </c>
      <c r="AK465" s="192">
        <v>18.0</v>
      </c>
      <c r="AL465" s="144"/>
      <c r="AM465" s="145"/>
      <c r="AN465" s="145"/>
      <c r="AO465" s="145"/>
      <c r="AP465" s="89"/>
      <c r="AQ465" s="144"/>
      <c r="AR465" s="145"/>
      <c r="AS465" s="145"/>
      <c r="AT465" s="193"/>
      <c r="AU465" s="144"/>
      <c r="AV465" s="145"/>
      <c r="AW465" s="145"/>
      <c r="AX465" s="194"/>
      <c r="AY465" s="92">
        <f t="shared" ref="AY465:AZ465" si="2738">RANDBETWEEN(1,10)/10</f>
        <v>1</v>
      </c>
      <c r="AZ465" s="92">
        <f t="shared" si="2738"/>
        <v>0.9</v>
      </c>
      <c r="BA465" s="93">
        <v>0.0</v>
      </c>
      <c r="BB465" s="93">
        <v>0.0</v>
      </c>
      <c r="BC465" s="94">
        <f>SUM(BC437,'ГОЧ'!$AY465)</f>
        <v>1208.6</v>
      </c>
      <c r="BD465" s="94">
        <f>SUM(BD437,'ГОЧ'!$AZ465)</f>
        <v>1208.2</v>
      </c>
      <c r="BE465" s="108"/>
      <c r="BF465" s="108"/>
    </row>
    <row r="466" ht="15.75" customHeight="1">
      <c r="A466" s="67">
        <f t="shared" si="2722"/>
        <v>46270</v>
      </c>
      <c r="B466" s="138" t="s">
        <v>35</v>
      </c>
      <c r="C466" s="157">
        <v>3.0</v>
      </c>
      <c r="D466" s="97">
        <v>1.0</v>
      </c>
      <c r="E466" s="97">
        <v>2.0</v>
      </c>
      <c r="F466" s="97">
        <v>2.0</v>
      </c>
      <c r="G466" s="97">
        <v>2.0</v>
      </c>
      <c r="H466" s="98">
        <v>1.0</v>
      </c>
      <c r="I466" s="99">
        <v>2.0</v>
      </c>
      <c r="J466" s="100">
        <v>2.0</v>
      </c>
      <c r="K466" s="101">
        <v>2.0</v>
      </c>
      <c r="L466" s="101">
        <v>2.0</v>
      </c>
      <c r="M466" s="140">
        <v>34.0</v>
      </c>
      <c r="N466" s="97">
        <v>10.0</v>
      </c>
      <c r="O466" s="97">
        <v>7.0</v>
      </c>
      <c r="P466" s="97">
        <v>0.0</v>
      </c>
      <c r="Q466" s="97">
        <v>2.0</v>
      </c>
      <c r="R466" s="97">
        <v>7.0</v>
      </c>
      <c r="S466" s="97">
        <v>3.0</v>
      </c>
      <c r="T466" s="97">
        <v>5.0</v>
      </c>
      <c r="U466" s="103">
        <v>24.0</v>
      </c>
      <c r="V466" s="158">
        <v>3.0</v>
      </c>
      <c r="W466" s="97">
        <v>1.0</v>
      </c>
      <c r="X466" s="97">
        <v>2.0</v>
      </c>
      <c r="Y466" s="97">
        <v>0.0</v>
      </c>
      <c r="Z466" s="105">
        <v>2.0</v>
      </c>
      <c r="AA466" s="106">
        <v>1.0</v>
      </c>
      <c r="AB466" s="106">
        <v>1.0</v>
      </c>
      <c r="AC466" s="107">
        <v>1.0</v>
      </c>
      <c r="AD466" s="108">
        <v>0.0</v>
      </c>
      <c r="AE466" s="108">
        <v>1.0</v>
      </c>
      <c r="AF466" s="108">
        <v>0.0</v>
      </c>
      <c r="AG466" s="86">
        <v>2.0</v>
      </c>
      <c r="AH466" s="107">
        <v>5.0</v>
      </c>
      <c r="AI466" s="108">
        <v>7.0</v>
      </c>
      <c r="AJ466" s="108">
        <v>2.0</v>
      </c>
      <c r="AK466" s="192">
        <v>14.0</v>
      </c>
      <c r="AL466" s="107"/>
      <c r="AM466" s="108"/>
      <c r="AN466" s="108"/>
      <c r="AO466" s="108"/>
      <c r="AP466" s="89"/>
      <c r="AQ466" s="107"/>
      <c r="AR466" s="108"/>
      <c r="AS466" s="108"/>
      <c r="AT466" s="193"/>
      <c r="AU466" s="107"/>
      <c r="AV466" s="108"/>
      <c r="AW466" s="108"/>
      <c r="AX466" s="194"/>
      <c r="AY466" s="92">
        <f t="shared" ref="AY466:AZ466" si="2739">RANDBETWEEN(1,10)/10</f>
        <v>0.5</v>
      </c>
      <c r="AZ466" s="92">
        <f t="shared" si="2739"/>
        <v>0.4</v>
      </c>
      <c r="BA466" s="93">
        <v>0.0</v>
      </c>
      <c r="BB466" s="93">
        <v>0.0</v>
      </c>
      <c r="BC466" s="94">
        <f>SUM(BC438,'ГОЧ'!$AY466)</f>
        <v>1208</v>
      </c>
      <c r="BD466" s="94">
        <f>SUM(BD438,'ГОЧ'!$AZ466)</f>
        <v>1208.7</v>
      </c>
      <c r="BE466" s="108"/>
      <c r="BF466" s="108"/>
    </row>
    <row r="467" ht="15.75" customHeight="1">
      <c r="A467" s="67">
        <f t="shared" si="2722"/>
        <v>46270</v>
      </c>
      <c r="B467" s="138" t="s">
        <v>36</v>
      </c>
      <c r="C467" s="157">
        <v>1.0</v>
      </c>
      <c r="D467" s="97">
        <v>1.0</v>
      </c>
      <c r="E467" s="97">
        <v>2.0</v>
      </c>
      <c r="F467" s="97">
        <v>0.0</v>
      </c>
      <c r="G467" s="97">
        <v>1.0</v>
      </c>
      <c r="H467" s="98">
        <v>0.0</v>
      </c>
      <c r="I467" s="99">
        <v>2.0</v>
      </c>
      <c r="J467" s="100">
        <v>2.0</v>
      </c>
      <c r="K467" s="101">
        <v>1.0</v>
      </c>
      <c r="L467" s="101">
        <v>2.0</v>
      </c>
      <c r="M467" s="140">
        <v>26.0</v>
      </c>
      <c r="N467" s="97">
        <v>7.0</v>
      </c>
      <c r="O467" s="97">
        <v>5.0</v>
      </c>
      <c r="P467" s="97">
        <v>1.0</v>
      </c>
      <c r="Q467" s="97">
        <v>5.0</v>
      </c>
      <c r="R467" s="97">
        <v>2.0</v>
      </c>
      <c r="S467" s="97">
        <v>3.0</v>
      </c>
      <c r="T467" s="97">
        <v>3.0</v>
      </c>
      <c r="U467" s="103">
        <v>20.0</v>
      </c>
      <c r="V467" s="158">
        <v>1.0</v>
      </c>
      <c r="W467" s="97">
        <v>0.0</v>
      </c>
      <c r="X467" s="97">
        <v>1.0</v>
      </c>
      <c r="Y467" s="97">
        <v>0.0</v>
      </c>
      <c r="Z467" s="105">
        <v>2.0</v>
      </c>
      <c r="AA467" s="143">
        <v>0.0</v>
      </c>
      <c r="AB467" s="143">
        <v>2.0</v>
      </c>
      <c r="AC467" s="144">
        <v>2.0</v>
      </c>
      <c r="AD467" s="145">
        <v>0.0</v>
      </c>
      <c r="AE467" s="145">
        <v>1.0</v>
      </c>
      <c r="AF467" s="145">
        <v>0.0</v>
      </c>
      <c r="AG467" s="86">
        <v>3.0</v>
      </c>
      <c r="AH467" s="144">
        <v>1.0</v>
      </c>
      <c r="AI467" s="145">
        <v>9.0</v>
      </c>
      <c r="AJ467" s="145">
        <v>2.0</v>
      </c>
      <c r="AK467" s="192">
        <v>12.0</v>
      </c>
      <c r="AL467" s="144"/>
      <c r="AM467" s="145"/>
      <c r="AN467" s="145"/>
      <c r="AO467" s="145"/>
      <c r="AP467" s="89"/>
      <c r="AQ467" s="144"/>
      <c r="AR467" s="145"/>
      <c r="AS467" s="145"/>
      <c r="AT467" s="193"/>
      <c r="AU467" s="144"/>
      <c r="AV467" s="145"/>
      <c r="AW467" s="145"/>
      <c r="AX467" s="194"/>
      <c r="AY467" s="92">
        <f t="shared" ref="AY467:AZ467" si="2740">RANDBETWEEN(1,10)/10</f>
        <v>0.8</v>
      </c>
      <c r="AZ467" s="92">
        <f t="shared" si="2740"/>
        <v>0.2</v>
      </c>
      <c r="BA467" s="93">
        <v>0.0</v>
      </c>
      <c r="BB467" s="93">
        <v>0.0</v>
      </c>
      <c r="BC467" s="94">
        <f>SUM(BC439,'ГОЧ'!$AY467)</f>
        <v>1209.4</v>
      </c>
      <c r="BD467" s="94">
        <f>SUM(BD439,'ГОЧ'!$AZ467)</f>
        <v>1208.2</v>
      </c>
      <c r="BE467" s="108"/>
      <c r="BF467" s="108"/>
    </row>
    <row r="468" ht="15.75" customHeight="1">
      <c r="A468" s="67">
        <f t="shared" si="2722"/>
        <v>46270</v>
      </c>
      <c r="B468" s="195" t="s">
        <v>38</v>
      </c>
      <c r="C468" s="157">
        <v>3.0</v>
      </c>
      <c r="D468" s="97">
        <v>2.0</v>
      </c>
      <c r="E468" s="97">
        <v>1.0</v>
      </c>
      <c r="F468" s="97">
        <v>1.0</v>
      </c>
      <c r="G468" s="97">
        <v>2.0</v>
      </c>
      <c r="H468" s="98">
        <v>0.0</v>
      </c>
      <c r="I468" s="99">
        <v>0.0</v>
      </c>
      <c r="J468" s="100">
        <v>1.0</v>
      </c>
      <c r="K468" s="101">
        <v>0.0</v>
      </c>
      <c r="L468" s="101">
        <v>2.0</v>
      </c>
      <c r="M468" s="140">
        <v>32.0</v>
      </c>
      <c r="N468" s="97">
        <v>10.0</v>
      </c>
      <c r="O468" s="97">
        <v>5.0</v>
      </c>
      <c r="P468" s="97">
        <v>2.0</v>
      </c>
      <c r="Q468" s="97">
        <v>3.0</v>
      </c>
      <c r="R468" s="97">
        <v>0.0</v>
      </c>
      <c r="S468" s="97">
        <v>8.0</v>
      </c>
      <c r="T468" s="97">
        <v>4.0</v>
      </c>
      <c r="U468" s="103">
        <v>28.0</v>
      </c>
      <c r="V468" s="158">
        <v>5.0</v>
      </c>
      <c r="W468" s="97">
        <v>2.0</v>
      </c>
      <c r="X468" s="97">
        <v>1.0</v>
      </c>
      <c r="Y468" s="97">
        <v>2.0</v>
      </c>
      <c r="Z468" s="105">
        <v>3.0</v>
      </c>
      <c r="AA468" s="106">
        <v>1.0</v>
      </c>
      <c r="AB468" s="106">
        <v>2.0</v>
      </c>
      <c r="AC468" s="107">
        <v>1.0</v>
      </c>
      <c r="AD468" s="108">
        <v>2.0</v>
      </c>
      <c r="AE468" s="108">
        <v>0.0</v>
      </c>
      <c r="AF468" s="108">
        <v>0.0</v>
      </c>
      <c r="AG468" s="86">
        <v>3.0</v>
      </c>
      <c r="AH468" s="107">
        <v>3.0</v>
      </c>
      <c r="AI468" s="108">
        <v>7.0</v>
      </c>
      <c r="AJ468" s="108">
        <v>4.0</v>
      </c>
      <c r="AK468" s="192">
        <v>14.0</v>
      </c>
      <c r="AL468" s="107"/>
      <c r="AM468" s="108"/>
      <c r="AN468" s="108"/>
      <c r="AO468" s="108"/>
      <c r="AP468" s="89"/>
      <c r="AQ468" s="107"/>
      <c r="AR468" s="108"/>
      <c r="AS468" s="108"/>
      <c r="AT468" s="193"/>
      <c r="AU468" s="107"/>
      <c r="AV468" s="108"/>
      <c r="AW468" s="108"/>
      <c r="AX468" s="194"/>
      <c r="AY468" s="92">
        <f t="shared" ref="AY468:AZ468" si="2741">RANDBETWEEN(1,10)/10</f>
        <v>0.9</v>
      </c>
      <c r="AZ468" s="92">
        <f t="shared" si="2741"/>
        <v>0.8</v>
      </c>
      <c r="BA468" s="93">
        <v>0.0</v>
      </c>
      <c r="BB468" s="93">
        <v>0.0</v>
      </c>
      <c r="BC468" s="94">
        <f>SUM(BC440,'ГОЧ'!$AY468)</f>
        <v>1208</v>
      </c>
      <c r="BD468" s="94">
        <f>SUM(BD440,'ГОЧ'!$AZ468)</f>
        <v>1207.9</v>
      </c>
      <c r="BE468" s="108"/>
      <c r="BF468" s="108"/>
    </row>
    <row r="469" ht="15.75" customHeight="1">
      <c r="A469" s="67">
        <f t="shared" si="2722"/>
        <v>46270</v>
      </c>
      <c r="B469" s="138" t="s">
        <v>41</v>
      </c>
      <c r="C469" s="157">
        <v>3.0</v>
      </c>
      <c r="D469" s="97">
        <v>2.0</v>
      </c>
      <c r="E469" s="97">
        <v>1.0</v>
      </c>
      <c r="F469" s="97">
        <v>1.0</v>
      </c>
      <c r="G469" s="97">
        <v>1.0</v>
      </c>
      <c r="H469" s="98">
        <v>1.0</v>
      </c>
      <c r="I469" s="99">
        <v>1.0</v>
      </c>
      <c r="J469" s="100">
        <v>1.0</v>
      </c>
      <c r="K469" s="101">
        <v>0.0</v>
      </c>
      <c r="L469" s="101">
        <v>0.0</v>
      </c>
      <c r="M469" s="140">
        <v>37.0</v>
      </c>
      <c r="N469" s="97">
        <v>1.0</v>
      </c>
      <c r="O469" s="97">
        <v>9.0</v>
      </c>
      <c r="P469" s="97">
        <v>8.0</v>
      </c>
      <c r="Q469" s="97">
        <v>1.0</v>
      </c>
      <c r="R469" s="97">
        <v>6.0</v>
      </c>
      <c r="S469" s="97">
        <v>5.0</v>
      </c>
      <c r="T469" s="97">
        <v>7.0</v>
      </c>
      <c r="U469" s="103">
        <v>22.0</v>
      </c>
      <c r="V469" s="158">
        <v>6.0</v>
      </c>
      <c r="W469" s="97">
        <v>2.0</v>
      </c>
      <c r="X469" s="97">
        <v>2.0</v>
      </c>
      <c r="Y469" s="97">
        <v>2.0</v>
      </c>
      <c r="Z469" s="105">
        <v>2.0</v>
      </c>
      <c r="AA469" s="143">
        <v>0.0</v>
      </c>
      <c r="AB469" s="143">
        <v>2.0</v>
      </c>
      <c r="AC469" s="144">
        <v>0.0</v>
      </c>
      <c r="AD469" s="145">
        <v>2.0</v>
      </c>
      <c r="AE469" s="145">
        <v>2.0</v>
      </c>
      <c r="AF469" s="145">
        <v>2.0</v>
      </c>
      <c r="AG469" s="86">
        <v>6.0</v>
      </c>
      <c r="AH469" s="144">
        <v>10.0</v>
      </c>
      <c r="AI469" s="145">
        <v>4.0</v>
      </c>
      <c r="AJ469" s="145">
        <v>5.0</v>
      </c>
      <c r="AK469" s="192">
        <v>19.0</v>
      </c>
      <c r="AL469" s="144"/>
      <c r="AM469" s="145"/>
      <c r="AN469" s="145"/>
      <c r="AO469" s="145"/>
      <c r="AP469" s="89"/>
      <c r="AQ469" s="144"/>
      <c r="AR469" s="145"/>
      <c r="AS469" s="145"/>
      <c r="AT469" s="193"/>
      <c r="AU469" s="144"/>
      <c r="AV469" s="145"/>
      <c r="AW469" s="145"/>
      <c r="AX469" s="194"/>
      <c r="AY469" s="92">
        <f t="shared" ref="AY469:AZ469" si="2742">RANDBETWEEN(1,10)/10</f>
        <v>0.3</v>
      </c>
      <c r="AZ469" s="92">
        <f t="shared" si="2742"/>
        <v>0.6</v>
      </c>
      <c r="BA469" s="93">
        <v>0.0</v>
      </c>
      <c r="BB469" s="93">
        <v>0.0</v>
      </c>
      <c r="BC469" s="94">
        <f>SUM(BC441,'ГОЧ'!$AY469)</f>
        <v>1208.6</v>
      </c>
      <c r="BD469" s="94">
        <f>SUM(BD441,'ГОЧ'!$AZ469)</f>
        <v>1209.6</v>
      </c>
      <c r="BE469" s="108"/>
      <c r="BF469" s="108"/>
    </row>
    <row r="470" ht="15.75" customHeight="1">
      <c r="A470" s="67">
        <f t="shared" si="2722"/>
        <v>46270</v>
      </c>
      <c r="B470" s="114" t="s">
        <v>45</v>
      </c>
      <c r="C470" s="164">
        <v>15.0</v>
      </c>
      <c r="D470" s="164">
        <v>10.0</v>
      </c>
      <c r="E470" s="165">
        <v>7.0</v>
      </c>
      <c r="F470" s="165">
        <v>5.0</v>
      </c>
      <c r="G470" s="165">
        <v>9.0</v>
      </c>
      <c r="H470" s="165">
        <v>3.0</v>
      </c>
      <c r="I470" s="165">
        <v>9.0</v>
      </c>
      <c r="J470" s="165">
        <v>8.0</v>
      </c>
      <c r="K470" s="165">
        <v>4.0</v>
      </c>
      <c r="L470" s="165">
        <v>9.0</v>
      </c>
      <c r="M470" s="164">
        <v>197.0</v>
      </c>
      <c r="N470" s="164">
        <v>40.0</v>
      </c>
      <c r="O470" s="165">
        <v>36.0</v>
      </c>
      <c r="P470" s="165">
        <v>20.0</v>
      </c>
      <c r="Q470" s="165">
        <v>25.0</v>
      </c>
      <c r="R470" s="165">
        <v>21.0</v>
      </c>
      <c r="S470" s="165">
        <v>27.0</v>
      </c>
      <c r="T470" s="165">
        <v>28.0</v>
      </c>
      <c r="U470" s="164">
        <v>128.0</v>
      </c>
      <c r="V470" s="164">
        <v>18.0</v>
      </c>
      <c r="W470" s="165">
        <v>6.0</v>
      </c>
      <c r="X470" s="165">
        <v>6.0</v>
      </c>
      <c r="Y470" s="165">
        <v>6.0</v>
      </c>
      <c r="Z470" s="165">
        <v>12.0</v>
      </c>
      <c r="AA470" s="165">
        <v>4.0</v>
      </c>
      <c r="AB470" s="165">
        <v>8.0</v>
      </c>
      <c r="AC470" s="166">
        <v>6.0</v>
      </c>
      <c r="AD470" s="166">
        <v>5.0</v>
      </c>
      <c r="AE470" s="166">
        <v>4.0</v>
      </c>
      <c r="AF470" s="166">
        <v>2.0</v>
      </c>
      <c r="AG470" s="168">
        <v>17.0</v>
      </c>
      <c r="AH470" s="166">
        <v>28.0</v>
      </c>
      <c r="AI470" s="167">
        <v>39.0</v>
      </c>
      <c r="AJ470" s="167">
        <v>29.0</v>
      </c>
      <c r="AK470" s="168">
        <v>96.0</v>
      </c>
      <c r="AL470" s="166"/>
      <c r="AM470" s="166"/>
      <c r="AN470" s="166"/>
      <c r="AO470" s="166"/>
      <c r="AP470" s="169"/>
      <c r="AQ470" s="166"/>
      <c r="AR470" s="167"/>
      <c r="AS470" s="167"/>
      <c r="AT470" s="170"/>
      <c r="AU470" s="166"/>
      <c r="AV470" s="167"/>
      <c r="AW470" s="167"/>
      <c r="AX470" s="171"/>
      <c r="AY470" s="196">
        <f t="shared" ref="AY470:BD470" si="2743">SUM(AY464:AY469)</f>
        <v>4</v>
      </c>
      <c r="AZ470" s="196">
        <f t="shared" si="2743"/>
        <v>3.8</v>
      </c>
      <c r="BA470" s="167">
        <f t="shared" si="2743"/>
        <v>0</v>
      </c>
      <c r="BB470" s="167">
        <f t="shared" si="2743"/>
        <v>0</v>
      </c>
      <c r="BC470" s="197">
        <f t="shared" si="2743"/>
        <v>7251.1</v>
      </c>
      <c r="BD470" s="197">
        <f t="shared" si="2743"/>
        <v>7251.9</v>
      </c>
      <c r="BE470" s="154" t="str">
        <f t="shared" ref="BE470:BF470" si="2744">TEXTJOIN(", ",TRUE,BE464:BE469)</f>
        <v/>
      </c>
      <c r="BF470" s="154" t="str">
        <f t="shared" si="2744"/>
        <v/>
      </c>
    </row>
    <row r="471" ht="15.75" customHeight="1">
      <c r="A471" s="67">
        <f t="shared" si="2722"/>
        <v>46270</v>
      </c>
      <c r="B471" s="124" t="s">
        <v>49</v>
      </c>
      <c r="C471" s="174">
        <v>3.0</v>
      </c>
      <c r="D471" s="175">
        <v>1.0</v>
      </c>
      <c r="E471" s="175">
        <v>0.0</v>
      </c>
      <c r="F471" s="175">
        <v>2.0</v>
      </c>
      <c r="G471" s="175">
        <v>0.0</v>
      </c>
      <c r="H471" s="176">
        <v>1.0</v>
      </c>
      <c r="I471" s="177">
        <v>1.0</v>
      </c>
      <c r="J471" s="178">
        <v>0.0</v>
      </c>
      <c r="K471" s="179">
        <v>0.0</v>
      </c>
      <c r="L471" s="179">
        <v>1.0</v>
      </c>
      <c r="M471" s="180">
        <v>48.0</v>
      </c>
      <c r="N471" s="175">
        <v>4.0</v>
      </c>
      <c r="O471" s="175">
        <v>10.0</v>
      </c>
      <c r="P471" s="175">
        <v>4.0</v>
      </c>
      <c r="Q471" s="175">
        <v>8.0</v>
      </c>
      <c r="R471" s="175">
        <v>7.0</v>
      </c>
      <c r="S471" s="175">
        <v>8.0</v>
      </c>
      <c r="T471" s="175">
        <v>7.0</v>
      </c>
      <c r="U471" s="181">
        <v>25.0</v>
      </c>
      <c r="V471" s="182">
        <v>4.0</v>
      </c>
      <c r="W471" s="175">
        <v>2.0</v>
      </c>
      <c r="X471" s="175">
        <v>1.0</v>
      </c>
      <c r="Y471" s="175">
        <v>1.0</v>
      </c>
      <c r="Z471" s="183">
        <v>2.0</v>
      </c>
      <c r="AA471" s="198">
        <v>2.0</v>
      </c>
      <c r="AB471" s="198">
        <v>0.0</v>
      </c>
      <c r="AC471" s="199">
        <v>2.0</v>
      </c>
      <c r="AD471" s="200">
        <v>0.0</v>
      </c>
      <c r="AE471" s="200">
        <v>0.0</v>
      </c>
      <c r="AF471" s="200">
        <v>0.0</v>
      </c>
      <c r="AG471" s="187">
        <v>2.0</v>
      </c>
      <c r="AH471" s="199">
        <v>6.0</v>
      </c>
      <c r="AI471" s="200">
        <v>6.0</v>
      </c>
      <c r="AJ471" s="200">
        <v>5.0</v>
      </c>
      <c r="AK471" s="188">
        <v>17.0</v>
      </c>
      <c r="AL471" s="199"/>
      <c r="AM471" s="200"/>
      <c r="AN471" s="200"/>
      <c r="AO471" s="200"/>
      <c r="AP471" s="189"/>
      <c r="AQ471" s="199"/>
      <c r="AR471" s="200"/>
      <c r="AS471" s="200"/>
      <c r="AT471" s="190"/>
      <c r="AU471" s="199"/>
      <c r="AV471" s="200"/>
      <c r="AW471" s="200"/>
      <c r="AX471" s="191"/>
      <c r="AY471" s="92">
        <f t="shared" ref="AY471:AZ471" si="2745">RANDBETWEEN(1,10)/10</f>
        <v>1</v>
      </c>
      <c r="AZ471" s="92">
        <f t="shared" si="2745"/>
        <v>0.5</v>
      </c>
      <c r="BA471" s="93">
        <v>0.0</v>
      </c>
      <c r="BB471" s="93">
        <v>0.0</v>
      </c>
      <c r="BC471" s="94">
        <f>SUM(BC443,'ГОЧ'!$AY471)</f>
        <v>1208.6</v>
      </c>
      <c r="BD471" s="94">
        <f>SUM(BD443,'ГОЧ'!$AZ471)</f>
        <v>1207.1</v>
      </c>
      <c r="BE471" s="186"/>
      <c r="BF471" s="186"/>
    </row>
    <row r="472" ht="15.75" customHeight="1">
      <c r="A472" s="67">
        <f t="shared" si="2722"/>
        <v>46270</v>
      </c>
      <c r="B472" s="195" t="s">
        <v>53</v>
      </c>
      <c r="C472" s="157">
        <v>2.0</v>
      </c>
      <c r="D472" s="97">
        <v>1.0</v>
      </c>
      <c r="E472" s="97">
        <v>1.0</v>
      </c>
      <c r="F472" s="97">
        <v>1.0</v>
      </c>
      <c r="G472" s="97">
        <v>0.0</v>
      </c>
      <c r="H472" s="98">
        <v>2.0</v>
      </c>
      <c r="I472" s="99">
        <v>0.0</v>
      </c>
      <c r="J472" s="100">
        <v>1.0</v>
      </c>
      <c r="K472" s="101">
        <v>2.0</v>
      </c>
      <c r="L472" s="101">
        <v>0.0</v>
      </c>
      <c r="M472" s="140">
        <v>34.0</v>
      </c>
      <c r="N472" s="97">
        <v>7.0</v>
      </c>
      <c r="O472" s="97">
        <v>8.0</v>
      </c>
      <c r="P472" s="97">
        <v>4.0</v>
      </c>
      <c r="Q472" s="97">
        <v>2.0</v>
      </c>
      <c r="R472" s="97">
        <v>5.0</v>
      </c>
      <c r="S472" s="97">
        <v>0.0</v>
      </c>
      <c r="T472" s="97">
        <v>8.0</v>
      </c>
      <c r="U472" s="103">
        <v>18.0</v>
      </c>
      <c r="V472" s="158">
        <v>1.0</v>
      </c>
      <c r="W472" s="97">
        <v>0.0</v>
      </c>
      <c r="X472" s="97">
        <v>1.0</v>
      </c>
      <c r="Y472" s="97">
        <v>0.0</v>
      </c>
      <c r="Z472" s="105">
        <v>0.0</v>
      </c>
      <c r="AA472" s="106">
        <v>0.0</v>
      </c>
      <c r="AB472" s="106">
        <v>0.0</v>
      </c>
      <c r="AC472" s="107">
        <v>2.0</v>
      </c>
      <c r="AD472" s="108">
        <v>2.0</v>
      </c>
      <c r="AE472" s="108">
        <v>1.0</v>
      </c>
      <c r="AF472" s="108">
        <v>1.0</v>
      </c>
      <c r="AG472" s="86">
        <v>6.0</v>
      </c>
      <c r="AH472" s="107">
        <v>1.0</v>
      </c>
      <c r="AI472" s="108">
        <v>1.0</v>
      </c>
      <c r="AJ472" s="108">
        <v>8.0</v>
      </c>
      <c r="AK472" s="192">
        <v>10.0</v>
      </c>
      <c r="AL472" s="107"/>
      <c r="AM472" s="108"/>
      <c r="AN472" s="108"/>
      <c r="AO472" s="108"/>
      <c r="AP472" s="89"/>
      <c r="AQ472" s="107"/>
      <c r="AR472" s="108"/>
      <c r="AS472" s="108"/>
      <c r="AT472" s="193"/>
      <c r="AU472" s="107"/>
      <c r="AV472" s="108"/>
      <c r="AW472" s="108"/>
      <c r="AX472" s="194"/>
      <c r="AY472" s="92">
        <f t="shared" ref="AY472:AZ472" si="2746">RANDBETWEEN(1,10)/10</f>
        <v>0.3</v>
      </c>
      <c r="AZ472" s="92">
        <f t="shared" si="2746"/>
        <v>0.8</v>
      </c>
      <c r="BA472" s="93">
        <v>0.0</v>
      </c>
      <c r="BB472" s="93">
        <v>0.0</v>
      </c>
      <c r="BC472" s="94">
        <f>SUM(BC444,'ГОЧ'!$AY472)</f>
        <v>1207</v>
      </c>
      <c r="BD472" s="94">
        <f>SUM(BD444,'ГОЧ'!$AZ472)</f>
        <v>1208.4</v>
      </c>
      <c r="BE472" s="108"/>
      <c r="BF472" s="108"/>
    </row>
    <row r="473" ht="15.75" customHeight="1">
      <c r="A473" s="67">
        <f t="shared" si="2722"/>
        <v>46270</v>
      </c>
      <c r="B473" s="138" t="s">
        <v>57</v>
      </c>
      <c r="C473" s="157">
        <v>2.0</v>
      </c>
      <c r="D473" s="97">
        <v>0.0</v>
      </c>
      <c r="E473" s="97">
        <v>1.0</v>
      </c>
      <c r="F473" s="97">
        <v>2.0</v>
      </c>
      <c r="G473" s="97">
        <v>2.0</v>
      </c>
      <c r="H473" s="98">
        <v>1.0</v>
      </c>
      <c r="I473" s="99">
        <v>0.0</v>
      </c>
      <c r="J473" s="100">
        <v>0.0</v>
      </c>
      <c r="K473" s="101">
        <v>0.0</v>
      </c>
      <c r="L473" s="101">
        <v>1.0</v>
      </c>
      <c r="M473" s="140">
        <v>37.0</v>
      </c>
      <c r="N473" s="97">
        <v>8.0</v>
      </c>
      <c r="O473" s="97">
        <v>5.0</v>
      </c>
      <c r="P473" s="97">
        <v>8.0</v>
      </c>
      <c r="Q473" s="97">
        <v>7.0</v>
      </c>
      <c r="R473" s="97">
        <v>9.0</v>
      </c>
      <c r="S473" s="97">
        <v>0.0</v>
      </c>
      <c r="T473" s="97">
        <v>0.0</v>
      </c>
      <c r="U473" s="103">
        <v>27.0</v>
      </c>
      <c r="V473" s="158">
        <v>0.0</v>
      </c>
      <c r="W473" s="97">
        <v>0.0</v>
      </c>
      <c r="X473" s="97">
        <v>0.0</v>
      </c>
      <c r="Y473" s="97">
        <v>0.0</v>
      </c>
      <c r="Z473" s="105">
        <v>0.0</v>
      </c>
      <c r="AA473" s="143">
        <v>0.0</v>
      </c>
      <c r="AB473" s="143">
        <v>0.0</v>
      </c>
      <c r="AC473" s="144">
        <v>2.0</v>
      </c>
      <c r="AD473" s="145">
        <v>2.0</v>
      </c>
      <c r="AE473" s="145">
        <v>2.0</v>
      </c>
      <c r="AF473" s="145">
        <v>0.0</v>
      </c>
      <c r="AG473" s="86">
        <v>6.0</v>
      </c>
      <c r="AH473" s="144">
        <v>8.0</v>
      </c>
      <c r="AI473" s="145">
        <v>2.0</v>
      </c>
      <c r="AJ473" s="145">
        <v>7.0</v>
      </c>
      <c r="AK473" s="192">
        <v>17.0</v>
      </c>
      <c r="AL473" s="144"/>
      <c r="AM473" s="145"/>
      <c r="AN473" s="145"/>
      <c r="AO473" s="145"/>
      <c r="AP473" s="89"/>
      <c r="AQ473" s="144"/>
      <c r="AR473" s="145"/>
      <c r="AS473" s="145"/>
      <c r="AT473" s="193"/>
      <c r="AU473" s="144"/>
      <c r="AV473" s="145"/>
      <c r="AW473" s="145"/>
      <c r="AX473" s="194"/>
      <c r="AY473" s="92">
        <f t="shared" ref="AY473:AZ473" si="2747">RANDBETWEEN(1,10)/10</f>
        <v>1</v>
      </c>
      <c r="AZ473" s="92">
        <f t="shared" si="2747"/>
        <v>0.3</v>
      </c>
      <c r="BA473" s="93">
        <v>0.0</v>
      </c>
      <c r="BB473" s="93">
        <v>0.0</v>
      </c>
      <c r="BC473" s="94">
        <f>SUM(BC445,'ГОЧ'!$AY473)</f>
        <v>1210.2</v>
      </c>
      <c r="BD473" s="94">
        <f>SUM(BD445,'ГОЧ'!$AZ473)</f>
        <v>1209.2</v>
      </c>
      <c r="BE473" s="108"/>
      <c r="BF473" s="108"/>
    </row>
    <row r="474" ht="15.75" customHeight="1">
      <c r="A474" s="67">
        <f t="shared" si="2722"/>
        <v>46270</v>
      </c>
      <c r="B474" s="138" t="s">
        <v>60</v>
      </c>
      <c r="C474" s="157">
        <v>3.0</v>
      </c>
      <c r="D474" s="97">
        <v>1.0</v>
      </c>
      <c r="E474" s="97">
        <v>1.0</v>
      </c>
      <c r="F474" s="97">
        <v>2.0</v>
      </c>
      <c r="G474" s="97">
        <v>2.0</v>
      </c>
      <c r="H474" s="98">
        <v>0.0</v>
      </c>
      <c r="I474" s="99">
        <v>0.0</v>
      </c>
      <c r="J474" s="100">
        <v>1.0</v>
      </c>
      <c r="K474" s="101">
        <v>2.0</v>
      </c>
      <c r="L474" s="101">
        <v>1.0</v>
      </c>
      <c r="M474" s="140">
        <v>39.0</v>
      </c>
      <c r="N474" s="97">
        <v>3.0</v>
      </c>
      <c r="O474" s="97">
        <v>5.0</v>
      </c>
      <c r="P474" s="97">
        <v>10.0</v>
      </c>
      <c r="Q474" s="97">
        <v>1.0</v>
      </c>
      <c r="R474" s="97">
        <v>10.0</v>
      </c>
      <c r="S474" s="97">
        <v>0.0</v>
      </c>
      <c r="T474" s="97">
        <v>10.0</v>
      </c>
      <c r="U474" s="103">
        <v>29.0</v>
      </c>
      <c r="V474" s="158">
        <v>4.0</v>
      </c>
      <c r="W474" s="97">
        <v>0.0</v>
      </c>
      <c r="X474" s="97">
        <v>2.0</v>
      </c>
      <c r="Y474" s="97">
        <v>2.0</v>
      </c>
      <c r="Z474" s="105">
        <v>3.0</v>
      </c>
      <c r="AA474" s="106">
        <v>2.0</v>
      </c>
      <c r="AB474" s="106">
        <v>1.0</v>
      </c>
      <c r="AC474" s="107">
        <v>2.0</v>
      </c>
      <c r="AD474" s="108">
        <v>2.0</v>
      </c>
      <c r="AE474" s="108">
        <v>2.0</v>
      </c>
      <c r="AF474" s="108">
        <v>1.0</v>
      </c>
      <c r="AG474" s="86">
        <v>7.0</v>
      </c>
      <c r="AH474" s="107">
        <v>5.0</v>
      </c>
      <c r="AI474" s="108">
        <v>9.0</v>
      </c>
      <c r="AJ474" s="108">
        <v>3.0</v>
      </c>
      <c r="AK474" s="192">
        <v>17.0</v>
      </c>
      <c r="AL474" s="107"/>
      <c r="AM474" s="108"/>
      <c r="AN474" s="108"/>
      <c r="AO474" s="108"/>
      <c r="AP474" s="89"/>
      <c r="AQ474" s="107"/>
      <c r="AR474" s="108"/>
      <c r="AS474" s="108"/>
      <c r="AT474" s="193"/>
      <c r="AU474" s="107"/>
      <c r="AV474" s="108"/>
      <c r="AW474" s="108"/>
      <c r="AX474" s="194"/>
      <c r="AY474" s="92">
        <f t="shared" ref="AY474:AZ474" si="2748">RANDBETWEEN(1,10)/10</f>
        <v>0.9</v>
      </c>
      <c r="AZ474" s="92">
        <f t="shared" si="2748"/>
        <v>0.7</v>
      </c>
      <c r="BA474" s="93">
        <v>0.0</v>
      </c>
      <c r="BB474" s="93">
        <v>0.0</v>
      </c>
      <c r="BC474" s="94">
        <f>SUM(BC446,'ГОЧ'!$AY474)</f>
        <v>1208.1</v>
      </c>
      <c r="BD474" s="94">
        <f>SUM(BD446,'ГОЧ'!$AZ474)</f>
        <v>1208.2</v>
      </c>
      <c r="BE474" s="108"/>
      <c r="BF474" s="108"/>
    </row>
    <row r="475" ht="15.75" customHeight="1">
      <c r="A475" s="67">
        <f t="shared" si="2722"/>
        <v>46270</v>
      </c>
      <c r="B475" s="195" t="s">
        <v>64</v>
      </c>
      <c r="C475" s="157">
        <v>3.0</v>
      </c>
      <c r="D475" s="97">
        <v>2.0</v>
      </c>
      <c r="E475" s="97">
        <v>1.0</v>
      </c>
      <c r="F475" s="97">
        <v>1.0</v>
      </c>
      <c r="G475" s="97">
        <v>0.0</v>
      </c>
      <c r="H475" s="98">
        <v>1.0</v>
      </c>
      <c r="I475" s="99">
        <v>1.0</v>
      </c>
      <c r="J475" s="100">
        <v>0.0</v>
      </c>
      <c r="K475" s="101">
        <v>1.0</v>
      </c>
      <c r="L475" s="101">
        <v>2.0</v>
      </c>
      <c r="M475" s="140">
        <v>37.0</v>
      </c>
      <c r="N475" s="97">
        <v>7.0</v>
      </c>
      <c r="O475" s="97">
        <v>9.0</v>
      </c>
      <c r="P475" s="97">
        <v>2.0</v>
      </c>
      <c r="Q475" s="97">
        <v>3.0</v>
      </c>
      <c r="R475" s="97">
        <v>2.0</v>
      </c>
      <c r="S475" s="97">
        <v>9.0</v>
      </c>
      <c r="T475" s="97">
        <v>5.0</v>
      </c>
      <c r="U475" s="103">
        <v>12.0</v>
      </c>
      <c r="V475" s="158">
        <v>5.0</v>
      </c>
      <c r="W475" s="97">
        <v>2.0</v>
      </c>
      <c r="X475" s="97">
        <v>1.0</v>
      </c>
      <c r="Y475" s="97">
        <v>2.0</v>
      </c>
      <c r="Z475" s="105">
        <v>2.0</v>
      </c>
      <c r="AA475" s="143">
        <v>0.0</v>
      </c>
      <c r="AB475" s="143">
        <v>2.0</v>
      </c>
      <c r="AC475" s="144">
        <v>2.0</v>
      </c>
      <c r="AD475" s="145">
        <v>2.0</v>
      </c>
      <c r="AE475" s="145">
        <v>0.0</v>
      </c>
      <c r="AF475" s="145">
        <v>1.0</v>
      </c>
      <c r="AG475" s="86">
        <v>5.0</v>
      </c>
      <c r="AH475" s="144">
        <v>5.0</v>
      </c>
      <c r="AI475" s="145">
        <v>2.0</v>
      </c>
      <c r="AJ475" s="145">
        <v>6.0</v>
      </c>
      <c r="AK475" s="192">
        <v>13.0</v>
      </c>
      <c r="AL475" s="144"/>
      <c r="AM475" s="145"/>
      <c r="AN475" s="145"/>
      <c r="AO475" s="145"/>
      <c r="AP475" s="89"/>
      <c r="AQ475" s="144"/>
      <c r="AR475" s="145"/>
      <c r="AS475" s="145"/>
      <c r="AT475" s="193"/>
      <c r="AU475" s="144"/>
      <c r="AV475" s="145"/>
      <c r="AW475" s="145"/>
      <c r="AX475" s="194"/>
      <c r="AY475" s="92">
        <f t="shared" ref="AY475:AZ475" si="2749">RANDBETWEEN(1,10)/10</f>
        <v>0.8</v>
      </c>
      <c r="AZ475" s="92">
        <f t="shared" si="2749"/>
        <v>0.1</v>
      </c>
      <c r="BA475" s="93">
        <v>0.0</v>
      </c>
      <c r="BB475" s="93">
        <v>0.0</v>
      </c>
      <c r="BC475" s="94">
        <f>SUM(BC447,'ГОЧ'!$AY475)</f>
        <v>1207.7</v>
      </c>
      <c r="BD475" s="94">
        <f>SUM(BD447,'ГОЧ'!$AZ475)</f>
        <v>1206.9</v>
      </c>
      <c r="BE475" s="108"/>
      <c r="BF475" s="108"/>
    </row>
    <row r="476" ht="15.75" customHeight="1">
      <c r="A476" s="67">
        <f t="shared" si="2722"/>
        <v>46270</v>
      </c>
      <c r="B476" s="201" t="s">
        <v>67</v>
      </c>
      <c r="C476" s="164">
        <v>13.0</v>
      </c>
      <c r="D476" s="164">
        <v>5.0</v>
      </c>
      <c r="E476" s="165">
        <v>4.0</v>
      </c>
      <c r="F476" s="165">
        <v>8.0</v>
      </c>
      <c r="G476" s="165">
        <v>4.0</v>
      </c>
      <c r="H476" s="165">
        <v>5.0</v>
      </c>
      <c r="I476" s="165">
        <v>2.0</v>
      </c>
      <c r="J476" s="165">
        <v>2.0</v>
      </c>
      <c r="K476" s="165">
        <v>5.0</v>
      </c>
      <c r="L476" s="165">
        <v>5.0</v>
      </c>
      <c r="M476" s="164">
        <v>195.0</v>
      </c>
      <c r="N476" s="164">
        <v>29.0</v>
      </c>
      <c r="O476" s="165">
        <v>37.0</v>
      </c>
      <c r="P476" s="165">
        <v>28.0</v>
      </c>
      <c r="Q476" s="165">
        <v>21.0</v>
      </c>
      <c r="R476" s="165">
        <v>33.0</v>
      </c>
      <c r="S476" s="165">
        <v>17.0</v>
      </c>
      <c r="T476" s="165">
        <v>30.0</v>
      </c>
      <c r="U476" s="164">
        <v>111.0</v>
      </c>
      <c r="V476" s="164">
        <v>14.0</v>
      </c>
      <c r="W476" s="165">
        <v>4.0</v>
      </c>
      <c r="X476" s="165">
        <v>5.0</v>
      </c>
      <c r="Y476" s="165">
        <v>5.0</v>
      </c>
      <c r="Z476" s="164">
        <v>7.0</v>
      </c>
      <c r="AA476" s="164">
        <v>4.0</v>
      </c>
      <c r="AB476" s="165">
        <v>3.0</v>
      </c>
      <c r="AC476" s="166">
        <v>10.0</v>
      </c>
      <c r="AD476" s="166">
        <v>8.0</v>
      </c>
      <c r="AE476" s="166">
        <v>5.0</v>
      </c>
      <c r="AF476" s="166">
        <v>3.0</v>
      </c>
      <c r="AG476" s="168">
        <v>26.0</v>
      </c>
      <c r="AH476" s="166">
        <v>25.0</v>
      </c>
      <c r="AI476" s="167">
        <v>20.0</v>
      </c>
      <c r="AJ476" s="167">
        <v>29.0</v>
      </c>
      <c r="AK476" s="168">
        <v>74.0</v>
      </c>
      <c r="AL476" s="166"/>
      <c r="AM476" s="166"/>
      <c r="AN476" s="166"/>
      <c r="AO476" s="166"/>
      <c r="AP476" s="169"/>
      <c r="AQ476" s="166"/>
      <c r="AR476" s="167"/>
      <c r="AS476" s="167"/>
      <c r="AT476" s="170"/>
      <c r="AU476" s="166"/>
      <c r="AV476" s="167"/>
      <c r="AW476" s="167"/>
      <c r="AX476" s="171"/>
      <c r="AY476" s="196">
        <f t="shared" ref="AY476:BD476" si="2750">SUM(AY471:AY475)</f>
        <v>4</v>
      </c>
      <c r="AZ476" s="196">
        <f t="shared" si="2750"/>
        <v>2.4</v>
      </c>
      <c r="BA476" s="167">
        <f t="shared" si="2750"/>
        <v>0</v>
      </c>
      <c r="BB476" s="167">
        <f t="shared" si="2750"/>
        <v>0</v>
      </c>
      <c r="BC476" s="197">
        <f t="shared" si="2750"/>
        <v>6041.6</v>
      </c>
      <c r="BD476" s="197">
        <f t="shared" si="2750"/>
        <v>6039.8</v>
      </c>
      <c r="BE476" s="154" t="str">
        <f t="shared" ref="BE476:BF476" si="2751">TEXTJOIN(", ",TRUE,BE471:BE475)</f>
        <v/>
      </c>
      <c r="BF476" s="154" t="str">
        <f t="shared" si="2751"/>
        <v/>
      </c>
    </row>
    <row r="477" ht="15.75" customHeight="1">
      <c r="A477" s="67">
        <f t="shared" si="2722"/>
        <v>46270</v>
      </c>
      <c r="B477" s="202" t="s">
        <v>72</v>
      </c>
      <c r="C477" s="203">
        <v>50.0</v>
      </c>
      <c r="D477" s="203">
        <v>26.0</v>
      </c>
      <c r="E477" s="203">
        <v>18.0</v>
      </c>
      <c r="F477" s="203">
        <v>24.0</v>
      </c>
      <c r="G477" s="203">
        <v>26.0</v>
      </c>
      <c r="H477" s="203">
        <v>20.0</v>
      </c>
      <c r="I477" s="203">
        <v>24.0</v>
      </c>
      <c r="J477" s="203">
        <v>16.0</v>
      </c>
      <c r="K477" s="203">
        <v>18.0</v>
      </c>
      <c r="L477" s="203">
        <v>21.0</v>
      </c>
      <c r="M477" s="203">
        <v>739.0</v>
      </c>
      <c r="N477" s="203">
        <v>125.0</v>
      </c>
      <c r="O477" s="203">
        <v>130.0</v>
      </c>
      <c r="P477" s="203">
        <v>86.0</v>
      </c>
      <c r="Q477" s="203">
        <v>104.0</v>
      </c>
      <c r="R477" s="203">
        <v>84.0</v>
      </c>
      <c r="S477" s="203">
        <v>85.0</v>
      </c>
      <c r="T477" s="203">
        <v>125.0</v>
      </c>
      <c r="U477" s="203">
        <v>434.0</v>
      </c>
      <c r="V477" s="203">
        <v>52.0</v>
      </c>
      <c r="W477" s="203">
        <v>18.0</v>
      </c>
      <c r="X477" s="203">
        <v>18.0</v>
      </c>
      <c r="Y477" s="203">
        <v>16.0</v>
      </c>
      <c r="Z477" s="203">
        <v>39.0</v>
      </c>
      <c r="AA477" s="203">
        <v>16.0</v>
      </c>
      <c r="AB477" s="203">
        <v>23.0</v>
      </c>
      <c r="AC477" s="204">
        <v>21.0</v>
      </c>
      <c r="AD477" s="204">
        <v>23.0</v>
      </c>
      <c r="AE477" s="204">
        <v>21.0</v>
      </c>
      <c r="AF477" s="204">
        <v>15.0</v>
      </c>
      <c r="AG477" s="204">
        <v>80.0</v>
      </c>
      <c r="AH477" s="204">
        <v>104.0</v>
      </c>
      <c r="AI477" s="204">
        <v>126.0</v>
      </c>
      <c r="AJ477" s="204">
        <v>100.0</v>
      </c>
      <c r="AK477" s="204">
        <v>330.0</v>
      </c>
      <c r="AL477" s="204"/>
      <c r="AM477" s="204"/>
      <c r="AN477" s="204"/>
      <c r="AO477" s="204"/>
      <c r="AP477" s="151"/>
      <c r="AQ477" s="204"/>
      <c r="AR477" s="204"/>
      <c r="AS477" s="204"/>
      <c r="AT477" s="152"/>
      <c r="AU477" s="204"/>
      <c r="AV477" s="204"/>
      <c r="AW477" s="204"/>
      <c r="AX477" s="153"/>
      <c r="AY477" s="205">
        <f t="shared" ref="AY477:BD477" si="2752">SUM(AY451+AY452+AY453+AY457,AY456,AY463,AY470,AY476)</f>
        <v>22.4</v>
      </c>
      <c r="AZ477" s="205">
        <f t="shared" si="2752"/>
        <v>12.6</v>
      </c>
      <c r="BA477" s="206">
        <f t="shared" si="2752"/>
        <v>5</v>
      </c>
      <c r="BB477" s="206">
        <f t="shared" si="2752"/>
        <v>3</v>
      </c>
      <c r="BC477" s="207">
        <f t="shared" si="2752"/>
        <v>26593.1</v>
      </c>
      <c r="BD477" s="207">
        <f t="shared" si="2752"/>
        <v>26594.7</v>
      </c>
      <c r="BE477" s="154" t="str">
        <f t="shared" ref="BE477:BF477" si="2753">TEXTJOIN(", ",TRUE,BE476,BE470,BE463,BE457,BE456,BE453,BE452,BE451)</f>
        <v>Олександівка, Пантелеймонівка, Миколаївка, Курськ, Рильск</v>
      </c>
      <c r="BF477" s="154" t="str">
        <f t="shared" si="2753"/>
        <v>Загреблі, Верхні води, Ступочки</v>
      </c>
    </row>
    <row r="478" ht="15.75" customHeight="1">
      <c r="A478" s="55">
        <f>A477+1</f>
        <v>46271</v>
      </c>
      <c r="B478" s="56"/>
      <c r="C478" s="57"/>
      <c r="D478" s="58"/>
      <c r="E478" s="59"/>
      <c r="F478" s="58"/>
      <c r="G478" s="59"/>
      <c r="H478" s="57"/>
      <c r="I478" s="60"/>
      <c r="J478" s="57"/>
      <c r="K478" s="57"/>
      <c r="L478" s="57"/>
      <c r="M478" s="57"/>
      <c r="N478" s="60"/>
      <c r="O478" s="60"/>
      <c r="P478" s="60"/>
      <c r="Q478" s="60"/>
      <c r="R478" s="60"/>
      <c r="S478" s="60"/>
      <c r="T478" s="60"/>
      <c r="U478" s="57"/>
      <c r="V478" s="58"/>
      <c r="W478" s="61"/>
      <c r="X478" s="61"/>
      <c r="Y478" s="61"/>
      <c r="Z478" s="57"/>
      <c r="AA478" s="60"/>
      <c r="AB478" s="60"/>
      <c r="AC478" s="62"/>
      <c r="AD478" s="62"/>
      <c r="AE478" s="62"/>
      <c r="AF478" s="62"/>
      <c r="AG478" s="62"/>
      <c r="AH478" s="62"/>
      <c r="AI478" s="62"/>
      <c r="AJ478" s="62"/>
      <c r="AK478" s="62"/>
      <c r="AL478" s="62"/>
      <c r="AM478" s="62"/>
      <c r="AN478" s="62"/>
      <c r="AO478" s="62"/>
      <c r="AP478" s="64"/>
      <c r="AQ478" s="62"/>
      <c r="AR478" s="62"/>
      <c r="AS478" s="62"/>
      <c r="AT478" s="65"/>
      <c r="AU478" s="62"/>
      <c r="AV478" s="62"/>
      <c r="AW478" s="62"/>
      <c r="AX478" s="66"/>
      <c r="AY478" s="208"/>
      <c r="AZ478" s="208"/>
      <c r="BA478" s="62"/>
      <c r="BB478" s="62"/>
      <c r="BC478" s="209"/>
      <c r="BD478" s="209"/>
      <c r="BE478" s="62"/>
      <c r="BF478" s="62"/>
    </row>
    <row r="479" ht="15.75" customHeight="1">
      <c r="A479" s="67">
        <f t="shared" ref="A479:A505" si="2760">A478</f>
        <v>46271</v>
      </c>
      <c r="B479" s="70" t="s">
        <v>8</v>
      </c>
      <c r="C479" s="72">
        <f t="shared" ref="C479:C504" si="2761">SUM(D479,F479)</f>
        <v>2</v>
      </c>
      <c r="D479" s="74">
        <f t="shared" ref="D479:L479" si="2754">RANDBETWEEN(0,2)</f>
        <v>0</v>
      </c>
      <c r="E479" s="74">
        <f t="shared" si="2754"/>
        <v>2</v>
      </c>
      <c r="F479" s="74">
        <f t="shared" si="2754"/>
        <v>2</v>
      </c>
      <c r="G479" s="74">
        <f t="shared" si="2754"/>
        <v>2</v>
      </c>
      <c r="H479" s="75">
        <f t="shared" si="2754"/>
        <v>0</v>
      </c>
      <c r="I479" s="76">
        <f t="shared" si="2754"/>
        <v>2</v>
      </c>
      <c r="J479" s="77">
        <f t="shared" si="2754"/>
        <v>2</v>
      </c>
      <c r="K479" s="78">
        <f t="shared" si="2754"/>
        <v>1</v>
      </c>
      <c r="L479" s="78">
        <f t="shared" si="2754"/>
        <v>0</v>
      </c>
      <c r="M479" s="79">
        <f t="shared" ref="M479:M497" si="2763">SUM(N479:T479)</f>
        <v>44</v>
      </c>
      <c r="N479" s="74">
        <f t="shared" ref="N479:T479" si="2755">RANDBETWEEN(0,10)</f>
        <v>7</v>
      </c>
      <c r="O479" s="74">
        <f t="shared" si="2755"/>
        <v>4</v>
      </c>
      <c r="P479" s="74">
        <f t="shared" si="2755"/>
        <v>8</v>
      </c>
      <c r="Q479" s="74">
        <f t="shared" si="2755"/>
        <v>2</v>
      </c>
      <c r="R479" s="74">
        <f t="shared" si="2755"/>
        <v>6</v>
      </c>
      <c r="S479" s="74">
        <f t="shared" si="2755"/>
        <v>10</v>
      </c>
      <c r="T479" s="74">
        <f t="shared" si="2755"/>
        <v>7</v>
      </c>
      <c r="U479" s="81">
        <f t="shared" ref="U479:U480" si="2765">RANDBETWEEN(10,30)</f>
        <v>11</v>
      </c>
      <c r="V479" s="82">
        <f t="shared" ref="V479:V484" si="2766">SUM(W479:Y479)</f>
        <v>3</v>
      </c>
      <c r="W479" s="74">
        <f t="shared" ref="W479:Y479" si="2756">RANDBETWEEN(0,2)</f>
        <v>2</v>
      </c>
      <c r="X479" s="74">
        <f t="shared" si="2756"/>
        <v>1</v>
      </c>
      <c r="Y479" s="74">
        <f t="shared" si="2756"/>
        <v>0</v>
      </c>
      <c r="Z479" s="83">
        <f t="shared" ref="Z479:Z481" si="2768">AA479+AB479</f>
        <v>2</v>
      </c>
      <c r="AA479" s="84">
        <f t="shared" ref="AA479:AF479" si="2757">RANDBETWEEN(0,2)</f>
        <v>1</v>
      </c>
      <c r="AB479" s="84">
        <f t="shared" si="2757"/>
        <v>1</v>
      </c>
      <c r="AC479" s="85">
        <f t="shared" si="2757"/>
        <v>0</v>
      </c>
      <c r="AD479" s="85">
        <f t="shared" si="2757"/>
        <v>2</v>
      </c>
      <c r="AE479" s="85">
        <f t="shared" si="2757"/>
        <v>0</v>
      </c>
      <c r="AF479" s="85">
        <f t="shared" si="2757"/>
        <v>2</v>
      </c>
      <c r="AG479" s="86">
        <f t="shared" ref="AG479:AG504" si="2770">SUM(AC479:AF479)</f>
        <v>4</v>
      </c>
      <c r="AH479" s="87">
        <f t="shared" ref="AH479:AJ479" si="2758">RANDBETWEEN(1,10)</f>
        <v>3</v>
      </c>
      <c r="AI479" s="85">
        <f t="shared" si="2758"/>
        <v>7</v>
      </c>
      <c r="AJ479" s="85">
        <f t="shared" si="2758"/>
        <v>3</v>
      </c>
      <c r="AK479" s="88">
        <f t="shared" ref="AK479:AK504" si="2772">SUM(AH479:AJ479)</f>
        <v>13</v>
      </c>
      <c r="AL479" s="85"/>
      <c r="AM479" s="85"/>
      <c r="AN479" s="85"/>
      <c r="AO479" s="85"/>
      <c r="AP479" s="89"/>
      <c r="AQ479" s="87"/>
      <c r="AR479" s="85"/>
      <c r="AS479" s="85"/>
      <c r="AT479" s="90"/>
      <c r="AU479" s="87"/>
      <c r="AV479" s="85"/>
      <c r="AW479" s="85"/>
      <c r="AX479" s="91"/>
      <c r="AY479" s="92">
        <f t="shared" ref="AY479:AZ479" si="2759">RANDBETWEEN(1,10)/10</f>
        <v>0.6</v>
      </c>
      <c r="AZ479" s="92">
        <f t="shared" si="2759"/>
        <v>1</v>
      </c>
      <c r="BA479" s="93">
        <v>0.0</v>
      </c>
      <c r="BB479" s="93">
        <v>0.0</v>
      </c>
      <c r="BC479" s="94">
        <f>SUM(BC451,'ГОЧ'!$AY479)</f>
        <v>1211.6</v>
      </c>
      <c r="BD479" s="94">
        <f>SUM(BD451,'ГОЧ'!$AZ479)</f>
        <v>1212.2</v>
      </c>
      <c r="BE479" s="85"/>
      <c r="BF479" s="85"/>
    </row>
    <row r="480" ht="15.75" customHeight="1">
      <c r="A480" s="67">
        <f t="shared" si="2760"/>
        <v>46271</v>
      </c>
      <c r="B480" s="95" t="s">
        <v>10</v>
      </c>
      <c r="C480" s="96">
        <f t="shared" si="2761"/>
        <v>0</v>
      </c>
      <c r="D480" s="97">
        <f t="shared" ref="D480:L480" si="2762">RANDBETWEEN(0,2)</f>
        <v>0</v>
      </c>
      <c r="E480" s="97">
        <f t="shared" si="2762"/>
        <v>1</v>
      </c>
      <c r="F480" s="97">
        <f t="shared" si="2762"/>
        <v>0</v>
      </c>
      <c r="G480" s="97">
        <f t="shared" si="2762"/>
        <v>2</v>
      </c>
      <c r="H480" s="98">
        <f t="shared" si="2762"/>
        <v>1</v>
      </c>
      <c r="I480" s="99">
        <f t="shared" si="2762"/>
        <v>1</v>
      </c>
      <c r="J480" s="100">
        <f t="shared" si="2762"/>
        <v>0</v>
      </c>
      <c r="K480" s="101">
        <f t="shared" si="2762"/>
        <v>1</v>
      </c>
      <c r="L480" s="101">
        <f t="shared" si="2762"/>
        <v>0</v>
      </c>
      <c r="M480" s="102">
        <f t="shared" si="2763"/>
        <v>44</v>
      </c>
      <c r="N480" s="97">
        <f t="shared" ref="N480:T480" si="2764">RANDBETWEEN(0,10)</f>
        <v>4</v>
      </c>
      <c r="O480" s="97">
        <f t="shared" si="2764"/>
        <v>6</v>
      </c>
      <c r="P480" s="97">
        <f t="shared" si="2764"/>
        <v>8</v>
      </c>
      <c r="Q480" s="97">
        <f t="shared" si="2764"/>
        <v>9</v>
      </c>
      <c r="R480" s="97">
        <f t="shared" si="2764"/>
        <v>10</v>
      </c>
      <c r="S480" s="97">
        <f t="shared" si="2764"/>
        <v>2</v>
      </c>
      <c r="T480" s="97">
        <f t="shared" si="2764"/>
        <v>5</v>
      </c>
      <c r="U480" s="103">
        <f t="shared" si="2765"/>
        <v>21</v>
      </c>
      <c r="V480" s="104">
        <f t="shared" si="2766"/>
        <v>2</v>
      </c>
      <c r="W480" s="97">
        <f t="shared" ref="W480:Y480" si="2767">RANDBETWEEN(0,2)</f>
        <v>0</v>
      </c>
      <c r="X480" s="97">
        <f t="shared" si="2767"/>
        <v>0</v>
      </c>
      <c r="Y480" s="97">
        <f t="shared" si="2767"/>
        <v>2</v>
      </c>
      <c r="Z480" s="105">
        <f t="shared" si="2768"/>
        <v>1</v>
      </c>
      <c r="AA480" s="106">
        <f t="shared" ref="AA480:AF480" si="2769">RANDBETWEEN(0,2)</f>
        <v>0</v>
      </c>
      <c r="AB480" s="106">
        <f t="shared" si="2769"/>
        <v>1</v>
      </c>
      <c r="AC480" s="107">
        <f t="shared" si="2769"/>
        <v>1</v>
      </c>
      <c r="AD480" s="108">
        <f t="shared" si="2769"/>
        <v>0</v>
      </c>
      <c r="AE480" s="108">
        <f t="shared" si="2769"/>
        <v>0</v>
      </c>
      <c r="AF480" s="108">
        <f t="shared" si="2769"/>
        <v>0</v>
      </c>
      <c r="AG480" s="109">
        <f t="shared" si="2770"/>
        <v>1</v>
      </c>
      <c r="AH480" s="107">
        <f t="shared" ref="AH480:AJ480" si="2771">RANDBETWEEN(1,10)</f>
        <v>3</v>
      </c>
      <c r="AI480" s="108">
        <f t="shared" si="2771"/>
        <v>4</v>
      </c>
      <c r="AJ480" s="108">
        <f t="shared" si="2771"/>
        <v>5</v>
      </c>
      <c r="AK480" s="110">
        <f t="shared" si="2772"/>
        <v>12</v>
      </c>
      <c r="AL480" s="107"/>
      <c r="AM480" s="108"/>
      <c r="AN480" s="108"/>
      <c r="AO480" s="108"/>
      <c r="AP480" s="111"/>
      <c r="AQ480" s="107"/>
      <c r="AR480" s="108"/>
      <c r="AS480" s="108"/>
      <c r="AT480" s="112"/>
      <c r="AU480" s="107"/>
      <c r="AV480" s="108"/>
      <c r="AW480" s="108"/>
      <c r="AX480" s="113"/>
      <c r="AY480" s="92">
        <f t="shared" ref="AY480:AZ480" si="2773">RANDBETWEEN(1,10)/10</f>
        <v>0.3</v>
      </c>
      <c r="AZ480" s="92">
        <f t="shared" si="2773"/>
        <v>1</v>
      </c>
      <c r="BA480" s="93">
        <v>0.0</v>
      </c>
      <c r="BB480" s="93">
        <v>0.0</v>
      </c>
      <c r="BC480" s="94">
        <f>SUM(BC452,'ГОЧ'!$AY480)</f>
        <v>1208.9</v>
      </c>
      <c r="BD480" s="94">
        <f>SUM(BD452,'ГОЧ'!$AZ480)</f>
        <v>1210.5</v>
      </c>
      <c r="BE480" s="108"/>
      <c r="BF480" s="108"/>
    </row>
    <row r="481" ht="15.75" customHeight="1">
      <c r="A481" s="67">
        <f t="shared" si="2760"/>
        <v>46271</v>
      </c>
      <c r="B481" s="114" t="s">
        <v>12</v>
      </c>
      <c r="C481" s="115">
        <f t="shared" si="2761"/>
        <v>0</v>
      </c>
      <c r="D481" s="115">
        <v>0.0</v>
      </c>
      <c r="E481" s="116">
        <v>0.0</v>
      </c>
      <c r="F481" s="116">
        <v>0.0</v>
      </c>
      <c r="G481" s="116">
        <v>0.0</v>
      </c>
      <c r="H481" s="115">
        <v>0.0</v>
      </c>
      <c r="I481" s="116">
        <v>0.0</v>
      </c>
      <c r="J481" s="115">
        <v>0.0</v>
      </c>
      <c r="K481" s="116">
        <v>0.0</v>
      </c>
      <c r="L481" s="116">
        <v>0.0</v>
      </c>
      <c r="M481" s="115">
        <f t="shared" si="2763"/>
        <v>0</v>
      </c>
      <c r="N481" s="115">
        <v>0.0</v>
      </c>
      <c r="O481" s="116">
        <v>0.0</v>
      </c>
      <c r="P481" s="116">
        <v>0.0</v>
      </c>
      <c r="Q481" s="116">
        <v>0.0</v>
      </c>
      <c r="R481" s="116">
        <v>0.0</v>
      </c>
      <c r="S481" s="116">
        <v>0.0</v>
      </c>
      <c r="T481" s="116">
        <v>0.0</v>
      </c>
      <c r="U481" s="115">
        <v>0.0</v>
      </c>
      <c r="V481" s="115">
        <f t="shared" si="2766"/>
        <v>0</v>
      </c>
      <c r="W481" s="116">
        <v>0.0</v>
      </c>
      <c r="X481" s="116">
        <v>0.0</v>
      </c>
      <c r="Y481" s="116">
        <v>0.0</v>
      </c>
      <c r="Z481" s="116">
        <f t="shared" si="2768"/>
        <v>0</v>
      </c>
      <c r="AA481" s="116">
        <v>0.0</v>
      </c>
      <c r="AB481" s="116">
        <v>0.0</v>
      </c>
      <c r="AC481" s="117">
        <v>0.0</v>
      </c>
      <c r="AD481" s="118">
        <v>0.0</v>
      </c>
      <c r="AE481" s="118">
        <v>0.0</v>
      </c>
      <c r="AF481" s="118">
        <v>0.0</v>
      </c>
      <c r="AG481" s="119">
        <f t="shared" si="2770"/>
        <v>0</v>
      </c>
      <c r="AH481" s="117">
        <v>0.0</v>
      </c>
      <c r="AI481" s="118">
        <v>0.0</v>
      </c>
      <c r="AJ481" s="118">
        <v>0.0</v>
      </c>
      <c r="AK481" s="119">
        <f t="shared" si="2772"/>
        <v>0</v>
      </c>
      <c r="AL481" s="117"/>
      <c r="AM481" s="118"/>
      <c r="AN481" s="118"/>
      <c r="AO481" s="118"/>
      <c r="AP481" s="111"/>
      <c r="AQ481" s="117"/>
      <c r="AR481" s="118"/>
      <c r="AS481" s="118"/>
      <c r="AT481" s="120"/>
      <c r="AU481" s="117"/>
      <c r="AV481" s="118"/>
      <c r="AW481" s="118"/>
      <c r="AX481" s="121"/>
      <c r="AY481" s="122">
        <f t="shared" ref="AY481:BD481" si="2774">SUM(AY479:AY480)</f>
        <v>0.9</v>
      </c>
      <c r="AZ481" s="122">
        <f t="shared" si="2774"/>
        <v>2</v>
      </c>
      <c r="BA481" s="118">
        <f t="shared" si="2774"/>
        <v>0</v>
      </c>
      <c r="BB481" s="118">
        <f t="shared" si="2774"/>
        <v>0</v>
      </c>
      <c r="BC481" s="123">
        <f t="shared" si="2774"/>
        <v>2420.5</v>
      </c>
      <c r="BD481" s="123">
        <f t="shared" si="2774"/>
        <v>2422.7</v>
      </c>
      <c r="BE481" s="118"/>
      <c r="BF481" s="118"/>
    </row>
    <row r="482" ht="15.75" customHeight="1">
      <c r="A482" s="67">
        <f t="shared" si="2760"/>
        <v>46271</v>
      </c>
      <c r="B482" s="124" t="s">
        <v>14</v>
      </c>
      <c r="C482" s="96">
        <f t="shared" si="2761"/>
        <v>2</v>
      </c>
      <c r="D482" s="125">
        <f t="shared" ref="D482:L482" si="2775">RANDBETWEEN(0,2)</f>
        <v>0</v>
      </c>
      <c r="E482" s="125">
        <f t="shared" si="2775"/>
        <v>1</v>
      </c>
      <c r="F482" s="125">
        <f t="shared" si="2775"/>
        <v>2</v>
      </c>
      <c r="G482" s="125">
        <f t="shared" si="2775"/>
        <v>1</v>
      </c>
      <c r="H482" s="126">
        <f t="shared" si="2775"/>
        <v>2</v>
      </c>
      <c r="I482" s="127">
        <f t="shared" si="2775"/>
        <v>2</v>
      </c>
      <c r="J482" s="128">
        <f t="shared" si="2775"/>
        <v>2</v>
      </c>
      <c r="K482" s="130">
        <f t="shared" si="2775"/>
        <v>2</v>
      </c>
      <c r="L482" s="130">
        <f t="shared" si="2775"/>
        <v>2</v>
      </c>
      <c r="M482" s="102">
        <f t="shared" si="2763"/>
        <v>48</v>
      </c>
      <c r="N482" s="125">
        <f t="shared" ref="N482:T482" si="2776">RANDBETWEEN(0,10)</f>
        <v>2</v>
      </c>
      <c r="O482" s="125">
        <f t="shared" si="2776"/>
        <v>10</v>
      </c>
      <c r="P482" s="125">
        <f t="shared" si="2776"/>
        <v>1</v>
      </c>
      <c r="Q482" s="125">
        <f t="shared" si="2776"/>
        <v>10</v>
      </c>
      <c r="R482" s="125">
        <f t="shared" si="2776"/>
        <v>9</v>
      </c>
      <c r="S482" s="125">
        <f t="shared" si="2776"/>
        <v>7</v>
      </c>
      <c r="T482" s="125">
        <f t="shared" si="2776"/>
        <v>9</v>
      </c>
      <c r="U482" s="103">
        <f t="shared" ref="U482:U483" si="2783">RANDBETWEEN(10,30)</f>
        <v>22</v>
      </c>
      <c r="V482" s="131">
        <f t="shared" si="2766"/>
        <v>3</v>
      </c>
      <c r="W482" s="125">
        <f t="shared" ref="W482:Y482" si="2777">RANDBETWEEN(0,2)</f>
        <v>1</v>
      </c>
      <c r="X482" s="125">
        <f t="shared" si="2777"/>
        <v>0</v>
      </c>
      <c r="Y482" s="125">
        <f t="shared" si="2777"/>
        <v>2</v>
      </c>
      <c r="Z482" s="132">
        <f t="shared" ref="Z482:Z485" si="2785">SUM(AA482:AB482)</f>
        <v>1</v>
      </c>
      <c r="AA482" s="133">
        <f t="shared" ref="AA482:AF482" si="2778">RANDBETWEEN(0,2)</f>
        <v>1</v>
      </c>
      <c r="AB482" s="133">
        <f t="shared" si="2778"/>
        <v>0</v>
      </c>
      <c r="AC482" s="134">
        <f t="shared" si="2778"/>
        <v>2</v>
      </c>
      <c r="AD482" s="134">
        <f t="shared" si="2778"/>
        <v>1</v>
      </c>
      <c r="AE482" s="134">
        <f t="shared" si="2778"/>
        <v>2</v>
      </c>
      <c r="AF482" s="134">
        <f t="shared" si="2778"/>
        <v>2</v>
      </c>
      <c r="AG482" s="135">
        <f t="shared" si="2770"/>
        <v>7</v>
      </c>
      <c r="AH482" s="136">
        <f t="shared" ref="AH482:AJ482" si="2779">RANDBETWEEN(1,10)</f>
        <v>8</v>
      </c>
      <c r="AI482" s="134">
        <f t="shared" si="2779"/>
        <v>7</v>
      </c>
      <c r="AJ482" s="134">
        <f t="shared" si="2779"/>
        <v>10</v>
      </c>
      <c r="AK482" s="137">
        <f t="shared" si="2772"/>
        <v>25</v>
      </c>
      <c r="AL482" s="134"/>
      <c r="AM482" s="134"/>
      <c r="AN482" s="134"/>
      <c r="AO482" s="134"/>
      <c r="AP482" s="111"/>
      <c r="AQ482" s="136"/>
      <c r="AR482" s="134"/>
      <c r="AS482" s="134"/>
      <c r="AT482" s="120"/>
      <c r="AU482" s="136"/>
      <c r="AV482" s="134"/>
      <c r="AW482" s="134"/>
      <c r="AX482" s="121"/>
      <c r="AY482" s="92">
        <f t="shared" ref="AY482:AZ482" si="2780">RANDBETWEEN(1,10)/10</f>
        <v>0.8</v>
      </c>
      <c r="AZ482" s="92">
        <f t="shared" si="2780"/>
        <v>0.2</v>
      </c>
      <c r="BA482" s="93">
        <v>0.0</v>
      </c>
      <c r="BB482" s="93">
        <v>0.0</v>
      </c>
      <c r="BC482" s="94">
        <f>SUM(BC454,'ГОЧ'!$AY482)</f>
        <v>1208.2</v>
      </c>
      <c r="BD482" s="94">
        <f>SUM(BD454,'ГОЧ'!$AZ482)</f>
        <v>1207.3</v>
      </c>
      <c r="BE482" s="108"/>
      <c r="BF482" s="108"/>
    </row>
    <row r="483" ht="15.75" customHeight="1">
      <c r="A483" s="67">
        <f t="shared" si="2760"/>
        <v>46271</v>
      </c>
      <c r="B483" s="138" t="s">
        <v>16</v>
      </c>
      <c r="C483" s="139">
        <f t="shared" si="2761"/>
        <v>1</v>
      </c>
      <c r="D483" s="97">
        <f t="shared" ref="D483:L483" si="2781">RANDBETWEEN(0,2)</f>
        <v>1</v>
      </c>
      <c r="E483" s="97">
        <f t="shared" si="2781"/>
        <v>2</v>
      </c>
      <c r="F483" s="97">
        <f t="shared" si="2781"/>
        <v>0</v>
      </c>
      <c r="G483" s="97">
        <f t="shared" si="2781"/>
        <v>1</v>
      </c>
      <c r="H483" s="98">
        <f t="shared" si="2781"/>
        <v>0</v>
      </c>
      <c r="I483" s="99">
        <f t="shared" si="2781"/>
        <v>0</v>
      </c>
      <c r="J483" s="100">
        <f t="shared" si="2781"/>
        <v>0</v>
      </c>
      <c r="K483" s="101">
        <f t="shared" si="2781"/>
        <v>1</v>
      </c>
      <c r="L483" s="101">
        <f t="shared" si="2781"/>
        <v>1</v>
      </c>
      <c r="M483" s="140">
        <f t="shared" si="2763"/>
        <v>53</v>
      </c>
      <c r="N483" s="97">
        <f t="shared" ref="N483:T483" si="2782">RANDBETWEEN(0,10)</f>
        <v>4</v>
      </c>
      <c r="O483" s="97">
        <f t="shared" si="2782"/>
        <v>3</v>
      </c>
      <c r="P483" s="97">
        <f t="shared" si="2782"/>
        <v>10</v>
      </c>
      <c r="Q483" s="97">
        <f t="shared" si="2782"/>
        <v>10</v>
      </c>
      <c r="R483" s="97">
        <f t="shared" si="2782"/>
        <v>10</v>
      </c>
      <c r="S483" s="97">
        <f t="shared" si="2782"/>
        <v>8</v>
      </c>
      <c r="T483" s="97">
        <f t="shared" si="2782"/>
        <v>8</v>
      </c>
      <c r="U483" s="103">
        <f t="shared" si="2783"/>
        <v>20</v>
      </c>
      <c r="V483" s="141">
        <f t="shared" si="2766"/>
        <v>3</v>
      </c>
      <c r="W483" s="97">
        <f t="shared" ref="W483:Y483" si="2784">RANDBETWEEN(0,2)</f>
        <v>0</v>
      </c>
      <c r="X483" s="97">
        <f t="shared" si="2784"/>
        <v>2</v>
      </c>
      <c r="Y483" s="97">
        <f t="shared" si="2784"/>
        <v>1</v>
      </c>
      <c r="Z483" s="142">
        <f t="shared" si="2785"/>
        <v>0</v>
      </c>
      <c r="AA483" s="143">
        <f t="shared" ref="AA483:AF483" si="2786">RANDBETWEEN(0,2)</f>
        <v>0</v>
      </c>
      <c r="AB483" s="143">
        <f t="shared" si="2786"/>
        <v>0</v>
      </c>
      <c r="AC483" s="144">
        <f t="shared" si="2786"/>
        <v>0</v>
      </c>
      <c r="AD483" s="145">
        <f t="shared" si="2786"/>
        <v>2</v>
      </c>
      <c r="AE483" s="145">
        <f t="shared" si="2786"/>
        <v>1</v>
      </c>
      <c r="AF483" s="145">
        <f t="shared" si="2786"/>
        <v>2</v>
      </c>
      <c r="AG483" s="146">
        <f t="shared" si="2770"/>
        <v>5</v>
      </c>
      <c r="AH483" s="144">
        <f t="shared" ref="AH483:AJ483" si="2787">RANDBETWEEN(1,10)</f>
        <v>3</v>
      </c>
      <c r="AI483" s="145">
        <f t="shared" si="2787"/>
        <v>2</v>
      </c>
      <c r="AJ483" s="145">
        <f t="shared" si="2787"/>
        <v>10</v>
      </c>
      <c r="AK483" s="147">
        <f t="shared" si="2772"/>
        <v>15</v>
      </c>
      <c r="AL483" s="144"/>
      <c r="AM483" s="145"/>
      <c r="AN483" s="145"/>
      <c r="AO483" s="145"/>
      <c r="AP483" s="148"/>
      <c r="AQ483" s="144"/>
      <c r="AR483" s="145"/>
      <c r="AS483" s="145"/>
      <c r="AT483" s="149"/>
      <c r="AU483" s="144"/>
      <c r="AV483" s="145"/>
      <c r="AW483" s="145"/>
      <c r="AX483" s="150"/>
      <c r="AY483" s="92">
        <f t="shared" ref="AY483:AZ483" si="2788">RANDBETWEEN(1,10)/10</f>
        <v>0.6</v>
      </c>
      <c r="AZ483" s="92">
        <f t="shared" si="2788"/>
        <v>0.6</v>
      </c>
      <c r="BA483" s="93">
        <v>0.0</v>
      </c>
      <c r="BB483" s="93">
        <v>0.0</v>
      </c>
      <c r="BC483" s="94">
        <f>SUM(BC455,'ГОЧ'!$AY483)</f>
        <v>1208.7</v>
      </c>
      <c r="BD483" s="94">
        <f>SUM(BD455,'ГОЧ'!$AZ483)</f>
        <v>1209.9</v>
      </c>
      <c r="BE483" s="108"/>
      <c r="BF483" s="108"/>
    </row>
    <row r="484" ht="15.75" customHeight="1">
      <c r="A484" s="67">
        <f t="shared" si="2760"/>
        <v>46271</v>
      </c>
      <c r="B484" s="114" t="s">
        <v>18</v>
      </c>
      <c r="C484" s="115">
        <f t="shared" si="2761"/>
        <v>3</v>
      </c>
      <c r="D484" s="115">
        <f t="shared" ref="D484:L484" si="2789">SUM(D482:D483)</f>
        <v>1</v>
      </c>
      <c r="E484" s="116">
        <f t="shared" si="2789"/>
        <v>3</v>
      </c>
      <c r="F484" s="116">
        <f t="shared" si="2789"/>
        <v>2</v>
      </c>
      <c r="G484" s="116">
        <f t="shared" si="2789"/>
        <v>2</v>
      </c>
      <c r="H484" s="115">
        <f t="shared" si="2789"/>
        <v>2</v>
      </c>
      <c r="I484" s="116">
        <f t="shared" si="2789"/>
        <v>2</v>
      </c>
      <c r="J484" s="115">
        <f t="shared" si="2789"/>
        <v>2</v>
      </c>
      <c r="K484" s="116">
        <f t="shared" si="2789"/>
        <v>3</v>
      </c>
      <c r="L484" s="116">
        <f t="shared" si="2789"/>
        <v>3</v>
      </c>
      <c r="M484" s="115">
        <f t="shared" si="2763"/>
        <v>82</v>
      </c>
      <c r="N484" s="115">
        <f t="shared" ref="N484:Q484" si="2790">SUM(N482:N483)</f>
        <v>6</v>
      </c>
      <c r="O484" s="116">
        <f t="shared" si="2790"/>
        <v>13</v>
      </c>
      <c r="P484" s="116">
        <f t="shared" si="2790"/>
        <v>11</v>
      </c>
      <c r="Q484" s="116">
        <f t="shared" si="2790"/>
        <v>20</v>
      </c>
      <c r="R484" s="116">
        <v>0.0</v>
      </c>
      <c r="S484" s="116">
        <f t="shared" ref="S484:U484" si="2791">SUM(S482:S483)</f>
        <v>15</v>
      </c>
      <c r="T484" s="116">
        <f t="shared" si="2791"/>
        <v>17</v>
      </c>
      <c r="U484" s="115">
        <f t="shared" si="2791"/>
        <v>42</v>
      </c>
      <c r="V484" s="115">
        <f t="shared" si="2766"/>
        <v>6</v>
      </c>
      <c r="W484" s="116">
        <f t="shared" ref="W484:Y484" si="2792">SUM(W482:W483)</f>
        <v>1</v>
      </c>
      <c r="X484" s="116">
        <f t="shared" si="2792"/>
        <v>2</v>
      </c>
      <c r="Y484" s="116">
        <f t="shared" si="2792"/>
        <v>3</v>
      </c>
      <c r="Z484" s="116">
        <f t="shared" si="2785"/>
        <v>1</v>
      </c>
      <c r="AA484" s="116">
        <f t="shared" ref="AA484:AF484" si="2793">SUM(AA482:AA483)</f>
        <v>1</v>
      </c>
      <c r="AB484" s="116">
        <f t="shared" si="2793"/>
        <v>0</v>
      </c>
      <c r="AC484" s="118">
        <f t="shared" si="2793"/>
        <v>2</v>
      </c>
      <c r="AD484" s="118">
        <f t="shared" si="2793"/>
        <v>3</v>
      </c>
      <c r="AE484" s="118">
        <f t="shared" si="2793"/>
        <v>3</v>
      </c>
      <c r="AF484" s="118">
        <f t="shared" si="2793"/>
        <v>4</v>
      </c>
      <c r="AG484" s="117">
        <f t="shared" si="2770"/>
        <v>12</v>
      </c>
      <c r="AH484" s="117">
        <f t="shared" ref="AH484:AJ484" si="2794">SUM(AH482:AH483)</f>
        <v>11</v>
      </c>
      <c r="AI484" s="118">
        <f t="shared" si="2794"/>
        <v>9</v>
      </c>
      <c r="AJ484" s="118">
        <f t="shared" si="2794"/>
        <v>20</v>
      </c>
      <c r="AK484" s="117">
        <f t="shared" si="2772"/>
        <v>40</v>
      </c>
      <c r="AL484" s="118"/>
      <c r="AM484" s="118"/>
      <c r="AN484" s="118"/>
      <c r="AO484" s="118"/>
      <c r="AP484" s="151"/>
      <c r="AQ484" s="117"/>
      <c r="AR484" s="118"/>
      <c r="AS484" s="118"/>
      <c r="AT484" s="152"/>
      <c r="AU484" s="117"/>
      <c r="AV484" s="118"/>
      <c r="AW484" s="118"/>
      <c r="AX484" s="153"/>
      <c r="AY484" s="122">
        <f t="shared" ref="AY484:BD484" si="2795">SUM(AY482:AY483)</f>
        <v>1.4</v>
      </c>
      <c r="AZ484" s="122">
        <f t="shared" si="2795"/>
        <v>0.8</v>
      </c>
      <c r="BA484" s="118">
        <f t="shared" si="2795"/>
        <v>0</v>
      </c>
      <c r="BB484" s="118">
        <f t="shared" si="2795"/>
        <v>0</v>
      </c>
      <c r="BC484" s="123">
        <f t="shared" si="2795"/>
        <v>2416.9</v>
      </c>
      <c r="BD484" s="123">
        <f t="shared" si="2795"/>
        <v>2417.2</v>
      </c>
      <c r="BE484" s="154" t="str">
        <f t="shared" ref="BE484:BF484" si="2796">TEXTJOIN(", ",TRUE,BE482:BE483)</f>
        <v/>
      </c>
      <c r="BF484" s="154" t="str">
        <f t="shared" si="2796"/>
        <v/>
      </c>
    </row>
    <row r="485" ht="15.75" customHeight="1">
      <c r="A485" s="67">
        <f t="shared" si="2760"/>
        <v>46271</v>
      </c>
      <c r="B485" s="114" t="s">
        <v>20</v>
      </c>
      <c r="C485" s="115">
        <f t="shared" si="2761"/>
        <v>5</v>
      </c>
      <c r="D485" s="115">
        <v>3.0</v>
      </c>
      <c r="E485" s="116">
        <v>0.0</v>
      </c>
      <c r="F485" s="116">
        <v>2.0</v>
      </c>
      <c r="G485" s="116">
        <v>2.0</v>
      </c>
      <c r="H485" s="115">
        <v>0.0</v>
      </c>
      <c r="I485" s="116">
        <v>0.0</v>
      </c>
      <c r="J485" s="115">
        <v>1.0</v>
      </c>
      <c r="K485" s="116">
        <v>1.0</v>
      </c>
      <c r="L485" s="116">
        <v>0.0</v>
      </c>
      <c r="M485" s="115">
        <f t="shared" si="2763"/>
        <v>38</v>
      </c>
      <c r="N485" s="115">
        <v>0.0</v>
      </c>
      <c r="O485" s="116">
        <v>0.0</v>
      </c>
      <c r="P485" s="116">
        <v>0.0</v>
      </c>
      <c r="Q485" s="116">
        <v>9.0</v>
      </c>
      <c r="R485" s="116">
        <v>0.0</v>
      </c>
      <c r="S485" s="116">
        <v>0.0</v>
      </c>
      <c r="T485" s="116">
        <v>29.0</v>
      </c>
      <c r="U485" s="115">
        <v>7.0</v>
      </c>
      <c r="V485" s="115">
        <f t="shared" ref="V485:V504" si="2800">W485+X485+Y485</f>
        <v>0</v>
      </c>
      <c r="W485" s="116">
        <v>0.0</v>
      </c>
      <c r="X485" s="116">
        <v>0.0</v>
      </c>
      <c r="Y485" s="116">
        <v>0.0</v>
      </c>
      <c r="Z485" s="116">
        <f t="shared" si="2785"/>
        <v>0</v>
      </c>
      <c r="AA485" s="116">
        <v>0.0</v>
      </c>
      <c r="AB485" s="116">
        <v>0.0</v>
      </c>
      <c r="AC485" s="117">
        <v>0.0</v>
      </c>
      <c r="AD485" s="118">
        <v>1.0</v>
      </c>
      <c r="AE485" s="118">
        <v>0.0</v>
      </c>
      <c r="AF485" s="118">
        <v>0.0</v>
      </c>
      <c r="AG485" s="119">
        <f t="shared" si="2770"/>
        <v>1</v>
      </c>
      <c r="AH485" s="117">
        <v>6.0</v>
      </c>
      <c r="AI485" s="118">
        <v>5.0</v>
      </c>
      <c r="AJ485" s="118">
        <v>0.0</v>
      </c>
      <c r="AK485" s="119">
        <f t="shared" si="2772"/>
        <v>11</v>
      </c>
      <c r="AL485" s="117"/>
      <c r="AM485" s="118"/>
      <c r="AN485" s="118"/>
      <c r="AO485" s="118"/>
      <c r="AP485" s="111"/>
      <c r="AQ485" s="117"/>
      <c r="AR485" s="118"/>
      <c r="AS485" s="118"/>
      <c r="AT485" s="120"/>
      <c r="AU485" s="117"/>
      <c r="AV485" s="118"/>
      <c r="AW485" s="118"/>
      <c r="AX485" s="121"/>
      <c r="AY485" s="122">
        <f t="shared" ref="AY485:AZ485" si="2797">RANDBETWEEN(1,10)</f>
        <v>10</v>
      </c>
      <c r="AZ485" s="122">
        <f t="shared" si="2797"/>
        <v>9</v>
      </c>
      <c r="BA485" s="118">
        <v>2.0</v>
      </c>
      <c r="BB485" s="118">
        <v>0.0</v>
      </c>
      <c r="BC485" s="123">
        <v>1.0</v>
      </c>
      <c r="BD485" s="123">
        <v>2.0</v>
      </c>
      <c r="BE485" s="118" t="s">
        <v>157</v>
      </c>
      <c r="BF485" s="118"/>
    </row>
    <row r="486" ht="15.75" customHeight="1">
      <c r="A486" s="67">
        <f t="shared" si="2760"/>
        <v>46271</v>
      </c>
      <c r="B486" s="124" t="s">
        <v>21</v>
      </c>
      <c r="C486" s="155">
        <f t="shared" si="2761"/>
        <v>3</v>
      </c>
      <c r="D486" s="125">
        <f t="shared" ref="D486:L486" si="2798">RANDBETWEEN(0,2)</f>
        <v>2</v>
      </c>
      <c r="E486" s="125">
        <f t="shared" si="2798"/>
        <v>0</v>
      </c>
      <c r="F486" s="125">
        <f t="shared" si="2798"/>
        <v>1</v>
      </c>
      <c r="G486" s="125">
        <f t="shared" si="2798"/>
        <v>0</v>
      </c>
      <c r="H486" s="126">
        <f t="shared" si="2798"/>
        <v>2</v>
      </c>
      <c r="I486" s="127">
        <f t="shared" si="2798"/>
        <v>0</v>
      </c>
      <c r="J486" s="128">
        <f t="shared" si="2798"/>
        <v>2</v>
      </c>
      <c r="K486" s="130">
        <f t="shared" si="2798"/>
        <v>0</v>
      </c>
      <c r="L486" s="130">
        <f t="shared" si="2798"/>
        <v>1</v>
      </c>
      <c r="M486" s="102">
        <f t="shared" si="2763"/>
        <v>34</v>
      </c>
      <c r="N486" s="125">
        <f t="shared" ref="N486:T486" si="2799">RANDBETWEEN(0,10)</f>
        <v>4</v>
      </c>
      <c r="O486" s="125">
        <f t="shared" si="2799"/>
        <v>1</v>
      </c>
      <c r="P486" s="125">
        <f t="shared" si="2799"/>
        <v>3</v>
      </c>
      <c r="Q486" s="125">
        <f t="shared" si="2799"/>
        <v>8</v>
      </c>
      <c r="R486" s="125">
        <f t="shared" si="2799"/>
        <v>9</v>
      </c>
      <c r="S486" s="125">
        <f t="shared" si="2799"/>
        <v>4</v>
      </c>
      <c r="T486" s="125">
        <f t="shared" si="2799"/>
        <v>5</v>
      </c>
      <c r="U486" s="103">
        <f t="shared" ref="U486:U490" si="2807">RANDBETWEEN(10,30)</f>
        <v>15</v>
      </c>
      <c r="V486" s="104">
        <f t="shared" si="2800"/>
        <v>3</v>
      </c>
      <c r="W486" s="125">
        <f t="shared" ref="W486:Y486" si="2801">RANDBETWEEN(0,2)</f>
        <v>1</v>
      </c>
      <c r="X486" s="125">
        <f t="shared" si="2801"/>
        <v>1</v>
      </c>
      <c r="Y486" s="125">
        <f t="shared" si="2801"/>
        <v>1</v>
      </c>
      <c r="Z486" s="105">
        <f t="shared" ref="Z486:Z503" si="2809">AA486+AB486</f>
        <v>0</v>
      </c>
      <c r="AA486" s="133">
        <f t="shared" ref="AA486:AF486" si="2802">RANDBETWEEN(0,2)</f>
        <v>0</v>
      </c>
      <c r="AB486" s="133">
        <f t="shared" si="2802"/>
        <v>0</v>
      </c>
      <c r="AC486" s="136">
        <f t="shared" si="2802"/>
        <v>0</v>
      </c>
      <c r="AD486" s="134">
        <f t="shared" si="2802"/>
        <v>0</v>
      </c>
      <c r="AE486" s="134">
        <f t="shared" si="2802"/>
        <v>1</v>
      </c>
      <c r="AF486" s="134">
        <f t="shared" si="2802"/>
        <v>2</v>
      </c>
      <c r="AG486" s="156">
        <f t="shared" si="2770"/>
        <v>3</v>
      </c>
      <c r="AH486" s="136">
        <f t="shared" ref="AH486:AJ486" si="2803">RANDBETWEEN(1,10)</f>
        <v>7</v>
      </c>
      <c r="AI486" s="134">
        <f t="shared" si="2803"/>
        <v>8</v>
      </c>
      <c r="AJ486" s="134">
        <f t="shared" si="2803"/>
        <v>5</v>
      </c>
      <c r="AK486" s="137">
        <f t="shared" si="2772"/>
        <v>20</v>
      </c>
      <c r="AL486" s="136"/>
      <c r="AM486" s="134"/>
      <c r="AN486" s="134"/>
      <c r="AO486" s="134"/>
      <c r="AP486" s="111"/>
      <c r="AQ486" s="136"/>
      <c r="AR486" s="134"/>
      <c r="AS486" s="134"/>
      <c r="AT486" s="120"/>
      <c r="AU486" s="136"/>
      <c r="AV486" s="134"/>
      <c r="AW486" s="134"/>
      <c r="AX486" s="121"/>
      <c r="AY486" s="92">
        <f t="shared" ref="AY486:AZ486" si="2804">RANDBETWEEN(1,10)/10</f>
        <v>0.7</v>
      </c>
      <c r="AZ486" s="92">
        <f t="shared" si="2804"/>
        <v>0.4</v>
      </c>
      <c r="BA486" s="93">
        <v>1.0</v>
      </c>
      <c r="BB486" s="93">
        <v>0.0</v>
      </c>
      <c r="BC486" s="94">
        <f>SUM(BC458,'ГОЧ'!$AY486)</f>
        <v>1210.4</v>
      </c>
      <c r="BD486" s="94">
        <f>SUM(BD458,'ГОЧ'!$AZ486)</f>
        <v>1208.6</v>
      </c>
      <c r="BE486" s="108" t="s">
        <v>162</v>
      </c>
      <c r="BF486" s="108"/>
    </row>
    <row r="487" ht="15.75" customHeight="1">
      <c r="A487" s="67">
        <f t="shared" si="2760"/>
        <v>46271</v>
      </c>
      <c r="B487" s="138" t="s">
        <v>23</v>
      </c>
      <c r="C487" s="157">
        <f t="shared" si="2761"/>
        <v>1</v>
      </c>
      <c r="D487" s="97">
        <f t="shared" ref="D487:L487" si="2805">RANDBETWEEN(0,2)</f>
        <v>1</v>
      </c>
      <c r="E487" s="97">
        <f t="shared" si="2805"/>
        <v>1</v>
      </c>
      <c r="F487" s="97">
        <f t="shared" si="2805"/>
        <v>0</v>
      </c>
      <c r="G487" s="97">
        <f t="shared" si="2805"/>
        <v>0</v>
      </c>
      <c r="H487" s="98">
        <f t="shared" si="2805"/>
        <v>0</v>
      </c>
      <c r="I487" s="99">
        <f t="shared" si="2805"/>
        <v>1</v>
      </c>
      <c r="J487" s="100">
        <f t="shared" si="2805"/>
        <v>1</v>
      </c>
      <c r="K487" s="101">
        <f t="shared" si="2805"/>
        <v>1</v>
      </c>
      <c r="L487" s="101">
        <f t="shared" si="2805"/>
        <v>2</v>
      </c>
      <c r="M487" s="140">
        <f t="shared" si="2763"/>
        <v>17</v>
      </c>
      <c r="N487" s="97">
        <f t="shared" ref="N487:T487" si="2806">RANDBETWEEN(0,10)</f>
        <v>2</v>
      </c>
      <c r="O487" s="97">
        <f t="shared" si="2806"/>
        <v>5</v>
      </c>
      <c r="P487" s="97">
        <f t="shared" si="2806"/>
        <v>6</v>
      </c>
      <c r="Q487" s="97">
        <f t="shared" si="2806"/>
        <v>2</v>
      </c>
      <c r="R487" s="97">
        <f t="shared" si="2806"/>
        <v>1</v>
      </c>
      <c r="S487" s="97">
        <f t="shared" si="2806"/>
        <v>0</v>
      </c>
      <c r="T487" s="97">
        <f t="shared" si="2806"/>
        <v>1</v>
      </c>
      <c r="U487" s="103">
        <f t="shared" si="2807"/>
        <v>12</v>
      </c>
      <c r="V487" s="158">
        <f t="shared" si="2800"/>
        <v>5</v>
      </c>
      <c r="W487" s="97">
        <f t="shared" ref="W487:Y487" si="2808">RANDBETWEEN(0,2)</f>
        <v>2</v>
      </c>
      <c r="X487" s="97">
        <f t="shared" si="2808"/>
        <v>1</v>
      </c>
      <c r="Y487" s="97">
        <f t="shared" si="2808"/>
        <v>2</v>
      </c>
      <c r="Z487" s="159">
        <f t="shared" si="2809"/>
        <v>0</v>
      </c>
      <c r="AA487" s="143">
        <f t="shared" ref="AA487:AF487" si="2810">RANDBETWEEN(0,2)</f>
        <v>0</v>
      </c>
      <c r="AB487" s="143">
        <f t="shared" si="2810"/>
        <v>0</v>
      </c>
      <c r="AC487" s="144">
        <f t="shared" si="2810"/>
        <v>0</v>
      </c>
      <c r="AD487" s="145">
        <f t="shared" si="2810"/>
        <v>1</v>
      </c>
      <c r="AE487" s="145">
        <f t="shared" si="2810"/>
        <v>2</v>
      </c>
      <c r="AF487" s="145">
        <f t="shared" si="2810"/>
        <v>1</v>
      </c>
      <c r="AG487" s="160">
        <f t="shared" si="2770"/>
        <v>4</v>
      </c>
      <c r="AH487" s="144">
        <f t="shared" ref="AH487:AJ487" si="2811">RANDBETWEEN(1,10)</f>
        <v>6</v>
      </c>
      <c r="AI487" s="145">
        <f t="shared" si="2811"/>
        <v>6</v>
      </c>
      <c r="AJ487" s="145">
        <f t="shared" si="2811"/>
        <v>10</v>
      </c>
      <c r="AK487" s="147">
        <f t="shared" si="2772"/>
        <v>22</v>
      </c>
      <c r="AL487" s="144"/>
      <c r="AM487" s="145"/>
      <c r="AN487" s="145"/>
      <c r="AO487" s="145"/>
      <c r="AP487" s="148"/>
      <c r="AQ487" s="144"/>
      <c r="AR487" s="145"/>
      <c r="AS487" s="145"/>
      <c r="AT487" s="149"/>
      <c r="AU487" s="144"/>
      <c r="AV487" s="145"/>
      <c r="AW487" s="145"/>
      <c r="AX487" s="150"/>
      <c r="AY487" s="92">
        <f t="shared" ref="AY487:AZ487" si="2812">RANDBETWEEN(1,10)/10</f>
        <v>1</v>
      </c>
      <c r="AZ487" s="92">
        <f t="shared" si="2812"/>
        <v>0.3</v>
      </c>
      <c r="BA487" s="93">
        <v>1.0</v>
      </c>
      <c r="BB487" s="93">
        <v>2.0</v>
      </c>
      <c r="BC487" s="94">
        <f>SUM(BC459,'ГОЧ'!$AY487)</f>
        <v>1211</v>
      </c>
      <c r="BD487" s="94">
        <f>SUM(BD459,'ГОЧ'!$AZ487)</f>
        <v>1209.2</v>
      </c>
      <c r="BE487" s="108" t="s">
        <v>165</v>
      </c>
      <c r="BF487" s="108" t="s">
        <v>166</v>
      </c>
    </row>
    <row r="488" ht="15.75" customHeight="1">
      <c r="A488" s="67">
        <f t="shared" si="2760"/>
        <v>46271</v>
      </c>
      <c r="B488" s="138" t="s">
        <v>25</v>
      </c>
      <c r="C488" s="157">
        <f t="shared" si="2761"/>
        <v>3</v>
      </c>
      <c r="D488" s="97">
        <f t="shared" ref="D488:L488" si="2813">RANDBETWEEN(0,2)</f>
        <v>2</v>
      </c>
      <c r="E488" s="97">
        <f t="shared" si="2813"/>
        <v>0</v>
      </c>
      <c r="F488" s="97">
        <f t="shared" si="2813"/>
        <v>1</v>
      </c>
      <c r="G488" s="97">
        <f t="shared" si="2813"/>
        <v>1</v>
      </c>
      <c r="H488" s="98">
        <f t="shared" si="2813"/>
        <v>2</v>
      </c>
      <c r="I488" s="99">
        <f t="shared" si="2813"/>
        <v>0</v>
      </c>
      <c r="J488" s="100">
        <f t="shared" si="2813"/>
        <v>1</v>
      </c>
      <c r="K488" s="101">
        <f t="shared" si="2813"/>
        <v>1</v>
      </c>
      <c r="L488" s="101">
        <f t="shared" si="2813"/>
        <v>1</v>
      </c>
      <c r="M488" s="140">
        <f t="shared" si="2763"/>
        <v>30</v>
      </c>
      <c r="N488" s="97">
        <f t="shared" ref="N488:T488" si="2814">RANDBETWEEN(0,10)</f>
        <v>0</v>
      </c>
      <c r="O488" s="97">
        <f t="shared" si="2814"/>
        <v>8</v>
      </c>
      <c r="P488" s="97">
        <f t="shared" si="2814"/>
        <v>1</v>
      </c>
      <c r="Q488" s="97">
        <f t="shared" si="2814"/>
        <v>4</v>
      </c>
      <c r="R488" s="97">
        <f t="shared" si="2814"/>
        <v>8</v>
      </c>
      <c r="S488" s="97">
        <f t="shared" si="2814"/>
        <v>3</v>
      </c>
      <c r="T488" s="97">
        <f t="shared" si="2814"/>
        <v>6</v>
      </c>
      <c r="U488" s="103">
        <f t="shared" si="2807"/>
        <v>27</v>
      </c>
      <c r="V488" s="158">
        <f t="shared" si="2800"/>
        <v>3</v>
      </c>
      <c r="W488" s="97">
        <f t="shared" ref="W488:Y488" si="2815">RANDBETWEEN(0,2)</f>
        <v>1</v>
      </c>
      <c r="X488" s="97">
        <f t="shared" si="2815"/>
        <v>1</v>
      </c>
      <c r="Y488" s="97">
        <f t="shared" si="2815"/>
        <v>1</v>
      </c>
      <c r="Z488" s="159">
        <f t="shared" si="2809"/>
        <v>0</v>
      </c>
      <c r="AA488" s="106">
        <f t="shared" ref="AA488:AF488" si="2816">RANDBETWEEN(0,2)</f>
        <v>0</v>
      </c>
      <c r="AB488" s="106">
        <f t="shared" si="2816"/>
        <v>0</v>
      </c>
      <c r="AC488" s="107">
        <f t="shared" si="2816"/>
        <v>0</v>
      </c>
      <c r="AD488" s="108">
        <f t="shared" si="2816"/>
        <v>0</v>
      </c>
      <c r="AE488" s="108">
        <f t="shared" si="2816"/>
        <v>2</v>
      </c>
      <c r="AF488" s="108">
        <f t="shared" si="2816"/>
        <v>0</v>
      </c>
      <c r="AG488" s="160">
        <f t="shared" si="2770"/>
        <v>2</v>
      </c>
      <c r="AH488" s="107">
        <f t="shared" ref="AH488:AJ488" si="2817">RANDBETWEEN(1,10)</f>
        <v>7</v>
      </c>
      <c r="AI488" s="108">
        <f t="shared" si="2817"/>
        <v>8</v>
      </c>
      <c r="AJ488" s="108">
        <f t="shared" si="2817"/>
        <v>8</v>
      </c>
      <c r="AK488" s="147">
        <f t="shared" si="2772"/>
        <v>23</v>
      </c>
      <c r="AL488" s="107"/>
      <c r="AM488" s="108"/>
      <c r="AN488" s="108"/>
      <c r="AO488" s="108"/>
      <c r="AP488" s="148"/>
      <c r="AQ488" s="107"/>
      <c r="AR488" s="108"/>
      <c r="AS488" s="108"/>
      <c r="AT488" s="149"/>
      <c r="AU488" s="107"/>
      <c r="AV488" s="108"/>
      <c r="AW488" s="108"/>
      <c r="AX488" s="150"/>
      <c r="AY488" s="92">
        <f t="shared" ref="AY488:AZ488" si="2818">RANDBETWEEN(1,10)/10</f>
        <v>0.7</v>
      </c>
      <c r="AZ488" s="92">
        <f t="shared" si="2818"/>
        <v>0.5</v>
      </c>
      <c r="BA488" s="93">
        <v>0.0</v>
      </c>
      <c r="BB488" s="93">
        <v>0.0</v>
      </c>
      <c r="BC488" s="94">
        <f>SUM(BC460,'ГОЧ'!$AY488)</f>
        <v>1209.1</v>
      </c>
      <c r="BD488" s="94">
        <f>SUM(BD460,'ГОЧ'!$AZ488)</f>
        <v>1208.7</v>
      </c>
      <c r="BE488" s="108"/>
      <c r="BF488" s="108"/>
    </row>
    <row r="489" ht="15.75" customHeight="1">
      <c r="A489" s="67">
        <f t="shared" si="2760"/>
        <v>46271</v>
      </c>
      <c r="B489" s="138" t="s">
        <v>26</v>
      </c>
      <c r="C489" s="157">
        <f t="shared" si="2761"/>
        <v>3</v>
      </c>
      <c r="D489" s="97">
        <f t="shared" ref="D489:L489" si="2819">RANDBETWEEN(0,2)</f>
        <v>1</v>
      </c>
      <c r="E489" s="97">
        <f t="shared" si="2819"/>
        <v>0</v>
      </c>
      <c r="F489" s="97">
        <f t="shared" si="2819"/>
        <v>2</v>
      </c>
      <c r="G489" s="97">
        <f t="shared" si="2819"/>
        <v>1</v>
      </c>
      <c r="H489" s="98">
        <f t="shared" si="2819"/>
        <v>2</v>
      </c>
      <c r="I489" s="99">
        <f t="shared" si="2819"/>
        <v>2</v>
      </c>
      <c r="J489" s="100">
        <f t="shared" si="2819"/>
        <v>2</v>
      </c>
      <c r="K489" s="101">
        <f t="shared" si="2819"/>
        <v>1</v>
      </c>
      <c r="L489" s="101">
        <f t="shared" si="2819"/>
        <v>2</v>
      </c>
      <c r="M489" s="140">
        <f t="shared" si="2763"/>
        <v>46</v>
      </c>
      <c r="N489" s="97">
        <f t="shared" ref="N489:T489" si="2820">RANDBETWEEN(0,10)</f>
        <v>5</v>
      </c>
      <c r="O489" s="97">
        <f t="shared" si="2820"/>
        <v>8</v>
      </c>
      <c r="P489" s="97">
        <f t="shared" si="2820"/>
        <v>8</v>
      </c>
      <c r="Q489" s="97">
        <f t="shared" si="2820"/>
        <v>7</v>
      </c>
      <c r="R489" s="97">
        <f t="shared" si="2820"/>
        <v>0</v>
      </c>
      <c r="S489" s="97">
        <f t="shared" si="2820"/>
        <v>8</v>
      </c>
      <c r="T489" s="97">
        <f t="shared" si="2820"/>
        <v>10</v>
      </c>
      <c r="U489" s="103">
        <f t="shared" si="2807"/>
        <v>12</v>
      </c>
      <c r="V489" s="158">
        <f t="shared" si="2800"/>
        <v>6</v>
      </c>
      <c r="W489" s="97">
        <f t="shared" ref="W489:Y489" si="2821">RANDBETWEEN(0,2)</f>
        <v>2</v>
      </c>
      <c r="X489" s="97">
        <f t="shared" si="2821"/>
        <v>2</v>
      </c>
      <c r="Y489" s="97">
        <f t="shared" si="2821"/>
        <v>2</v>
      </c>
      <c r="Z489" s="159">
        <f t="shared" si="2809"/>
        <v>3</v>
      </c>
      <c r="AA489" s="143">
        <f t="shared" ref="AA489:AF489" si="2822">RANDBETWEEN(0,2)</f>
        <v>2</v>
      </c>
      <c r="AB489" s="143">
        <f t="shared" si="2822"/>
        <v>1</v>
      </c>
      <c r="AC489" s="144">
        <f t="shared" si="2822"/>
        <v>0</v>
      </c>
      <c r="AD489" s="145">
        <f t="shared" si="2822"/>
        <v>0</v>
      </c>
      <c r="AE489" s="145">
        <f t="shared" si="2822"/>
        <v>2</v>
      </c>
      <c r="AF489" s="145">
        <f t="shared" si="2822"/>
        <v>0</v>
      </c>
      <c r="AG489" s="160">
        <f t="shared" si="2770"/>
        <v>2</v>
      </c>
      <c r="AH489" s="144">
        <f t="shared" ref="AH489:AJ489" si="2823">RANDBETWEEN(1,10)</f>
        <v>7</v>
      </c>
      <c r="AI489" s="145">
        <f t="shared" si="2823"/>
        <v>2</v>
      </c>
      <c r="AJ489" s="145">
        <f t="shared" si="2823"/>
        <v>2</v>
      </c>
      <c r="AK489" s="147">
        <f t="shared" si="2772"/>
        <v>11</v>
      </c>
      <c r="AL489" s="144"/>
      <c r="AM489" s="145"/>
      <c r="AN489" s="145"/>
      <c r="AO489" s="145"/>
      <c r="AP489" s="148"/>
      <c r="AQ489" s="144"/>
      <c r="AR489" s="145"/>
      <c r="AS489" s="145"/>
      <c r="AT489" s="149"/>
      <c r="AU489" s="144"/>
      <c r="AV489" s="145"/>
      <c r="AW489" s="145"/>
      <c r="AX489" s="150"/>
      <c r="AY489" s="92">
        <f t="shared" ref="AY489:AZ489" si="2824">RANDBETWEEN(1,10)/10</f>
        <v>0.1</v>
      </c>
      <c r="AZ489" s="92">
        <f t="shared" si="2824"/>
        <v>0.8</v>
      </c>
      <c r="BA489" s="93">
        <v>1.0</v>
      </c>
      <c r="BB489" s="93">
        <v>0.0</v>
      </c>
      <c r="BC489" s="94">
        <f>SUM(BC461,'ГОЧ'!$AY489)</f>
        <v>1207.5</v>
      </c>
      <c r="BD489" s="94">
        <f>SUM(BD461,'ГОЧ'!$AZ489)</f>
        <v>1209.5</v>
      </c>
      <c r="BE489" s="108" t="s">
        <v>167</v>
      </c>
      <c r="BF489" s="108"/>
    </row>
    <row r="490" ht="15.75" customHeight="1">
      <c r="A490" s="67">
        <f t="shared" si="2760"/>
        <v>46271</v>
      </c>
      <c r="B490" s="138" t="s">
        <v>28</v>
      </c>
      <c r="C490" s="157">
        <f t="shared" si="2761"/>
        <v>4</v>
      </c>
      <c r="D490" s="97">
        <f t="shared" ref="D490:L490" si="2825">RANDBETWEEN(0,2)</f>
        <v>2</v>
      </c>
      <c r="E490" s="97">
        <f t="shared" si="2825"/>
        <v>2</v>
      </c>
      <c r="F490" s="97">
        <f t="shared" si="2825"/>
        <v>2</v>
      </c>
      <c r="G490" s="97">
        <f t="shared" si="2825"/>
        <v>0</v>
      </c>
      <c r="H490" s="98">
        <f t="shared" si="2825"/>
        <v>1</v>
      </c>
      <c r="I490" s="99">
        <f t="shared" si="2825"/>
        <v>0</v>
      </c>
      <c r="J490" s="100">
        <f t="shared" si="2825"/>
        <v>0</v>
      </c>
      <c r="K490" s="101">
        <f t="shared" si="2825"/>
        <v>1</v>
      </c>
      <c r="L490" s="101">
        <f t="shared" si="2825"/>
        <v>2</v>
      </c>
      <c r="M490" s="140">
        <f t="shared" si="2763"/>
        <v>45</v>
      </c>
      <c r="N490" s="97">
        <f t="shared" ref="N490:T490" si="2826">RANDBETWEEN(0,10)</f>
        <v>6</v>
      </c>
      <c r="O490" s="97">
        <f t="shared" si="2826"/>
        <v>10</v>
      </c>
      <c r="P490" s="97">
        <f t="shared" si="2826"/>
        <v>1</v>
      </c>
      <c r="Q490" s="97">
        <f t="shared" si="2826"/>
        <v>9</v>
      </c>
      <c r="R490" s="97">
        <f t="shared" si="2826"/>
        <v>7</v>
      </c>
      <c r="S490" s="97">
        <f t="shared" si="2826"/>
        <v>3</v>
      </c>
      <c r="T490" s="97">
        <f t="shared" si="2826"/>
        <v>9</v>
      </c>
      <c r="U490" s="103">
        <f t="shared" si="2807"/>
        <v>16</v>
      </c>
      <c r="V490" s="158">
        <f t="shared" si="2800"/>
        <v>1</v>
      </c>
      <c r="W490" s="97">
        <f t="shared" ref="W490:Y490" si="2827">RANDBETWEEN(0,2)</f>
        <v>0</v>
      </c>
      <c r="X490" s="97">
        <f t="shared" si="2827"/>
        <v>0</v>
      </c>
      <c r="Y490" s="97">
        <f t="shared" si="2827"/>
        <v>1</v>
      </c>
      <c r="Z490" s="159">
        <f t="shared" si="2809"/>
        <v>3</v>
      </c>
      <c r="AA490" s="106">
        <f t="shared" ref="AA490:AF490" si="2828">RANDBETWEEN(0,2)</f>
        <v>2</v>
      </c>
      <c r="AB490" s="106">
        <f t="shared" si="2828"/>
        <v>1</v>
      </c>
      <c r="AC490" s="107">
        <f t="shared" si="2828"/>
        <v>1</v>
      </c>
      <c r="AD490" s="108">
        <f t="shared" si="2828"/>
        <v>0</v>
      </c>
      <c r="AE490" s="108">
        <f t="shared" si="2828"/>
        <v>1</v>
      </c>
      <c r="AF490" s="108">
        <f t="shared" si="2828"/>
        <v>2</v>
      </c>
      <c r="AG490" s="160">
        <f t="shared" si="2770"/>
        <v>4</v>
      </c>
      <c r="AH490" s="107">
        <f t="shared" ref="AH490:AJ490" si="2829">RANDBETWEEN(1,10)</f>
        <v>9</v>
      </c>
      <c r="AI490" s="108">
        <f t="shared" si="2829"/>
        <v>7</v>
      </c>
      <c r="AJ490" s="108">
        <f t="shared" si="2829"/>
        <v>6</v>
      </c>
      <c r="AK490" s="147">
        <f t="shared" si="2772"/>
        <v>22</v>
      </c>
      <c r="AL490" s="107"/>
      <c r="AM490" s="108"/>
      <c r="AN490" s="108"/>
      <c r="AO490" s="108"/>
      <c r="AP490" s="148"/>
      <c r="AQ490" s="107"/>
      <c r="AR490" s="108"/>
      <c r="AS490" s="108"/>
      <c r="AT490" s="149"/>
      <c r="AU490" s="107"/>
      <c r="AV490" s="108"/>
      <c r="AW490" s="108"/>
      <c r="AX490" s="150"/>
      <c r="AY490" s="92">
        <f t="shared" ref="AY490:AZ490" si="2830">RANDBETWEEN(1,10)/10</f>
        <v>0.1</v>
      </c>
      <c r="AZ490" s="92">
        <f t="shared" si="2830"/>
        <v>0.1</v>
      </c>
      <c r="BA490" s="93">
        <v>0.0</v>
      </c>
      <c r="BB490" s="93">
        <v>1.0</v>
      </c>
      <c r="BC490" s="94">
        <f>SUM(BC462,'ГОЧ'!$AY490)</f>
        <v>1209.3</v>
      </c>
      <c r="BD490" s="94">
        <f>SUM(BD462,'ГОЧ'!$AZ490)</f>
        <v>1209.3</v>
      </c>
      <c r="BE490" s="108"/>
      <c r="BF490" s="108" t="s">
        <v>168</v>
      </c>
    </row>
    <row r="491" ht="15.75" customHeight="1">
      <c r="A491" s="67">
        <f t="shared" si="2760"/>
        <v>46271</v>
      </c>
      <c r="B491" s="114" t="s">
        <v>29</v>
      </c>
      <c r="C491" s="164">
        <f t="shared" si="2761"/>
        <v>14</v>
      </c>
      <c r="D491" s="165">
        <f t="shared" ref="D491:L491" si="2831">D486+D487+D488+D489+D490</f>
        <v>8</v>
      </c>
      <c r="E491" s="165">
        <f t="shared" si="2831"/>
        <v>3</v>
      </c>
      <c r="F491" s="165">
        <f t="shared" si="2831"/>
        <v>6</v>
      </c>
      <c r="G491" s="165">
        <f t="shared" si="2831"/>
        <v>2</v>
      </c>
      <c r="H491" s="164">
        <f t="shared" si="2831"/>
        <v>7</v>
      </c>
      <c r="I491" s="165">
        <f t="shared" si="2831"/>
        <v>3</v>
      </c>
      <c r="J491" s="164">
        <f t="shared" si="2831"/>
        <v>6</v>
      </c>
      <c r="K491" s="165">
        <f t="shared" si="2831"/>
        <v>4</v>
      </c>
      <c r="L491" s="165">
        <f t="shared" si="2831"/>
        <v>8</v>
      </c>
      <c r="M491" s="164">
        <f t="shared" si="2763"/>
        <v>172</v>
      </c>
      <c r="N491" s="164">
        <f t="shared" ref="N491:U491" si="2832">N486+N487+N488+N489+N490</f>
        <v>17</v>
      </c>
      <c r="O491" s="165">
        <f t="shared" si="2832"/>
        <v>32</v>
      </c>
      <c r="P491" s="165">
        <f t="shared" si="2832"/>
        <v>19</v>
      </c>
      <c r="Q491" s="165">
        <f t="shared" si="2832"/>
        <v>30</v>
      </c>
      <c r="R491" s="165">
        <f t="shared" si="2832"/>
        <v>25</v>
      </c>
      <c r="S491" s="165">
        <f t="shared" si="2832"/>
        <v>18</v>
      </c>
      <c r="T491" s="165">
        <f t="shared" si="2832"/>
        <v>31</v>
      </c>
      <c r="U491" s="164">
        <f t="shared" si="2832"/>
        <v>82</v>
      </c>
      <c r="V491" s="164">
        <f t="shared" si="2800"/>
        <v>18</v>
      </c>
      <c r="W491" s="165">
        <f t="shared" ref="W491:Y491" si="2833">W486+W487+W488+W489+W490</f>
        <v>6</v>
      </c>
      <c r="X491" s="165">
        <f t="shared" si="2833"/>
        <v>5</v>
      </c>
      <c r="Y491" s="165">
        <f t="shared" si="2833"/>
        <v>7</v>
      </c>
      <c r="Z491" s="165">
        <f t="shared" si="2809"/>
        <v>6</v>
      </c>
      <c r="AA491" s="165">
        <f t="shared" ref="AA491:AC491" si="2834">AA486+AA487+AA488+AA489+AA490</f>
        <v>4</v>
      </c>
      <c r="AB491" s="165">
        <f t="shared" si="2834"/>
        <v>2</v>
      </c>
      <c r="AC491" s="166">
        <f t="shared" si="2834"/>
        <v>1</v>
      </c>
      <c r="AD491" s="167">
        <f>AE486+AD487+AD488+AD489+AD490</f>
        <v>2</v>
      </c>
      <c r="AE491" s="167">
        <f t="shared" ref="AE491:AF491" si="2835">AE486+AE487+AE488+AE489+AE490</f>
        <v>8</v>
      </c>
      <c r="AF491" s="167">
        <f t="shared" si="2835"/>
        <v>5</v>
      </c>
      <c r="AG491" s="168">
        <f t="shared" si="2770"/>
        <v>16</v>
      </c>
      <c r="AH491" s="166">
        <f t="shared" ref="AH491:AJ491" si="2836">AH486+AH487+AH488+AH489+AH490</f>
        <v>36</v>
      </c>
      <c r="AI491" s="166">
        <f t="shared" si="2836"/>
        <v>31</v>
      </c>
      <c r="AJ491" s="166">
        <f t="shared" si="2836"/>
        <v>31</v>
      </c>
      <c r="AK491" s="168">
        <f t="shared" si="2772"/>
        <v>98</v>
      </c>
      <c r="AL491" s="166"/>
      <c r="AM491" s="167"/>
      <c r="AN491" s="167"/>
      <c r="AO491" s="167"/>
      <c r="AP491" s="169"/>
      <c r="AQ491" s="166"/>
      <c r="AR491" s="166"/>
      <c r="AS491" s="166"/>
      <c r="AT491" s="170"/>
      <c r="AU491" s="166"/>
      <c r="AV491" s="166"/>
      <c r="AW491" s="166"/>
      <c r="AX491" s="171"/>
      <c r="AY491" s="172">
        <f t="shared" ref="AY491:BD491" si="2837">AY486+AY487+AY488+AY489+AY490</f>
        <v>2.6</v>
      </c>
      <c r="AZ491" s="172">
        <f t="shared" si="2837"/>
        <v>2.1</v>
      </c>
      <c r="BA491" s="166">
        <f t="shared" si="2837"/>
        <v>3</v>
      </c>
      <c r="BB491" s="166">
        <f t="shared" si="2837"/>
        <v>3</v>
      </c>
      <c r="BC491" s="173">
        <f t="shared" si="2837"/>
        <v>6047.3</v>
      </c>
      <c r="BD491" s="173">
        <f t="shared" si="2837"/>
        <v>6045.3</v>
      </c>
      <c r="BE491" s="154" t="str">
        <f t="shared" ref="BE491:BF491" si="2838">TEXTJOIN(", ",TRUE,BE486:BE490)</f>
        <v>Олександівка, Пантелеймонівка, Миколаївка</v>
      </c>
      <c r="BF491" s="154" t="str">
        <f t="shared" si="2838"/>
        <v>Загреблі, Верхні води, Ступочки</v>
      </c>
    </row>
    <row r="492" ht="15.75" customHeight="1">
      <c r="A492" s="67">
        <f t="shared" si="2760"/>
        <v>46271</v>
      </c>
      <c r="B492" s="124" t="s">
        <v>31</v>
      </c>
      <c r="C492" s="174">
        <f t="shared" si="2761"/>
        <v>3</v>
      </c>
      <c r="D492" s="175">
        <f t="shared" ref="D492:L492" si="2839">RANDBETWEEN(0,2)</f>
        <v>2</v>
      </c>
      <c r="E492" s="175">
        <f t="shared" si="2839"/>
        <v>2</v>
      </c>
      <c r="F492" s="175">
        <f t="shared" si="2839"/>
        <v>1</v>
      </c>
      <c r="G492" s="175">
        <f t="shared" si="2839"/>
        <v>1</v>
      </c>
      <c r="H492" s="176">
        <f t="shared" si="2839"/>
        <v>0</v>
      </c>
      <c r="I492" s="177">
        <f t="shared" si="2839"/>
        <v>1</v>
      </c>
      <c r="J492" s="178">
        <f t="shared" si="2839"/>
        <v>1</v>
      </c>
      <c r="K492" s="179">
        <f t="shared" si="2839"/>
        <v>0</v>
      </c>
      <c r="L492" s="179">
        <f t="shared" si="2839"/>
        <v>1</v>
      </c>
      <c r="M492" s="180">
        <f t="shared" si="2763"/>
        <v>31</v>
      </c>
      <c r="N492" s="175">
        <f t="shared" ref="N492:T492" si="2840">RANDBETWEEN(0,10)</f>
        <v>3</v>
      </c>
      <c r="O492" s="175">
        <f t="shared" si="2840"/>
        <v>5</v>
      </c>
      <c r="P492" s="175">
        <f t="shared" si="2840"/>
        <v>0</v>
      </c>
      <c r="Q492" s="175">
        <f t="shared" si="2840"/>
        <v>6</v>
      </c>
      <c r="R492" s="175">
        <f t="shared" si="2840"/>
        <v>7</v>
      </c>
      <c r="S492" s="175">
        <f t="shared" si="2840"/>
        <v>10</v>
      </c>
      <c r="T492" s="175">
        <f t="shared" si="2840"/>
        <v>0</v>
      </c>
      <c r="U492" s="181">
        <f t="shared" ref="U492:U497" si="2847">RANDBETWEEN(10,30)</f>
        <v>30</v>
      </c>
      <c r="V492" s="182">
        <f t="shared" si="2800"/>
        <v>2</v>
      </c>
      <c r="W492" s="175">
        <f t="shared" ref="W492:Y492" si="2841">RANDBETWEEN(0,2)</f>
        <v>0</v>
      </c>
      <c r="X492" s="175">
        <f t="shared" si="2841"/>
        <v>1</v>
      </c>
      <c r="Y492" s="175">
        <f t="shared" si="2841"/>
        <v>1</v>
      </c>
      <c r="Z492" s="183">
        <f t="shared" si="2809"/>
        <v>1</v>
      </c>
      <c r="AA492" s="184">
        <f t="shared" ref="AA492:AF492" si="2842">RANDBETWEEN(0,2)</f>
        <v>1</v>
      </c>
      <c r="AB492" s="184">
        <f t="shared" si="2842"/>
        <v>0</v>
      </c>
      <c r="AC492" s="185">
        <f t="shared" si="2842"/>
        <v>0</v>
      </c>
      <c r="AD492" s="186">
        <f t="shared" si="2842"/>
        <v>0</v>
      </c>
      <c r="AE492" s="186">
        <f t="shared" si="2842"/>
        <v>0</v>
      </c>
      <c r="AF492" s="186">
        <f t="shared" si="2842"/>
        <v>0</v>
      </c>
      <c r="AG492" s="187">
        <f t="shared" si="2770"/>
        <v>0</v>
      </c>
      <c r="AH492" s="185">
        <f t="shared" ref="AH492:AJ492" si="2843">RANDBETWEEN(1,10)</f>
        <v>4</v>
      </c>
      <c r="AI492" s="186">
        <f t="shared" si="2843"/>
        <v>9</v>
      </c>
      <c r="AJ492" s="186">
        <f t="shared" si="2843"/>
        <v>8</v>
      </c>
      <c r="AK492" s="188">
        <f t="shared" si="2772"/>
        <v>21</v>
      </c>
      <c r="AL492" s="185"/>
      <c r="AM492" s="186"/>
      <c r="AN492" s="186"/>
      <c r="AO492" s="186"/>
      <c r="AP492" s="189"/>
      <c r="AQ492" s="185"/>
      <c r="AR492" s="186"/>
      <c r="AS492" s="186"/>
      <c r="AT492" s="190"/>
      <c r="AU492" s="185"/>
      <c r="AV492" s="186"/>
      <c r="AW492" s="186"/>
      <c r="AX492" s="191"/>
      <c r="AY492" s="92">
        <f t="shared" ref="AY492:AZ492" si="2844">RANDBETWEEN(1,10)/10</f>
        <v>1</v>
      </c>
      <c r="AZ492" s="92">
        <f t="shared" si="2844"/>
        <v>0.9</v>
      </c>
      <c r="BA492" s="93">
        <v>0.0</v>
      </c>
      <c r="BB492" s="93">
        <v>0.0</v>
      </c>
      <c r="BC492" s="94">
        <f>SUM(BC464,'ГОЧ'!$AY492)</f>
        <v>1209.5</v>
      </c>
      <c r="BD492" s="94">
        <f>SUM(BD464,'ГОЧ'!$AZ492)</f>
        <v>1210.2</v>
      </c>
      <c r="BE492" s="186"/>
      <c r="BF492" s="186"/>
    </row>
    <row r="493" ht="15.75" customHeight="1">
      <c r="A493" s="67">
        <f t="shared" si="2760"/>
        <v>46271</v>
      </c>
      <c r="B493" s="138" t="s">
        <v>33</v>
      </c>
      <c r="C493" s="157">
        <f t="shared" si="2761"/>
        <v>1</v>
      </c>
      <c r="D493" s="97">
        <f t="shared" ref="D493:L493" si="2845">RANDBETWEEN(0,2)</f>
        <v>0</v>
      </c>
      <c r="E493" s="97">
        <f t="shared" si="2845"/>
        <v>0</v>
      </c>
      <c r="F493" s="97">
        <f t="shared" si="2845"/>
        <v>1</v>
      </c>
      <c r="G493" s="97">
        <f t="shared" si="2845"/>
        <v>0</v>
      </c>
      <c r="H493" s="98">
        <f t="shared" si="2845"/>
        <v>2</v>
      </c>
      <c r="I493" s="99">
        <f t="shared" si="2845"/>
        <v>0</v>
      </c>
      <c r="J493" s="100">
        <f t="shared" si="2845"/>
        <v>2</v>
      </c>
      <c r="K493" s="101">
        <f t="shared" si="2845"/>
        <v>1</v>
      </c>
      <c r="L493" s="101">
        <f t="shared" si="2845"/>
        <v>1</v>
      </c>
      <c r="M493" s="140">
        <f t="shared" si="2763"/>
        <v>38</v>
      </c>
      <c r="N493" s="97">
        <f t="shared" ref="N493:T493" si="2846">RANDBETWEEN(0,10)</f>
        <v>8</v>
      </c>
      <c r="O493" s="97">
        <f t="shared" si="2846"/>
        <v>4</v>
      </c>
      <c r="P493" s="97">
        <f t="shared" si="2846"/>
        <v>0</v>
      </c>
      <c r="Q493" s="97">
        <f t="shared" si="2846"/>
        <v>2</v>
      </c>
      <c r="R493" s="97">
        <f t="shared" si="2846"/>
        <v>10</v>
      </c>
      <c r="S493" s="97">
        <f t="shared" si="2846"/>
        <v>4</v>
      </c>
      <c r="T493" s="97">
        <f t="shared" si="2846"/>
        <v>10</v>
      </c>
      <c r="U493" s="103">
        <f t="shared" si="2847"/>
        <v>14</v>
      </c>
      <c r="V493" s="158">
        <f t="shared" si="2800"/>
        <v>2</v>
      </c>
      <c r="W493" s="97">
        <f t="shared" ref="W493:Y493" si="2848">RANDBETWEEN(0,2)</f>
        <v>1</v>
      </c>
      <c r="X493" s="97">
        <f t="shared" si="2848"/>
        <v>1</v>
      </c>
      <c r="Y493" s="97">
        <f t="shared" si="2848"/>
        <v>0</v>
      </c>
      <c r="Z493" s="105">
        <f t="shared" si="2809"/>
        <v>2</v>
      </c>
      <c r="AA493" s="143">
        <f t="shared" ref="AA493:AF493" si="2849">RANDBETWEEN(0,2)</f>
        <v>1</v>
      </c>
      <c r="AB493" s="143">
        <f t="shared" si="2849"/>
        <v>1</v>
      </c>
      <c r="AC493" s="144">
        <f t="shared" si="2849"/>
        <v>2</v>
      </c>
      <c r="AD493" s="145">
        <f t="shared" si="2849"/>
        <v>1</v>
      </c>
      <c r="AE493" s="145">
        <f t="shared" si="2849"/>
        <v>1</v>
      </c>
      <c r="AF493" s="145">
        <f t="shared" si="2849"/>
        <v>1</v>
      </c>
      <c r="AG493" s="86">
        <f t="shared" si="2770"/>
        <v>5</v>
      </c>
      <c r="AH493" s="144">
        <f t="shared" ref="AH493:AJ493" si="2850">RANDBETWEEN(1,10)</f>
        <v>4</v>
      </c>
      <c r="AI493" s="145">
        <f t="shared" si="2850"/>
        <v>7</v>
      </c>
      <c r="AJ493" s="145">
        <f t="shared" si="2850"/>
        <v>3</v>
      </c>
      <c r="AK493" s="192">
        <f t="shared" si="2772"/>
        <v>14</v>
      </c>
      <c r="AL493" s="144"/>
      <c r="AM493" s="145"/>
      <c r="AN493" s="145"/>
      <c r="AO493" s="145"/>
      <c r="AP493" s="89"/>
      <c r="AQ493" s="144"/>
      <c r="AR493" s="145"/>
      <c r="AS493" s="145"/>
      <c r="AT493" s="193"/>
      <c r="AU493" s="144"/>
      <c r="AV493" s="145"/>
      <c r="AW493" s="145"/>
      <c r="AX493" s="194"/>
      <c r="AY493" s="92">
        <f t="shared" ref="AY493:AZ493" si="2851">RANDBETWEEN(1,10)/10</f>
        <v>0.6</v>
      </c>
      <c r="AZ493" s="92">
        <f t="shared" si="2851"/>
        <v>0.8</v>
      </c>
      <c r="BA493" s="93">
        <v>0.0</v>
      </c>
      <c r="BB493" s="93">
        <v>0.0</v>
      </c>
      <c r="BC493" s="94">
        <f>SUM(BC465,'ГОЧ'!$AY493)</f>
        <v>1209.2</v>
      </c>
      <c r="BD493" s="94">
        <f>SUM(BD465,'ГОЧ'!$AZ493)</f>
        <v>1209</v>
      </c>
      <c r="BE493" s="108"/>
      <c r="BF493" s="108"/>
    </row>
    <row r="494" ht="15.75" customHeight="1">
      <c r="A494" s="67">
        <f t="shared" si="2760"/>
        <v>46271</v>
      </c>
      <c r="B494" s="138" t="s">
        <v>35</v>
      </c>
      <c r="C494" s="157">
        <f t="shared" si="2761"/>
        <v>1</v>
      </c>
      <c r="D494" s="97">
        <f t="shared" ref="D494:L494" si="2852">RANDBETWEEN(0,2)</f>
        <v>0</v>
      </c>
      <c r="E494" s="97">
        <f t="shared" si="2852"/>
        <v>0</v>
      </c>
      <c r="F494" s="97">
        <f t="shared" si="2852"/>
        <v>1</v>
      </c>
      <c r="G494" s="97">
        <f t="shared" si="2852"/>
        <v>1</v>
      </c>
      <c r="H494" s="98">
        <f t="shared" si="2852"/>
        <v>0</v>
      </c>
      <c r="I494" s="99">
        <f t="shared" si="2852"/>
        <v>0</v>
      </c>
      <c r="J494" s="100">
        <f t="shared" si="2852"/>
        <v>2</v>
      </c>
      <c r="K494" s="101">
        <f t="shared" si="2852"/>
        <v>0</v>
      </c>
      <c r="L494" s="101">
        <f t="shared" si="2852"/>
        <v>2</v>
      </c>
      <c r="M494" s="140">
        <f t="shared" si="2763"/>
        <v>27</v>
      </c>
      <c r="N494" s="97">
        <f t="shared" ref="N494:T494" si="2853">RANDBETWEEN(0,10)</f>
        <v>5</v>
      </c>
      <c r="O494" s="97">
        <f t="shared" si="2853"/>
        <v>5</v>
      </c>
      <c r="P494" s="97">
        <f t="shared" si="2853"/>
        <v>6</v>
      </c>
      <c r="Q494" s="97">
        <f t="shared" si="2853"/>
        <v>1</v>
      </c>
      <c r="R494" s="97">
        <f t="shared" si="2853"/>
        <v>0</v>
      </c>
      <c r="S494" s="97">
        <f t="shared" si="2853"/>
        <v>0</v>
      </c>
      <c r="T494" s="97">
        <f t="shared" si="2853"/>
        <v>10</v>
      </c>
      <c r="U494" s="103">
        <f t="shared" si="2847"/>
        <v>23</v>
      </c>
      <c r="V494" s="158">
        <f t="shared" si="2800"/>
        <v>1</v>
      </c>
      <c r="W494" s="97">
        <f t="shared" ref="W494:Y494" si="2854">RANDBETWEEN(0,2)</f>
        <v>1</v>
      </c>
      <c r="X494" s="97">
        <f t="shared" si="2854"/>
        <v>0</v>
      </c>
      <c r="Y494" s="97">
        <f t="shared" si="2854"/>
        <v>0</v>
      </c>
      <c r="Z494" s="105">
        <f t="shared" si="2809"/>
        <v>2</v>
      </c>
      <c r="AA494" s="106">
        <f t="shared" ref="AA494:AF494" si="2855">RANDBETWEEN(0,2)</f>
        <v>1</v>
      </c>
      <c r="AB494" s="106">
        <f t="shared" si="2855"/>
        <v>1</v>
      </c>
      <c r="AC494" s="107">
        <f t="shared" si="2855"/>
        <v>1</v>
      </c>
      <c r="AD494" s="108">
        <f t="shared" si="2855"/>
        <v>0</v>
      </c>
      <c r="AE494" s="108">
        <f t="shared" si="2855"/>
        <v>1</v>
      </c>
      <c r="AF494" s="108">
        <f t="shared" si="2855"/>
        <v>0</v>
      </c>
      <c r="AG494" s="86">
        <f t="shared" si="2770"/>
        <v>2</v>
      </c>
      <c r="AH494" s="107">
        <f t="shared" ref="AH494:AJ494" si="2856">RANDBETWEEN(1,10)</f>
        <v>2</v>
      </c>
      <c r="AI494" s="108">
        <f t="shared" si="2856"/>
        <v>4</v>
      </c>
      <c r="AJ494" s="108">
        <f t="shared" si="2856"/>
        <v>6</v>
      </c>
      <c r="AK494" s="192">
        <f t="shared" si="2772"/>
        <v>12</v>
      </c>
      <c r="AL494" s="107"/>
      <c r="AM494" s="108"/>
      <c r="AN494" s="108"/>
      <c r="AO494" s="108"/>
      <c r="AP494" s="89"/>
      <c r="AQ494" s="107"/>
      <c r="AR494" s="108"/>
      <c r="AS494" s="108"/>
      <c r="AT494" s="193"/>
      <c r="AU494" s="107"/>
      <c r="AV494" s="108"/>
      <c r="AW494" s="108"/>
      <c r="AX494" s="194"/>
      <c r="AY494" s="92">
        <f t="shared" ref="AY494:AZ494" si="2857">RANDBETWEEN(1,10)/10</f>
        <v>0.4</v>
      </c>
      <c r="AZ494" s="92">
        <f t="shared" si="2857"/>
        <v>1</v>
      </c>
      <c r="BA494" s="93">
        <v>0.0</v>
      </c>
      <c r="BB494" s="93">
        <v>0.0</v>
      </c>
      <c r="BC494" s="94">
        <f>SUM(BC466,'ГОЧ'!$AY494)</f>
        <v>1208.4</v>
      </c>
      <c r="BD494" s="94">
        <f>SUM(BD466,'ГОЧ'!$AZ494)</f>
        <v>1209.7</v>
      </c>
      <c r="BE494" s="108"/>
      <c r="BF494" s="108"/>
    </row>
    <row r="495" ht="15.75" customHeight="1">
      <c r="A495" s="67">
        <f t="shared" si="2760"/>
        <v>46271</v>
      </c>
      <c r="B495" s="138" t="s">
        <v>36</v>
      </c>
      <c r="C495" s="157">
        <f t="shared" si="2761"/>
        <v>1</v>
      </c>
      <c r="D495" s="97">
        <f t="shared" ref="D495:L495" si="2858">RANDBETWEEN(0,2)</f>
        <v>1</v>
      </c>
      <c r="E495" s="97">
        <f t="shared" si="2858"/>
        <v>1</v>
      </c>
      <c r="F495" s="97">
        <f t="shared" si="2858"/>
        <v>0</v>
      </c>
      <c r="G495" s="97">
        <f t="shared" si="2858"/>
        <v>1</v>
      </c>
      <c r="H495" s="98">
        <f t="shared" si="2858"/>
        <v>0</v>
      </c>
      <c r="I495" s="99">
        <f t="shared" si="2858"/>
        <v>2</v>
      </c>
      <c r="J495" s="100">
        <f t="shared" si="2858"/>
        <v>1</v>
      </c>
      <c r="K495" s="101">
        <f t="shared" si="2858"/>
        <v>1</v>
      </c>
      <c r="L495" s="101">
        <f t="shared" si="2858"/>
        <v>0</v>
      </c>
      <c r="M495" s="140">
        <f t="shared" si="2763"/>
        <v>35</v>
      </c>
      <c r="N495" s="97">
        <f t="shared" ref="N495:T495" si="2859">RANDBETWEEN(0,10)</f>
        <v>9</v>
      </c>
      <c r="O495" s="97">
        <f t="shared" si="2859"/>
        <v>2</v>
      </c>
      <c r="P495" s="97">
        <f t="shared" si="2859"/>
        <v>1</v>
      </c>
      <c r="Q495" s="97">
        <f t="shared" si="2859"/>
        <v>4</v>
      </c>
      <c r="R495" s="97">
        <f t="shared" si="2859"/>
        <v>9</v>
      </c>
      <c r="S495" s="97">
        <f t="shared" si="2859"/>
        <v>6</v>
      </c>
      <c r="T495" s="97">
        <f t="shared" si="2859"/>
        <v>4</v>
      </c>
      <c r="U495" s="103">
        <f t="shared" si="2847"/>
        <v>11</v>
      </c>
      <c r="V495" s="158">
        <f t="shared" si="2800"/>
        <v>2</v>
      </c>
      <c r="W495" s="97">
        <f t="shared" ref="W495:Y495" si="2860">RANDBETWEEN(0,2)</f>
        <v>0</v>
      </c>
      <c r="X495" s="97">
        <f t="shared" si="2860"/>
        <v>2</v>
      </c>
      <c r="Y495" s="97">
        <f t="shared" si="2860"/>
        <v>0</v>
      </c>
      <c r="Z495" s="105">
        <f t="shared" si="2809"/>
        <v>2</v>
      </c>
      <c r="AA495" s="143">
        <f t="shared" ref="AA495:AF495" si="2861">RANDBETWEEN(0,2)</f>
        <v>2</v>
      </c>
      <c r="AB495" s="143">
        <f t="shared" si="2861"/>
        <v>0</v>
      </c>
      <c r="AC495" s="144">
        <f t="shared" si="2861"/>
        <v>2</v>
      </c>
      <c r="AD495" s="145">
        <f t="shared" si="2861"/>
        <v>0</v>
      </c>
      <c r="AE495" s="145">
        <f t="shared" si="2861"/>
        <v>2</v>
      </c>
      <c r="AF495" s="145">
        <f t="shared" si="2861"/>
        <v>2</v>
      </c>
      <c r="AG495" s="86">
        <f t="shared" si="2770"/>
        <v>6</v>
      </c>
      <c r="AH495" s="144">
        <f t="shared" ref="AH495:AJ495" si="2862">RANDBETWEEN(1,10)</f>
        <v>4</v>
      </c>
      <c r="AI495" s="145">
        <f t="shared" si="2862"/>
        <v>9</v>
      </c>
      <c r="AJ495" s="145">
        <f t="shared" si="2862"/>
        <v>4</v>
      </c>
      <c r="AK495" s="192">
        <f t="shared" si="2772"/>
        <v>17</v>
      </c>
      <c r="AL495" s="144"/>
      <c r="AM495" s="145"/>
      <c r="AN495" s="145"/>
      <c r="AO495" s="145"/>
      <c r="AP495" s="89"/>
      <c r="AQ495" s="144"/>
      <c r="AR495" s="145"/>
      <c r="AS495" s="145"/>
      <c r="AT495" s="193"/>
      <c r="AU495" s="144"/>
      <c r="AV495" s="145"/>
      <c r="AW495" s="145"/>
      <c r="AX495" s="194"/>
      <c r="AY495" s="92">
        <f t="shared" ref="AY495:AZ495" si="2863">RANDBETWEEN(1,10)/10</f>
        <v>1</v>
      </c>
      <c r="AZ495" s="92">
        <f t="shared" si="2863"/>
        <v>0.3</v>
      </c>
      <c r="BA495" s="93">
        <v>0.0</v>
      </c>
      <c r="BB495" s="93">
        <v>0.0</v>
      </c>
      <c r="BC495" s="94">
        <f>SUM(BC467,'ГОЧ'!$AY495)</f>
        <v>1210.4</v>
      </c>
      <c r="BD495" s="94">
        <f>SUM(BD467,'ГОЧ'!$AZ495)</f>
        <v>1208.5</v>
      </c>
      <c r="BE495" s="108"/>
      <c r="BF495" s="108"/>
    </row>
    <row r="496" ht="15.75" customHeight="1">
      <c r="A496" s="67">
        <f t="shared" si="2760"/>
        <v>46271</v>
      </c>
      <c r="B496" s="195" t="s">
        <v>38</v>
      </c>
      <c r="C496" s="157">
        <f t="shared" si="2761"/>
        <v>2</v>
      </c>
      <c r="D496" s="97">
        <f t="shared" ref="D496:L496" si="2864">RANDBETWEEN(0,2)</f>
        <v>0</v>
      </c>
      <c r="E496" s="97">
        <f t="shared" si="2864"/>
        <v>2</v>
      </c>
      <c r="F496" s="97">
        <f t="shared" si="2864"/>
        <v>2</v>
      </c>
      <c r="G496" s="97">
        <f t="shared" si="2864"/>
        <v>1</v>
      </c>
      <c r="H496" s="98">
        <f t="shared" si="2864"/>
        <v>2</v>
      </c>
      <c r="I496" s="99">
        <f t="shared" si="2864"/>
        <v>0</v>
      </c>
      <c r="J496" s="100">
        <f t="shared" si="2864"/>
        <v>2</v>
      </c>
      <c r="K496" s="101">
        <f t="shared" si="2864"/>
        <v>2</v>
      </c>
      <c r="L496" s="101">
        <f t="shared" si="2864"/>
        <v>0</v>
      </c>
      <c r="M496" s="140">
        <f t="shared" si="2763"/>
        <v>38</v>
      </c>
      <c r="N496" s="97">
        <f t="shared" ref="N496:T496" si="2865">RANDBETWEEN(0,10)</f>
        <v>9</v>
      </c>
      <c r="O496" s="97">
        <f t="shared" si="2865"/>
        <v>2</v>
      </c>
      <c r="P496" s="97">
        <f t="shared" si="2865"/>
        <v>10</v>
      </c>
      <c r="Q496" s="97">
        <f t="shared" si="2865"/>
        <v>6</v>
      </c>
      <c r="R496" s="97">
        <f t="shared" si="2865"/>
        <v>1</v>
      </c>
      <c r="S496" s="97">
        <f t="shared" si="2865"/>
        <v>9</v>
      </c>
      <c r="T496" s="97">
        <f t="shared" si="2865"/>
        <v>1</v>
      </c>
      <c r="U496" s="103">
        <f t="shared" si="2847"/>
        <v>17</v>
      </c>
      <c r="V496" s="158">
        <f t="shared" si="2800"/>
        <v>3</v>
      </c>
      <c r="W496" s="97">
        <f t="shared" ref="W496:Y496" si="2866">RANDBETWEEN(0,2)</f>
        <v>1</v>
      </c>
      <c r="X496" s="97">
        <f t="shared" si="2866"/>
        <v>0</v>
      </c>
      <c r="Y496" s="97">
        <f t="shared" si="2866"/>
        <v>2</v>
      </c>
      <c r="Z496" s="105">
        <f t="shared" si="2809"/>
        <v>4</v>
      </c>
      <c r="AA496" s="106">
        <f t="shared" ref="AA496:AF496" si="2867">RANDBETWEEN(0,2)</f>
        <v>2</v>
      </c>
      <c r="AB496" s="106">
        <f t="shared" si="2867"/>
        <v>2</v>
      </c>
      <c r="AC496" s="107">
        <f t="shared" si="2867"/>
        <v>0</v>
      </c>
      <c r="AD496" s="108">
        <f t="shared" si="2867"/>
        <v>2</v>
      </c>
      <c r="AE496" s="108">
        <f t="shared" si="2867"/>
        <v>2</v>
      </c>
      <c r="AF496" s="108">
        <f t="shared" si="2867"/>
        <v>0</v>
      </c>
      <c r="AG496" s="86">
        <f t="shared" si="2770"/>
        <v>4</v>
      </c>
      <c r="AH496" s="107">
        <f t="shared" ref="AH496:AJ496" si="2868">RANDBETWEEN(1,10)</f>
        <v>5</v>
      </c>
      <c r="AI496" s="108">
        <f t="shared" si="2868"/>
        <v>2</v>
      </c>
      <c r="AJ496" s="108">
        <f t="shared" si="2868"/>
        <v>3</v>
      </c>
      <c r="AK496" s="192">
        <f t="shared" si="2772"/>
        <v>10</v>
      </c>
      <c r="AL496" s="107"/>
      <c r="AM496" s="108"/>
      <c r="AN496" s="108"/>
      <c r="AO496" s="108"/>
      <c r="AP496" s="89"/>
      <c r="AQ496" s="107"/>
      <c r="AR496" s="108"/>
      <c r="AS496" s="108"/>
      <c r="AT496" s="193"/>
      <c r="AU496" s="107"/>
      <c r="AV496" s="108"/>
      <c r="AW496" s="108"/>
      <c r="AX496" s="194"/>
      <c r="AY496" s="92">
        <f t="shared" ref="AY496:AZ496" si="2869">RANDBETWEEN(1,10)/10</f>
        <v>0.8</v>
      </c>
      <c r="AZ496" s="92">
        <f t="shared" si="2869"/>
        <v>0.8</v>
      </c>
      <c r="BA496" s="93">
        <v>0.0</v>
      </c>
      <c r="BB496" s="93">
        <v>0.0</v>
      </c>
      <c r="BC496" s="94">
        <f>SUM(BC468,'ГОЧ'!$AY496)</f>
        <v>1208.8</v>
      </c>
      <c r="BD496" s="94">
        <f>SUM(BD468,'ГОЧ'!$AZ496)</f>
        <v>1208.7</v>
      </c>
      <c r="BE496" s="108"/>
      <c r="BF496" s="108"/>
    </row>
    <row r="497" ht="15.75" customHeight="1">
      <c r="A497" s="67">
        <f t="shared" si="2760"/>
        <v>46271</v>
      </c>
      <c r="B497" s="138" t="s">
        <v>41</v>
      </c>
      <c r="C497" s="157">
        <f t="shared" si="2761"/>
        <v>2</v>
      </c>
      <c r="D497" s="97">
        <f t="shared" ref="D497:L497" si="2870">RANDBETWEEN(0,2)</f>
        <v>2</v>
      </c>
      <c r="E497" s="97">
        <f t="shared" si="2870"/>
        <v>0</v>
      </c>
      <c r="F497" s="97">
        <f t="shared" si="2870"/>
        <v>0</v>
      </c>
      <c r="G497" s="97">
        <f t="shared" si="2870"/>
        <v>1</v>
      </c>
      <c r="H497" s="98">
        <f t="shared" si="2870"/>
        <v>2</v>
      </c>
      <c r="I497" s="99">
        <f t="shared" si="2870"/>
        <v>1</v>
      </c>
      <c r="J497" s="100">
        <f t="shared" si="2870"/>
        <v>2</v>
      </c>
      <c r="K497" s="101">
        <f t="shared" si="2870"/>
        <v>2</v>
      </c>
      <c r="L497" s="101">
        <f t="shared" si="2870"/>
        <v>2</v>
      </c>
      <c r="M497" s="140">
        <f t="shared" si="2763"/>
        <v>37</v>
      </c>
      <c r="N497" s="97">
        <f t="shared" ref="N497:T497" si="2871">RANDBETWEEN(0,10)</f>
        <v>2</v>
      </c>
      <c r="O497" s="97">
        <f t="shared" si="2871"/>
        <v>4</v>
      </c>
      <c r="P497" s="97">
        <f t="shared" si="2871"/>
        <v>7</v>
      </c>
      <c r="Q497" s="97">
        <f t="shared" si="2871"/>
        <v>1</v>
      </c>
      <c r="R497" s="97">
        <f t="shared" si="2871"/>
        <v>8</v>
      </c>
      <c r="S497" s="97">
        <f t="shared" si="2871"/>
        <v>9</v>
      </c>
      <c r="T497" s="97">
        <f t="shared" si="2871"/>
        <v>6</v>
      </c>
      <c r="U497" s="103">
        <f t="shared" si="2847"/>
        <v>20</v>
      </c>
      <c r="V497" s="158">
        <f t="shared" si="2800"/>
        <v>5</v>
      </c>
      <c r="W497" s="97">
        <f t="shared" ref="W497:Y497" si="2872">RANDBETWEEN(0,2)</f>
        <v>2</v>
      </c>
      <c r="X497" s="97">
        <f t="shared" si="2872"/>
        <v>1</v>
      </c>
      <c r="Y497" s="97">
        <f t="shared" si="2872"/>
        <v>2</v>
      </c>
      <c r="Z497" s="105">
        <f t="shared" si="2809"/>
        <v>3</v>
      </c>
      <c r="AA497" s="143">
        <f t="shared" ref="AA497:AF497" si="2873">RANDBETWEEN(0,2)</f>
        <v>2</v>
      </c>
      <c r="AB497" s="143">
        <f t="shared" si="2873"/>
        <v>1</v>
      </c>
      <c r="AC497" s="144">
        <f t="shared" si="2873"/>
        <v>2</v>
      </c>
      <c r="AD497" s="145">
        <f t="shared" si="2873"/>
        <v>1</v>
      </c>
      <c r="AE497" s="145">
        <f t="shared" si="2873"/>
        <v>2</v>
      </c>
      <c r="AF497" s="145">
        <f t="shared" si="2873"/>
        <v>1</v>
      </c>
      <c r="AG497" s="86">
        <f t="shared" si="2770"/>
        <v>6</v>
      </c>
      <c r="AH497" s="144">
        <f t="shared" ref="AH497:AJ497" si="2874">RANDBETWEEN(1,10)</f>
        <v>5</v>
      </c>
      <c r="AI497" s="145">
        <f t="shared" si="2874"/>
        <v>9</v>
      </c>
      <c r="AJ497" s="145">
        <f t="shared" si="2874"/>
        <v>2</v>
      </c>
      <c r="AK497" s="192">
        <f t="shared" si="2772"/>
        <v>16</v>
      </c>
      <c r="AL497" s="144"/>
      <c r="AM497" s="145"/>
      <c r="AN497" s="145"/>
      <c r="AO497" s="145"/>
      <c r="AP497" s="89"/>
      <c r="AQ497" s="144"/>
      <c r="AR497" s="145"/>
      <c r="AS497" s="145"/>
      <c r="AT497" s="193"/>
      <c r="AU497" s="144"/>
      <c r="AV497" s="145"/>
      <c r="AW497" s="145"/>
      <c r="AX497" s="194"/>
      <c r="AY497" s="92">
        <f t="shared" ref="AY497:AZ497" si="2875">RANDBETWEEN(1,10)/10</f>
        <v>0.5</v>
      </c>
      <c r="AZ497" s="92">
        <f t="shared" si="2875"/>
        <v>0.7</v>
      </c>
      <c r="BA497" s="93">
        <v>0.0</v>
      </c>
      <c r="BB497" s="93">
        <v>0.0</v>
      </c>
      <c r="BC497" s="94">
        <f>SUM(BC469,'ГОЧ'!$AY497)</f>
        <v>1209.1</v>
      </c>
      <c r="BD497" s="94">
        <f>SUM(BD469,'ГОЧ'!$AZ497)</f>
        <v>1210.3</v>
      </c>
      <c r="BE497" s="108"/>
      <c r="BF497" s="108"/>
    </row>
    <row r="498" ht="15.75" customHeight="1">
      <c r="A498" s="67">
        <f t="shared" si="2760"/>
        <v>46271</v>
      </c>
      <c r="B498" s="114" t="s">
        <v>45</v>
      </c>
      <c r="C498" s="164">
        <f t="shared" si="2761"/>
        <v>10</v>
      </c>
      <c r="D498" s="164">
        <f t="shared" ref="D498:U498" si="2876">SUM(D492:D497)</f>
        <v>5</v>
      </c>
      <c r="E498" s="165">
        <f t="shared" si="2876"/>
        <v>5</v>
      </c>
      <c r="F498" s="165">
        <f t="shared" si="2876"/>
        <v>5</v>
      </c>
      <c r="G498" s="165">
        <f t="shared" si="2876"/>
        <v>5</v>
      </c>
      <c r="H498" s="165">
        <f t="shared" si="2876"/>
        <v>6</v>
      </c>
      <c r="I498" s="165">
        <f t="shared" si="2876"/>
        <v>4</v>
      </c>
      <c r="J498" s="165">
        <f t="shared" si="2876"/>
        <v>10</v>
      </c>
      <c r="K498" s="165">
        <f t="shared" si="2876"/>
        <v>6</v>
      </c>
      <c r="L498" s="165">
        <f t="shared" si="2876"/>
        <v>6</v>
      </c>
      <c r="M498" s="164">
        <f t="shared" si="2876"/>
        <v>206</v>
      </c>
      <c r="N498" s="164">
        <f t="shared" si="2876"/>
        <v>36</v>
      </c>
      <c r="O498" s="165">
        <f t="shared" si="2876"/>
        <v>22</v>
      </c>
      <c r="P498" s="165">
        <f t="shared" si="2876"/>
        <v>24</v>
      </c>
      <c r="Q498" s="165">
        <f t="shared" si="2876"/>
        <v>20</v>
      </c>
      <c r="R498" s="165">
        <f t="shared" si="2876"/>
        <v>35</v>
      </c>
      <c r="S498" s="165">
        <f t="shared" si="2876"/>
        <v>38</v>
      </c>
      <c r="T498" s="165">
        <f t="shared" si="2876"/>
        <v>31</v>
      </c>
      <c r="U498" s="164">
        <f t="shared" si="2876"/>
        <v>115</v>
      </c>
      <c r="V498" s="164">
        <f t="shared" si="2800"/>
        <v>15</v>
      </c>
      <c r="W498" s="165">
        <f t="shared" ref="W498:Y498" si="2877">SUM(W492:W497)</f>
        <v>5</v>
      </c>
      <c r="X498" s="165">
        <f t="shared" si="2877"/>
        <v>5</v>
      </c>
      <c r="Y498" s="165">
        <f t="shared" si="2877"/>
        <v>5</v>
      </c>
      <c r="Z498" s="165">
        <f t="shared" si="2809"/>
        <v>14</v>
      </c>
      <c r="AA498" s="165">
        <f t="shared" ref="AA498:AF498" si="2878">SUM(AA492:AA497)</f>
        <v>9</v>
      </c>
      <c r="AB498" s="165">
        <f t="shared" si="2878"/>
        <v>5</v>
      </c>
      <c r="AC498" s="166">
        <f t="shared" si="2878"/>
        <v>7</v>
      </c>
      <c r="AD498" s="166">
        <f t="shared" si="2878"/>
        <v>4</v>
      </c>
      <c r="AE498" s="166">
        <f t="shared" si="2878"/>
        <v>8</v>
      </c>
      <c r="AF498" s="166">
        <f t="shared" si="2878"/>
        <v>4</v>
      </c>
      <c r="AG498" s="168">
        <f t="shared" si="2770"/>
        <v>23</v>
      </c>
      <c r="AH498" s="166">
        <f t="shared" ref="AH498:AJ498" si="2879">SUM(AH492:AH497)</f>
        <v>24</v>
      </c>
      <c r="AI498" s="167">
        <f t="shared" si="2879"/>
        <v>40</v>
      </c>
      <c r="AJ498" s="167">
        <f t="shared" si="2879"/>
        <v>26</v>
      </c>
      <c r="AK498" s="168">
        <f t="shared" si="2772"/>
        <v>90</v>
      </c>
      <c r="AL498" s="166"/>
      <c r="AM498" s="166"/>
      <c r="AN498" s="166"/>
      <c r="AO498" s="166"/>
      <c r="AP498" s="169"/>
      <c r="AQ498" s="166"/>
      <c r="AR498" s="167"/>
      <c r="AS498" s="167"/>
      <c r="AT498" s="170"/>
      <c r="AU498" s="166"/>
      <c r="AV498" s="167"/>
      <c r="AW498" s="167"/>
      <c r="AX498" s="171"/>
      <c r="AY498" s="196">
        <f t="shared" ref="AY498:BD498" si="2880">SUM(AY492:AY497)</f>
        <v>4.3</v>
      </c>
      <c r="AZ498" s="196">
        <f t="shared" si="2880"/>
        <v>4.5</v>
      </c>
      <c r="BA498" s="167">
        <f t="shared" si="2880"/>
        <v>0</v>
      </c>
      <c r="BB498" s="167">
        <f t="shared" si="2880"/>
        <v>0</v>
      </c>
      <c r="BC498" s="197">
        <f t="shared" si="2880"/>
        <v>7255.4</v>
      </c>
      <c r="BD498" s="197">
        <f t="shared" si="2880"/>
        <v>7256.4</v>
      </c>
      <c r="BE498" s="154" t="str">
        <f t="shared" ref="BE498:BF498" si="2881">TEXTJOIN(", ",TRUE,BE492:BE497)</f>
        <v/>
      </c>
      <c r="BF498" s="154" t="str">
        <f t="shared" si="2881"/>
        <v/>
      </c>
    </row>
    <row r="499" ht="15.75" customHeight="1">
      <c r="A499" s="67">
        <f t="shared" si="2760"/>
        <v>46271</v>
      </c>
      <c r="B499" s="124" t="s">
        <v>49</v>
      </c>
      <c r="C499" s="174">
        <f t="shared" si="2761"/>
        <v>3</v>
      </c>
      <c r="D499" s="175">
        <f t="shared" ref="D499:L499" si="2882">RANDBETWEEN(0,2)</f>
        <v>1</v>
      </c>
      <c r="E499" s="175">
        <f t="shared" si="2882"/>
        <v>0</v>
      </c>
      <c r="F499" s="175">
        <f t="shared" si="2882"/>
        <v>2</v>
      </c>
      <c r="G499" s="175">
        <f t="shared" si="2882"/>
        <v>2</v>
      </c>
      <c r="H499" s="176">
        <f t="shared" si="2882"/>
        <v>1</v>
      </c>
      <c r="I499" s="177">
        <f t="shared" si="2882"/>
        <v>1</v>
      </c>
      <c r="J499" s="178">
        <f t="shared" si="2882"/>
        <v>2</v>
      </c>
      <c r="K499" s="179">
        <f t="shared" si="2882"/>
        <v>2</v>
      </c>
      <c r="L499" s="179">
        <f t="shared" si="2882"/>
        <v>1</v>
      </c>
      <c r="M499" s="180">
        <f t="shared" ref="M499:M504" si="2889">SUM(N499:T499)</f>
        <v>29</v>
      </c>
      <c r="N499" s="175">
        <f t="shared" ref="N499:T499" si="2883">RANDBETWEEN(0,10)</f>
        <v>1</v>
      </c>
      <c r="O499" s="175">
        <f t="shared" si="2883"/>
        <v>10</v>
      </c>
      <c r="P499" s="175">
        <f t="shared" si="2883"/>
        <v>0</v>
      </c>
      <c r="Q499" s="175">
        <f t="shared" si="2883"/>
        <v>7</v>
      </c>
      <c r="R499" s="175">
        <f t="shared" si="2883"/>
        <v>7</v>
      </c>
      <c r="S499" s="175">
        <f t="shared" si="2883"/>
        <v>1</v>
      </c>
      <c r="T499" s="175">
        <f t="shared" si="2883"/>
        <v>3</v>
      </c>
      <c r="U499" s="181">
        <f t="shared" ref="U499:U503" si="2891">RANDBETWEEN(10,30)</f>
        <v>29</v>
      </c>
      <c r="V499" s="182">
        <f t="shared" si="2800"/>
        <v>5</v>
      </c>
      <c r="W499" s="175">
        <f t="shared" ref="W499:Y499" si="2884">RANDBETWEEN(0,2)</f>
        <v>1</v>
      </c>
      <c r="X499" s="175">
        <f t="shared" si="2884"/>
        <v>2</v>
      </c>
      <c r="Y499" s="175">
        <f t="shared" si="2884"/>
        <v>2</v>
      </c>
      <c r="Z499" s="183">
        <f t="shared" si="2809"/>
        <v>1</v>
      </c>
      <c r="AA499" s="198">
        <f t="shared" ref="AA499:AF499" si="2885">RANDBETWEEN(0,2)</f>
        <v>1</v>
      </c>
      <c r="AB499" s="198">
        <f t="shared" si="2885"/>
        <v>0</v>
      </c>
      <c r="AC499" s="199">
        <f t="shared" si="2885"/>
        <v>1</v>
      </c>
      <c r="AD499" s="200">
        <f t="shared" si="2885"/>
        <v>0</v>
      </c>
      <c r="AE499" s="200">
        <f t="shared" si="2885"/>
        <v>1</v>
      </c>
      <c r="AF499" s="200">
        <f t="shared" si="2885"/>
        <v>1</v>
      </c>
      <c r="AG499" s="187">
        <f t="shared" si="2770"/>
        <v>3</v>
      </c>
      <c r="AH499" s="199">
        <f t="shared" ref="AH499:AJ499" si="2886">RANDBETWEEN(1,10)</f>
        <v>7</v>
      </c>
      <c r="AI499" s="200">
        <f t="shared" si="2886"/>
        <v>10</v>
      </c>
      <c r="AJ499" s="200">
        <f t="shared" si="2886"/>
        <v>8</v>
      </c>
      <c r="AK499" s="188">
        <f t="shared" si="2772"/>
        <v>25</v>
      </c>
      <c r="AL499" s="199"/>
      <c r="AM499" s="200"/>
      <c r="AN499" s="200"/>
      <c r="AO499" s="200"/>
      <c r="AP499" s="189"/>
      <c r="AQ499" s="199"/>
      <c r="AR499" s="200"/>
      <c r="AS499" s="200"/>
      <c r="AT499" s="190"/>
      <c r="AU499" s="199"/>
      <c r="AV499" s="200"/>
      <c r="AW499" s="200"/>
      <c r="AX499" s="191"/>
      <c r="AY499" s="92">
        <f t="shared" ref="AY499:AZ499" si="2887">RANDBETWEEN(1,10)/10</f>
        <v>0.1</v>
      </c>
      <c r="AZ499" s="92">
        <f t="shared" si="2887"/>
        <v>0.6</v>
      </c>
      <c r="BA499" s="93">
        <v>0.0</v>
      </c>
      <c r="BB499" s="93">
        <v>0.0</v>
      </c>
      <c r="BC499" s="94">
        <f>SUM(BC471,'ГОЧ'!$AY499)</f>
        <v>1208.7</v>
      </c>
      <c r="BD499" s="94">
        <f>SUM(BD471,'ГОЧ'!$AZ499)</f>
        <v>1207.7</v>
      </c>
      <c r="BE499" s="186"/>
      <c r="BF499" s="186"/>
    </row>
    <row r="500" ht="15.75" customHeight="1">
      <c r="A500" s="67">
        <f t="shared" si="2760"/>
        <v>46271</v>
      </c>
      <c r="B500" s="195" t="s">
        <v>53</v>
      </c>
      <c r="C500" s="157">
        <f t="shared" si="2761"/>
        <v>2</v>
      </c>
      <c r="D500" s="97">
        <f t="shared" ref="D500:L500" si="2888">RANDBETWEEN(0,2)</f>
        <v>1</v>
      </c>
      <c r="E500" s="97">
        <f t="shared" si="2888"/>
        <v>0</v>
      </c>
      <c r="F500" s="97">
        <f t="shared" si="2888"/>
        <v>1</v>
      </c>
      <c r="G500" s="97">
        <f t="shared" si="2888"/>
        <v>0</v>
      </c>
      <c r="H500" s="98">
        <f t="shared" si="2888"/>
        <v>0</v>
      </c>
      <c r="I500" s="99">
        <f t="shared" si="2888"/>
        <v>0</v>
      </c>
      <c r="J500" s="100">
        <f t="shared" si="2888"/>
        <v>1</v>
      </c>
      <c r="K500" s="101">
        <f t="shared" si="2888"/>
        <v>2</v>
      </c>
      <c r="L500" s="101">
        <f t="shared" si="2888"/>
        <v>2</v>
      </c>
      <c r="M500" s="140">
        <f t="shared" si="2889"/>
        <v>29</v>
      </c>
      <c r="N500" s="97">
        <f t="shared" ref="N500:T500" si="2890">RANDBETWEEN(0,10)</f>
        <v>7</v>
      </c>
      <c r="O500" s="97">
        <f t="shared" si="2890"/>
        <v>5</v>
      </c>
      <c r="P500" s="97">
        <f t="shared" si="2890"/>
        <v>5</v>
      </c>
      <c r="Q500" s="97">
        <f t="shared" si="2890"/>
        <v>9</v>
      </c>
      <c r="R500" s="97">
        <f t="shared" si="2890"/>
        <v>0</v>
      </c>
      <c r="S500" s="97">
        <f t="shared" si="2890"/>
        <v>1</v>
      </c>
      <c r="T500" s="97">
        <f t="shared" si="2890"/>
        <v>2</v>
      </c>
      <c r="U500" s="103">
        <f t="shared" si="2891"/>
        <v>14</v>
      </c>
      <c r="V500" s="158">
        <f t="shared" si="2800"/>
        <v>4</v>
      </c>
      <c r="W500" s="97">
        <f t="shared" ref="W500:Y500" si="2892">RANDBETWEEN(0,2)</f>
        <v>1</v>
      </c>
      <c r="X500" s="97">
        <f t="shared" si="2892"/>
        <v>2</v>
      </c>
      <c r="Y500" s="97">
        <f t="shared" si="2892"/>
        <v>1</v>
      </c>
      <c r="Z500" s="105">
        <f t="shared" si="2809"/>
        <v>3</v>
      </c>
      <c r="AA500" s="106">
        <f t="shared" ref="AA500:AF500" si="2893">RANDBETWEEN(0,2)</f>
        <v>1</v>
      </c>
      <c r="AB500" s="106">
        <f t="shared" si="2893"/>
        <v>2</v>
      </c>
      <c r="AC500" s="107">
        <f t="shared" si="2893"/>
        <v>1</v>
      </c>
      <c r="AD500" s="108">
        <f t="shared" si="2893"/>
        <v>1</v>
      </c>
      <c r="AE500" s="108">
        <f t="shared" si="2893"/>
        <v>0</v>
      </c>
      <c r="AF500" s="108">
        <f t="shared" si="2893"/>
        <v>2</v>
      </c>
      <c r="AG500" s="86">
        <f t="shared" si="2770"/>
        <v>4</v>
      </c>
      <c r="AH500" s="107">
        <f t="shared" ref="AH500:AJ500" si="2894">RANDBETWEEN(1,10)</f>
        <v>2</v>
      </c>
      <c r="AI500" s="108">
        <f t="shared" si="2894"/>
        <v>1</v>
      </c>
      <c r="AJ500" s="108">
        <f t="shared" si="2894"/>
        <v>3</v>
      </c>
      <c r="AK500" s="192">
        <f t="shared" si="2772"/>
        <v>6</v>
      </c>
      <c r="AL500" s="107"/>
      <c r="AM500" s="108"/>
      <c r="AN500" s="108"/>
      <c r="AO500" s="108"/>
      <c r="AP500" s="89"/>
      <c r="AQ500" s="107"/>
      <c r="AR500" s="108"/>
      <c r="AS500" s="108"/>
      <c r="AT500" s="193"/>
      <c r="AU500" s="107"/>
      <c r="AV500" s="108"/>
      <c r="AW500" s="108"/>
      <c r="AX500" s="194"/>
      <c r="AY500" s="92">
        <f t="shared" ref="AY500:AZ500" si="2895">RANDBETWEEN(1,10)/10</f>
        <v>0.1</v>
      </c>
      <c r="AZ500" s="92">
        <f t="shared" si="2895"/>
        <v>1</v>
      </c>
      <c r="BA500" s="93">
        <v>0.0</v>
      </c>
      <c r="BB500" s="93">
        <v>0.0</v>
      </c>
      <c r="BC500" s="94">
        <f>SUM(BC472,'ГОЧ'!$AY500)</f>
        <v>1207.1</v>
      </c>
      <c r="BD500" s="94">
        <f>SUM(BD472,'ГОЧ'!$AZ500)</f>
        <v>1209.4</v>
      </c>
      <c r="BE500" s="108"/>
      <c r="BF500" s="108"/>
    </row>
    <row r="501" ht="15.75" customHeight="1">
      <c r="A501" s="67">
        <f t="shared" si="2760"/>
        <v>46271</v>
      </c>
      <c r="B501" s="138" t="s">
        <v>57</v>
      </c>
      <c r="C501" s="157">
        <f t="shared" si="2761"/>
        <v>0</v>
      </c>
      <c r="D501" s="97">
        <f t="shared" ref="D501:L501" si="2896">RANDBETWEEN(0,2)</f>
        <v>0</v>
      </c>
      <c r="E501" s="97">
        <f t="shared" si="2896"/>
        <v>2</v>
      </c>
      <c r="F501" s="97">
        <f t="shared" si="2896"/>
        <v>0</v>
      </c>
      <c r="G501" s="97">
        <f t="shared" si="2896"/>
        <v>0</v>
      </c>
      <c r="H501" s="98">
        <f t="shared" si="2896"/>
        <v>1</v>
      </c>
      <c r="I501" s="99">
        <f t="shared" si="2896"/>
        <v>0</v>
      </c>
      <c r="J501" s="100">
        <f t="shared" si="2896"/>
        <v>2</v>
      </c>
      <c r="K501" s="101">
        <f t="shared" si="2896"/>
        <v>0</v>
      </c>
      <c r="L501" s="101">
        <f t="shared" si="2896"/>
        <v>2</v>
      </c>
      <c r="M501" s="140">
        <f t="shared" si="2889"/>
        <v>39</v>
      </c>
      <c r="N501" s="97">
        <f t="shared" ref="N501:T501" si="2897">RANDBETWEEN(0,10)</f>
        <v>3</v>
      </c>
      <c r="O501" s="97">
        <f t="shared" si="2897"/>
        <v>10</v>
      </c>
      <c r="P501" s="97">
        <f t="shared" si="2897"/>
        <v>1</v>
      </c>
      <c r="Q501" s="97">
        <f t="shared" si="2897"/>
        <v>0</v>
      </c>
      <c r="R501" s="97">
        <f t="shared" si="2897"/>
        <v>6</v>
      </c>
      <c r="S501" s="97">
        <f t="shared" si="2897"/>
        <v>9</v>
      </c>
      <c r="T501" s="97">
        <f t="shared" si="2897"/>
        <v>10</v>
      </c>
      <c r="U501" s="103">
        <f t="shared" si="2891"/>
        <v>12</v>
      </c>
      <c r="V501" s="158">
        <f t="shared" si="2800"/>
        <v>2</v>
      </c>
      <c r="W501" s="97">
        <f t="shared" ref="W501:Y501" si="2898">RANDBETWEEN(0,2)</f>
        <v>1</v>
      </c>
      <c r="X501" s="97">
        <f t="shared" si="2898"/>
        <v>1</v>
      </c>
      <c r="Y501" s="97">
        <f t="shared" si="2898"/>
        <v>0</v>
      </c>
      <c r="Z501" s="105">
        <f t="shared" si="2809"/>
        <v>1</v>
      </c>
      <c r="AA501" s="143">
        <f t="shared" ref="AA501:AF501" si="2899">RANDBETWEEN(0,2)</f>
        <v>1</v>
      </c>
      <c r="AB501" s="143">
        <f t="shared" si="2899"/>
        <v>0</v>
      </c>
      <c r="AC501" s="144">
        <f t="shared" si="2899"/>
        <v>1</v>
      </c>
      <c r="AD501" s="145">
        <f t="shared" si="2899"/>
        <v>0</v>
      </c>
      <c r="AE501" s="145">
        <f t="shared" si="2899"/>
        <v>2</v>
      </c>
      <c r="AF501" s="145">
        <f t="shared" si="2899"/>
        <v>2</v>
      </c>
      <c r="AG501" s="86">
        <f t="shared" si="2770"/>
        <v>5</v>
      </c>
      <c r="AH501" s="144">
        <f t="shared" ref="AH501:AJ501" si="2900">RANDBETWEEN(1,10)</f>
        <v>8</v>
      </c>
      <c r="AI501" s="145">
        <f t="shared" si="2900"/>
        <v>7</v>
      </c>
      <c r="AJ501" s="145">
        <f t="shared" si="2900"/>
        <v>1</v>
      </c>
      <c r="AK501" s="192">
        <f t="shared" si="2772"/>
        <v>16</v>
      </c>
      <c r="AL501" s="144"/>
      <c r="AM501" s="145"/>
      <c r="AN501" s="145"/>
      <c r="AO501" s="145"/>
      <c r="AP501" s="89"/>
      <c r="AQ501" s="144"/>
      <c r="AR501" s="145"/>
      <c r="AS501" s="145"/>
      <c r="AT501" s="193"/>
      <c r="AU501" s="144"/>
      <c r="AV501" s="145"/>
      <c r="AW501" s="145"/>
      <c r="AX501" s="194"/>
      <c r="AY501" s="92">
        <f t="shared" ref="AY501:AZ501" si="2901">RANDBETWEEN(1,10)/10</f>
        <v>0.3</v>
      </c>
      <c r="AZ501" s="92">
        <f t="shared" si="2901"/>
        <v>0.5</v>
      </c>
      <c r="BA501" s="93">
        <v>0.0</v>
      </c>
      <c r="BB501" s="93">
        <v>0.0</v>
      </c>
      <c r="BC501" s="94">
        <f>SUM(BC473,'ГОЧ'!$AY501)</f>
        <v>1210.5</v>
      </c>
      <c r="BD501" s="94">
        <f>SUM(BD473,'ГОЧ'!$AZ501)</f>
        <v>1209.7</v>
      </c>
      <c r="BE501" s="108"/>
      <c r="BF501" s="108"/>
    </row>
    <row r="502" ht="15.75" customHeight="1">
      <c r="A502" s="67">
        <f t="shared" si="2760"/>
        <v>46271</v>
      </c>
      <c r="B502" s="138" t="s">
        <v>60</v>
      </c>
      <c r="C502" s="157">
        <f t="shared" si="2761"/>
        <v>4</v>
      </c>
      <c r="D502" s="97">
        <f t="shared" ref="D502:L502" si="2902">RANDBETWEEN(0,2)</f>
        <v>2</v>
      </c>
      <c r="E502" s="97">
        <f t="shared" si="2902"/>
        <v>2</v>
      </c>
      <c r="F502" s="97">
        <f t="shared" si="2902"/>
        <v>2</v>
      </c>
      <c r="G502" s="97">
        <f t="shared" si="2902"/>
        <v>0</v>
      </c>
      <c r="H502" s="98">
        <f t="shared" si="2902"/>
        <v>1</v>
      </c>
      <c r="I502" s="99">
        <f t="shared" si="2902"/>
        <v>0</v>
      </c>
      <c r="J502" s="100">
        <f t="shared" si="2902"/>
        <v>2</v>
      </c>
      <c r="K502" s="101">
        <f t="shared" si="2902"/>
        <v>2</v>
      </c>
      <c r="L502" s="101">
        <f t="shared" si="2902"/>
        <v>2</v>
      </c>
      <c r="M502" s="140">
        <f t="shared" si="2889"/>
        <v>27</v>
      </c>
      <c r="N502" s="97">
        <f t="shared" ref="N502:T502" si="2903">RANDBETWEEN(0,10)</f>
        <v>0</v>
      </c>
      <c r="O502" s="97">
        <f t="shared" si="2903"/>
        <v>8</v>
      </c>
      <c r="P502" s="97">
        <f t="shared" si="2903"/>
        <v>2</v>
      </c>
      <c r="Q502" s="97">
        <f t="shared" si="2903"/>
        <v>1</v>
      </c>
      <c r="R502" s="97">
        <f t="shared" si="2903"/>
        <v>4</v>
      </c>
      <c r="S502" s="97">
        <f t="shared" si="2903"/>
        <v>5</v>
      </c>
      <c r="T502" s="97">
        <f t="shared" si="2903"/>
        <v>7</v>
      </c>
      <c r="U502" s="103">
        <f t="shared" si="2891"/>
        <v>12</v>
      </c>
      <c r="V502" s="158">
        <f t="shared" si="2800"/>
        <v>4</v>
      </c>
      <c r="W502" s="97">
        <f t="shared" ref="W502:Y502" si="2904">RANDBETWEEN(0,2)</f>
        <v>1</v>
      </c>
      <c r="X502" s="97">
        <f t="shared" si="2904"/>
        <v>2</v>
      </c>
      <c r="Y502" s="97">
        <f t="shared" si="2904"/>
        <v>1</v>
      </c>
      <c r="Z502" s="105">
        <f t="shared" si="2809"/>
        <v>1</v>
      </c>
      <c r="AA502" s="106">
        <f t="shared" ref="AA502:AF502" si="2905">RANDBETWEEN(0,2)</f>
        <v>0</v>
      </c>
      <c r="AB502" s="106">
        <f t="shared" si="2905"/>
        <v>1</v>
      </c>
      <c r="AC502" s="107">
        <f t="shared" si="2905"/>
        <v>0</v>
      </c>
      <c r="AD502" s="108">
        <f t="shared" si="2905"/>
        <v>1</v>
      </c>
      <c r="AE502" s="108">
        <f t="shared" si="2905"/>
        <v>1</v>
      </c>
      <c r="AF502" s="108">
        <f t="shared" si="2905"/>
        <v>2</v>
      </c>
      <c r="AG502" s="86">
        <f t="shared" si="2770"/>
        <v>4</v>
      </c>
      <c r="AH502" s="107">
        <f t="shared" ref="AH502:AJ502" si="2906">RANDBETWEEN(1,10)</f>
        <v>4</v>
      </c>
      <c r="AI502" s="108">
        <f t="shared" si="2906"/>
        <v>9</v>
      </c>
      <c r="AJ502" s="108">
        <f t="shared" si="2906"/>
        <v>2</v>
      </c>
      <c r="AK502" s="192">
        <f t="shared" si="2772"/>
        <v>15</v>
      </c>
      <c r="AL502" s="107"/>
      <c r="AM502" s="108"/>
      <c r="AN502" s="108"/>
      <c r="AO502" s="108"/>
      <c r="AP502" s="89"/>
      <c r="AQ502" s="107"/>
      <c r="AR502" s="108"/>
      <c r="AS502" s="108"/>
      <c r="AT502" s="193"/>
      <c r="AU502" s="107"/>
      <c r="AV502" s="108"/>
      <c r="AW502" s="108"/>
      <c r="AX502" s="194"/>
      <c r="AY502" s="92">
        <f t="shared" ref="AY502:AZ502" si="2907">RANDBETWEEN(1,10)/10</f>
        <v>0.3</v>
      </c>
      <c r="AZ502" s="92">
        <f t="shared" si="2907"/>
        <v>0.3</v>
      </c>
      <c r="BA502" s="93">
        <v>0.0</v>
      </c>
      <c r="BB502" s="93">
        <v>0.0</v>
      </c>
      <c r="BC502" s="94">
        <f>SUM(BC474,'ГОЧ'!$AY502)</f>
        <v>1208.4</v>
      </c>
      <c r="BD502" s="94">
        <f>SUM(BD474,'ГОЧ'!$AZ502)</f>
        <v>1208.5</v>
      </c>
      <c r="BE502" s="108"/>
      <c r="BF502" s="108"/>
    </row>
    <row r="503" ht="15.75" customHeight="1">
      <c r="A503" s="67">
        <f t="shared" si="2760"/>
        <v>46271</v>
      </c>
      <c r="B503" s="195" t="s">
        <v>64</v>
      </c>
      <c r="C503" s="157">
        <f t="shared" si="2761"/>
        <v>2</v>
      </c>
      <c r="D503" s="97">
        <f t="shared" ref="D503:L503" si="2908">RANDBETWEEN(0,2)</f>
        <v>1</v>
      </c>
      <c r="E503" s="97">
        <f t="shared" si="2908"/>
        <v>1</v>
      </c>
      <c r="F503" s="97">
        <f t="shared" si="2908"/>
        <v>1</v>
      </c>
      <c r="G503" s="97">
        <f t="shared" si="2908"/>
        <v>2</v>
      </c>
      <c r="H503" s="98">
        <f t="shared" si="2908"/>
        <v>1</v>
      </c>
      <c r="I503" s="99">
        <f t="shared" si="2908"/>
        <v>1</v>
      </c>
      <c r="J503" s="100">
        <f t="shared" si="2908"/>
        <v>1</v>
      </c>
      <c r="K503" s="101">
        <f t="shared" si="2908"/>
        <v>1</v>
      </c>
      <c r="L503" s="101">
        <f t="shared" si="2908"/>
        <v>2</v>
      </c>
      <c r="M503" s="140">
        <f t="shared" si="2889"/>
        <v>39</v>
      </c>
      <c r="N503" s="97">
        <f t="shared" ref="N503:T503" si="2909">RANDBETWEEN(0,10)</f>
        <v>3</v>
      </c>
      <c r="O503" s="97">
        <f t="shared" si="2909"/>
        <v>5</v>
      </c>
      <c r="P503" s="97">
        <f t="shared" si="2909"/>
        <v>9</v>
      </c>
      <c r="Q503" s="97">
        <f t="shared" si="2909"/>
        <v>0</v>
      </c>
      <c r="R503" s="97">
        <f t="shared" si="2909"/>
        <v>9</v>
      </c>
      <c r="S503" s="97">
        <f t="shared" si="2909"/>
        <v>6</v>
      </c>
      <c r="T503" s="97">
        <f t="shared" si="2909"/>
        <v>7</v>
      </c>
      <c r="U503" s="103">
        <f t="shared" si="2891"/>
        <v>19</v>
      </c>
      <c r="V503" s="158">
        <f t="shared" si="2800"/>
        <v>3</v>
      </c>
      <c r="W503" s="97">
        <f t="shared" ref="W503:Y503" si="2910">RANDBETWEEN(0,2)</f>
        <v>0</v>
      </c>
      <c r="X503" s="97">
        <f t="shared" si="2910"/>
        <v>1</v>
      </c>
      <c r="Y503" s="97">
        <f t="shared" si="2910"/>
        <v>2</v>
      </c>
      <c r="Z503" s="105">
        <f t="shared" si="2809"/>
        <v>3</v>
      </c>
      <c r="AA503" s="143">
        <f t="shared" ref="AA503:AF503" si="2911">RANDBETWEEN(0,2)</f>
        <v>2</v>
      </c>
      <c r="AB503" s="143">
        <f t="shared" si="2911"/>
        <v>1</v>
      </c>
      <c r="AC503" s="144">
        <f t="shared" si="2911"/>
        <v>0</v>
      </c>
      <c r="AD503" s="145">
        <f t="shared" si="2911"/>
        <v>1</v>
      </c>
      <c r="AE503" s="145">
        <f t="shared" si="2911"/>
        <v>0</v>
      </c>
      <c r="AF503" s="145">
        <f t="shared" si="2911"/>
        <v>1</v>
      </c>
      <c r="AG503" s="86">
        <f t="shared" si="2770"/>
        <v>2</v>
      </c>
      <c r="AH503" s="144">
        <f t="shared" ref="AH503:AJ503" si="2912">RANDBETWEEN(1,10)</f>
        <v>6</v>
      </c>
      <c r="AI503" s="145">
        <f t="shared" si="2912"/>
        <v>3</v>
      </c>
      <c r="AJ503" s="145">
        <f t="shared" si="2912"/>
        <v>2</v>
      </c>
      <c r="AK503" s="192">
        <f t="shared" si="2772"/>
        <v>11</v>
      </c>
      <c r="AL503" s="144"/>
      <c r="AM503" s="145"/>
      <c r="AN503" s="145"/>
      <c r="AO503" s="145"/>
      <c r="AP503" s="89"/>
      <c r="AQ503" s="144"/>
      <c r="AR503" s="145"/>
      <c r="AS503" s="145"/>
      <c r="AT503" s="193"/>
      <c r="AU503" s="144"/>
      <c r="AV503" s="145"/>
      <c r="AW503" s="145"/>
      <c r="AX503" s="194"/>
      <c r="AY503" s="92">
        <f t="shared" ref="AY503:AZ503" si="2913">RANDBETWEEN(1,10)/10</f>
        <v>0.6</v>
      </c>
      <c r="AZ503" s="92">
        <f t="shared" si="2913"/>
        <v>0.4</v>
      </c>
      <c r="BA503" s="93">
        <v>0.0</v>
      </c>
      <c r="BB503" s="93">
        <v>0.0</v>
      </c>
      <c r="BC503" s="94">
        <f>SUM(BC475,'ГОЧ'!$AY503)</f>
        <v>1208.3</v>
      </c>
      <c r="BD503" s="94">
        <f>SUM(BD475,'ГОЧ'!$AZ503)</f>
        <v>1207.3</v>
      </c>
      <c r="BE503" s="108"/>
      <c r="BF503" s="108"/>
    </row>
    <row r="504" ht="15.75" customHeight="1">
      <c r="A504" s="67">
        <f t="shared" si="2760"/>
        <v>46271</v>
      </c>
      <c r="B504" s="201" t="s">
        <v>67</v>
      </c>
      <c r="C504" s="164">
        <f t="shared" si="2761"/>
        <v>11</v>
      </c>
      <c r="D504" s="164">
        <f t="shared" ref="D504:L504" si="2914">SUM(D499:D503)</f>
        <v>5</v>
      </c>
      <c r="E504" s="165">
        <f t="shared" si="2914"/>
        <v>5</v>
      </c>
      <c r="F504" s="165">
        <f t="shared" si="2914"/>
        <v>6</v>
      </c>
      <c r="G504" s="165">
        <f t="shared" si="2914"/>
        <v>4</v>
      </c>
      <c r="H504" s="165">
        <f t="shared" si="2914"/>
        <v>4</v>
      </c>
      <c r="I504" s="165">
        <f t="shared" si="2914"/>
        <v>2</v>
      </c>
      <c r="J504" s="165">
        <f t="shared" si="2914"/>
        <v>8</v>
      </c>
      <c r="K504" s="165">
        <f t="shared" si="2914"/>
        <v>7</v>
      </c>
      <c r="L504" s="165">
        <f t="shared" si="2914"/>
        <v>9</v>
      </c>
      <c r="M504" s="164">
        <f t="shared" si="2889"/>
        <v>163</v>
      </c>
      <c r="N504" s="164">
        <f t="shared" ref="N504:U504" si="2915">SUM(N499:N503)</f>
        <v>14</v>
      </c>
      <c r="O504" s="165">
        <f t="shared" si="2915"/>
        <v>38</v>
      </c>
      <c r="P504" s="165">
        <f t="shared" si="2915"/>
        <v>17</v>
      </c>
      <c r="Q504" s="165">
        <f t="shared" si="2915"/>
        <v>17</v>
      </c>
      <c r="R504" s="165">
        <f t="shared" si="2915"/>
        <v>26</v>
      </c>
      <c r="S504" s="165">
        <f t="shared" si="2915"/>
        <v>22</v>
      </c>
      <c r="T504" s="165">
        <f t="shared" si="2915"/>
        <v>29</v>
      </c>
      <c r="U504" s="164">
        <f t="shared" si="2915"/>
        <v>86</v>
      </c>
      <c r="V504" s="164">
        <f t="shared" si="2800"/>
        <v>18</v>
      </c>
      <c r="W504" s="165">
        <f t="shared" ref="W504:Y504" si="2916">SUM(W499:W503)</f>
        <v>4</v>
      </c>
      <c r="X504" s="165">
        <f t="shared" si="2916"/>
        <v>8</v>
      </c>
      <c r="Y504" s="165">
        <f t="shared" si="2916"/>
        <v>6</v>
      </c>
      <c r="Z504" s="164">
        <f>SUM(AA504:AB504)</f>
        <v>9</v>
      </c>
      <c r="AA504" s="164">
        <f t="shared" ref="AA504:AF504" si="2917">SUM(AA499:AA503)</f>
        <v>5</v>
      </c>
      <c r="AB504" s="165">
        <f t="shared" si="2917"/>
        <v>4</v>
      </c>
      <c r="AC504" s="166">
        <f t="shared" si="2917"/>
        <v>3</v>
      </c>
      <c r="AD504" s="166">
        <f t="shared" si="2917"/>
        <v>3</v>
      </c>
      <c r="AE504" s="166">
        <f t="shared" si="2917"/>
        <v>4</v>
      </c>
      <c r="AF504" s="166">
        <f t="shared" si="2917"/>
        <v>8</v>
      </c>
      <c r="AG504" s="168">
        <f t="shared" si="2770"/>
        <v>18</v>
      </c>
      <c r="AH504" s="166">
        <f t="shared" ref="AH504:AJ504" si="2918">SUM(AH499:AH503)</f>
        <v>27</v>
      </c>
      <c r="AI504" s="167">
        <f t="shared" si="2918"/>
        <v>30</v>
      </c>
      <c r="AJ504" s="167">
        <f t="shared" si="2918"/>
        <v>16</v>
      </c>
      <c r="AK504" s="168">
        <f t="shared" si="2772"/>
        <v>73</v>
      </c>
      <c r="AL504" s="166"/>
      <c r="AM504" s="166"/>
      <c r="AN504" s="166"/>
      <c r="AO504" s="166"/>
      <c r="AP504" s="169"/>
      <c r="AQ504" s="166"/>
      <c r="AR504" s="167"/>
      <c r="AS504" s="167"/>
      <c r="AT504" s="170"/>
      <c r="AU504" s="166"/>
      <c r="AV504" s="167"/>
      <c r="AW504" s="167"/>
      <c r="AX504" s="171"/>
      <c r="AY504" s="196">
        <f t="shared" ref="AY504:BD504" si="2919">SUM(AY499:AY503)</f>
        <v>1.4</v>
      </c>
      <c r="AZ504" s="196">
        <f t="shared" si="2919"/>
        <v>2.8</v>
      </c>
      <c r="BA504" s="167">
        <f t="shared" si="2919"/>
        <v>0</v>
      </c>
      <c r="BB504" s="167">
        <f t="shared" si="2919"/>
        <v>0</v>
      </c>
      <c r="BC504" s="197">
        <f t="shared" si="2919"/>
        <v>6043</v>
      </c>
      <c r="BD504" s="197">
        <f t="shared" si="2919"/>
        <v>6042.6</v>
      </c>
      <c r="BE504" s="154" t="str">
        <f t="shared" ref="BE504:BF504" si="2920">TEXTJOIN(", ",TRUE,BE499:BE503)</f>
        <v/>
      </c>
      <c r="BF504" s="154" t="str">
        <f t="shared" si="2920"/>
        <v/>
      </c>
    </row>
    <row r="505" ht="15.75" customHeight="1">
      <c r="A505" s="67">
        <f t="shared" si="2760"/>
        <v>46271</v>
      </c>
      <c r="B505" s="202" t="s">
        <v>72</v>
      </c>
      <c r="C505" s="203">
        <f t="shared" ref="C505:AK505" si="2921">SUM(C479+C480+C481+C485,C484,C491,C498,C504)</f>
        <v>45</v>
      </c>
      <c r="D505" s="203">
        <f t="shared" si="2921"/>
        <v>22</v>
      </c>
      <c r="E505" s="203">
        <f t="shared" si="2921"/>
        <v>19</v>
      </c>
      <c r="F505" s="203">
        <f t="shared" si="2921"/>
        <v>23</v>
      </c>
      <c r="G505" s="203">
        <f t="shared" si="2921"/>
        <v>19</v>
      </c>
      <c r="H505" s="203">
        <f t="shared" si="2921"/>
        <v>20</v>
      </c>
      <c r="I505" s="203">
        <f t="shared" si="2921"/>
        <v>14</v>
      </c>
      <c r="J505" s="203">
        <f t="shared" si="2921"/>
        <v>29</v>
      </c>
      <c r="K505" s="203">
        <f t="shared" si="2921"/>
        <v>23</v>
      </c>
      <c r="L505" s="203">
        <f t="shared" si="2921"/>
        <v>26</v>
      </c>
      <c r="M505" s="203">
        <f t="shared" si="2921"/>
        <v>749</v>
      </c>
      <c r="N505" s="203">
        <f t="shared" si="2921"/>
        <v>84</v>
      </c>
      <c r="O505" s="203">
        <f t="shared" si="2921"/>
        <v>115</v>
      </c>
      <c r="P505" s="203">
        <f t="shared" si="2921"/>
        <v>87</v>
      </c>
      <c r="Q505" s="203">
        <f t="shared" si="2921"/>
        <v>107</v>
      </c>
      <c r="R505" s="203">
        <f t="shared" si="2921"/>
        <v>102</v>
      </c>
      <c r="S505" s="203">
        <f t="shared" si="2921"/>
        <v>105</v>
      </c>
      <c r="T505" s="203">
        <f t="shared" si="2921"/>
        <v>149</v>
      </c>
      <c r="U505" s="203">
        <f t="shared" si="2921"/>
        <v>364</v>
      </c>
      <c r="V505" s="203">
        <f t="shared" si="2921"/>
        <v>62</v>
      </c>
      <c r="W505" s="203">
        <f t="shared" si="2921"/>
        <v>18</v>
      </c>
      <c r="X505" s="203">
        <f t="shared" si="2921"/>
        <v>21</v>
      </c>
      <c r="Y505" s="203">
        <f t="shared" si="2921"/>
        <v>23</v>
      </c>
      <c r="Z505" s="203">
        <f t="shared" si="2921"/>
        <v>33</v>
      </c>
      <c r="AA505" s="203">
        <f t="shared" si="2921"/>
        <v>20</v>
      </c>
      <c r="AB505" s="203">
        <f t="shared" si="2921"/>
        <v>13</v>
      </c>
      <c r="AC505" s="204">
        <f t="shared" si="2921"/>
        <v>14</v>
      </c>
      <c r="AD505" s="204">
        <f t="shared" si="2921"/>
        <v>15</v>
      </c>
      <c r="AE505" s="204">
        <f t="shared" si="2921"/>
        <v>23</v>
      </c>
      <c r="AF505" s="204">
        <f t="shared" si="2921"/>
        <v>23</v>
      </c>
      <c r="AG505" s="204">
        <f t="shared" si="2921"/>
        <v>75</v>
      </c>
      <c r="AH505" s="204">
        <f t="shared" si="2921"/>
        <v>110</v>
      </c>
      <c r="AI505" s="204">
        <f t="shared" si="2921"/>
        <v>126</v>
      </c>
      <c r="AJ505" s="204">
        <f t="shared" si="2921"/>
        <v>101</v>
      </c>
      <c r="AK505" s="204">
        <f t="shared" si="2921"/>
        <v>337</v>
      </c>
      <c r="AL505" s="204"/>
      <c r="AM505" s="204"/>
      <c r="AN505" s="204"/>
      <c r="AO505" s="204"/>
      <c r="AP505" s="151"/>
      <c r="AQ505" s="204"/>
      <c r="AR505" s="204"/>
      <c r="AS505" s="204"/>
      <c r="AT505" s="152"/>
      <c r="AU505" s="204"/>
      <c r="AV505" s="204"/>
      <c r="AW505" s="204"/>
      <c r="AX505" s="153"/>
      <c r="AY505" s="205">
        <f t="shared" ref="AY505:BD505" si="2922">SUM(AY479+AY480+AY481+AY485,AY484,AY491,AY498,AY504)</f>
        <v>21.5</v>
      </c>
      <c r="AZ505" s="205">
        <f t="shared" si="2922"/>
        <v>23.2</v>
      </c>
      <c r="BA505" s="206">
        <f t="shared" si="2922"/>
        <v>5</v>
      </c>
      <c r="BB505" s="206">
        <f t="shared" si="2922"/>
        <v>3</v>
      </c>
      <c r="BC505" s="207">
        <f t="shared" si="2922"/>
        <v>26604.6</v>
      </c>
      <c r="BD505" s="207">
        <f t="shared" si="2922"/>
        <v>26608.9</v>
      </c>
      <c r="BE505" s="154" t="str">
        <f t="shared" ref="BE505:BF505" si="2923">TEXTJOIN(", ",TRUE,BE504,BE498,BE491,BE485,BE484,BE481,BE480,BE479)</f>
        <v>Олександівка, Пантелеймонівка, Миколаївка, Курськ, Рильск</v>
      </c>
      <c r="BF505" s="154" t="str">
        <f t="shared" si="2923"/>
        <v>Загреблі, Верхні води, Ступочки</v>
      </c>
    </row>
    <row r="506" ht="15.75" customHeight="1">
      <c r="A506" s="55">
        <f>A505+1</f>
        <v>46272</v>
      </c>
      <c r="B506" s="56"/>
      <c r="C506" s="57"/>
      <c r="D506" s="58"/>
      <c r="E506" s="59"/>
      <c r="F506" s="58"/>
      <c r="G506" s="59"/>
      <c r="H506" s="57"/>
      <c r="I506" s="60"/>
      <c r="J506" s="57"/>
      <c r="K506" s="57"/>
      <c r="L506" s="57"/>
      <c r="M506" s="57"/>
      <c r="N506" s="60"/>
      <c r="O506" s="60"/>
      <c r="P506" s="60"/>
      <c r="Q506" s="60"/>
      <c r="R506" s="60"/>
      <c r="S506" s="60"/>
      <c r="T506" s="60"/>
      <c r="U506" s="57"/>
      <c r="V506" s="58"/>
      <c r="W506" s="61"/>
      <c r="X506" s="61"/>
      <c r="Y506" s="61"/>
      <c r="Z506" s="57"/>
      <c r="AA506" s="60"/>
      <c r="AB506" s="60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4"/>
      <c r="AQ506" s="62"/>
      <c r="AR506" s="62"/>
      <c r="AS506" s="62"/>
      <c r="AT506" s="65"/>
      <c r="AU506" s="62"/>
      <c r="AV506" s="62"/>
      <c r="AW506" s="62"/>
      <c r="AX506" s="66"/>
      <c r="AY506" s="208"/>
      <c r="AZ506" s="208"/>
      <c r="BA506" s="62"/>
      <c r="BB506" s="62"/>
      <c r="BC506" s="209"/>
      <c r="BD506" s="209"/>
      <c r="BE506" s="62"/>
      <c r="BF506" s="62"/>
    </row>
    <row r="507" ht="15.75" customHeight="1">
      <c r="A507" s="67">
        <f t="shared" ref="A507:A533" si="2930">A506</f>
        <v>46272</v>
      </c>
      <c r="B507" s="70" t="s">
        <v>8</v>
      </c>
      <c r="C507" s="72">
        <f t="shared" ref="C507:C532" si="2931">SUM(D507,F507)</f>
        <v>0</v>
      </c>
      <c r="D507" s="74">
        <f t="shared" ref="D507:L507" si="2924">RANDBETWEEN(0,2)</f>
        <v>0</v>
      </c>
      <c r="E507" s="74">
        <f t="shared" si="2924"/>
        <v>2</v>
      </c>
      <c r="F507" s="74">
        <f t="shared" si="2924"/>
        <v>0</v>
      </c>
      <c r="G507" s="74">
        <f t="shared" si="2924"/>
        <v>0</v>
      </c>
      <c r="H507" s="75">
        <f t="shared" si="2924"/>
        <v>2</v>
      </c>
      <c r="I507" s="76">
        <f t="shared" si="2924"/>
        <v>2</v>
      </c>
      <c r="J507" s="77">
        <f t="shared" si="2924"/>
        <v>2</v>
      </c>
      <c r="K507" s="78">
        <f t="shared" si="2924"/>
        <v>0</v>
      </c>
      <c r="L507" s="78">
        <f t="shared" si="2924"/>
        <v>2</v>
      </c>
      <c r="M507" s="79">
        <f t="shared" ref="M507:M525" si="2933">SUM(N507:T507)</f>
        <v>18</v>
      </c>
      <c r="N507" s="74">
        <f t="shared" ref="N507:T507" si="2925">RANDBETWEEN(0,10)</f>
        <v>1</v>
      </c>
      <c r="O507" s="74">
        <f t="shared" si="2925"/>
        <v>1</v>
      </c>
      <c r="P507" s="74">
        <f t="shared" si="2925"/>
        <v>5</v>
      </c>
      <c r="Q507" s="74">
        <f t="shared" si="2925"/>
        <v>2</v>
      </c>
      <c r="R507" s="74">
        <f t="shared" si="2925"/>
        <v>8</v>
      </c>
      <c r="S507" s="74">
        <f t="shared" si="2925"/>
        <v>0</v>
      </c>
      <c r="T507" s="74">
        <f t="shared" si="2925"/>
        <v>1</v>
      </c>
      <c r="U507" s="81">
        <f t="shared" ref="U507:U508" si="2935">RANDBETWEEN(10,30)</f>
        <v>27</v>
      </c>
      <c r="V507" s="82">
        <f t="shared" ref="V507:V512" si="2936">SUM(W507:Y507)</f>
        <v>5</v>
      </c>
      <c r="W507" s="74">
        <f t="shared" ref="W507:Y507" si="2926">RANDBETWEEN(0,2)</f>
        <v>1</v>
      </c>
      <c r="X507" s="74">
        <f t="shared" si="2926"/>
        <v>2</v>
      </c>
      <c r="Y507" s="74">
        <f t="shared" si="2926"/>
        <v>2</v>
      </c>
      <c r="Z507" s="83">
        <f t="shared" ref="Z507:Z509" si="2938">AA507+AB507</f>
        <v>3</v>
      </c>
      <c r="AA507" s="84">
        <f t="shared" ref="AA507:AF507" si="2927">RANDBETWEEN(0,2)</f>
        <v>2</v>
      </c>
      <c r="AB507" s="84">
        <f t="shared" si="2927"/>
        <v>1</v>
      </c>
      <c r="AC507" s="85">
        <f t="shared" si="2927"/>
        <v>1</v>
      </c>
      <c r="AD507" s="85">
        <f t="shared" si="2927"/>
        <v>0</v>
      </c>
      <c r="AE507" s="85">
        <f t="shared" si="2927"/>
        <v>0</v>
      </c>
      <c r="AF507" s="85">
        <f t="shared" si="2927"/>
        <v>1</v>
      </c>
      <c r="AG507" s="86">
        <f t="shared" ref="AG507:AG532" si="2940">SUM(AC507:AF507)</f>
        <v>2</v>
      </c>
      <c r="AH507" s="87">
        <f t="shared" ref="AH507:AJ507" si="2928">RANDBETWEEN(1,10)</f>
        <v>3</v>
      </c>
      <c r="AI507" s="85">
        <f t="shared" si="2928"/>
        <v>4</v>
      </c>
      <c r="AJ507" s="85">
        <f t="shared" si="2928"/>
        <v>3</v>
      </c>
      <c r="AK507" s="88">
        <f t="shared" ref="AK507:AK532" si="2942">SUM(AH507:AJ507)</f>
        <v>10</v>
      </c>
      <c r="AL507" s="85"/>
      <c r="AM507" s="85"/>
      <c r="AN507" s="85"/>
      <c r="AO507" s="85"/>
      <c r="AP507" s="89"/>
      <c r="AQ507" s="87"/>
      <c r="AR507" s="85"/>
      <c r="AS507" s="85"/>
      <c r="AT507" s="90"/>
      <c r="AU507" s="87"/>
      <c r="AV507" s="85"/>
      <c r="AW507" s="85"/>
      <c r="AX507" s="91"/>
      <c r="AY507" s="92">
        <f t="shared" ref="AY507:AZ507" si="2929">RANDBETWEEN(1,10)/10</f>
        <v>0.2</v>
      </c>
      <c r="AZ507" s="92">
        <f t="shared" si="2929"/>
        <v>0.3</v>
      </c>
      <c r="BA507" s="93">
        <v>0.0</v>
      </c>
      <c r="BB507" s="93">
        <v>0.0</v>
      </c>
      <c r="BC507" s="94">
        <f>SUM(BC479,'ГОЧ'!$AY507)</f>
        <v>1211.8</v>
      </c>
      <c r="BD507" s="94">
        <f>SUM(BD479,'ГОЧ'!$AZ507)</f>
        <v>1212.5</v>
      </c>
      <c r="BE507" s="85"/>
      <c r="BF507" s="85"/>
    </row>
    <row r="508" ht="15.75" customHeight="1">
      <c r="A508" s="67">
        <f t="shared" si="2930"/>
        <v>46272</v>
      </c>
      <c r="B508" s="95" t="s">
        <v>10</v>
      </c>
      <c r="C508" s="96">
        <f t="shared" si="2931"/>
        <v>3</v>
      </c>
      <c r="D508" s="97">
        <f t="shared" ref="D508:L508" si="2932">RANDBETWEEN(0,2)</f>
        <v>2</v>
      </c>
      <c r="E508" s="97">
        <f t="shared" si="2932"/>
        <v>1</v>
      </c>
      <c r="F508" s="97">
        <f t="shared" si="2932"/>
        <v>1</v>
      </c>
      <c r="G508" s="97">
        <f t="shared" si="2932"/>
        <v>0</v>
      </c>
      <c r="H508" s="98">
        <f t="shared" si="2932"/>
        <v>0</v>
      </c>
      <c r="I508" s="99">
        <f t="shared" si="2932"/>
        <v>2</v>
      </c>
      <c r="J508" s="100">
        <f t="shared" si="2932"/>
        <v>0</v>
      </c>
      <c r="K508" s="101">
        <f t="shared" si="2932"/>
        <v>1</v>
      </c>
      <c r="L508" s="101">
        <f t="shared" si="2932"/>
        <v>1</v>
      </c>
      <c r="M508" s="102">
        <f t="shared" si="2933"/>
        <v>32</v>
      </c>
      <c r="N508" s="97">
        <f t="shared" ref="N508:T508" si="2934">RANDBETWEEN(0,10)</f>
        <v>5</v>
      </c>
      <c r="O508" s="97">
        <f t="shared" si="2934"/>
        <v>5</v>
      </c>
      <c r="P508" s="97">
        <f t="shared" si="2934"/>
        <v>10</v>
      </c>
      <c r="Q508" s="97">
        <f t="shared" si="2934"/>
        <v>5</v>
      </c>
      <c r="R508" s="97">
        <f t="shared" si="2934"/>
        <v>0</v>
      </c>
      <c r="S508" s="97">
        <f t="shared" si="2934"/>
        <v>7</v>
      </c>
      <c r="T508" s="97">
        <f t="shared" si="2934"/>
        <v>0</v>
      </c>
      <c r="U508" s="103">
        <f t="shared" si="2935"/>
        <v>13</v>
      </c>
      <c r="V508" s="104">
        <f t="shared" si="2936"/>
        <v>4</v>
      </c>
      <c r="W508" s="97">
        <f t="shared" ref="W508:Y508" si="2937">RANDBETWEEN(0,2)</f>
        <v>2</v>
      </c>
      <c r="X508" s="97">
        <f t="shared" si="2937"/>
        <v>2</v>
      </c>
      <c r="Y508" s="97">
        <f t="shared" si="2937"/>
        <v>0</v>
      </c>
      <c r="Z508" s="105">
        <f t="shared" si="2938"/>
        <v>2</v>
      </c>
      <c r="AA508" s="106">
        <f t="shared" ref="AA508:AF508" si="2939">RANDBETWEEN(0,2)</f>
        <v>2</v>
      </c>
      <c r="AB508" s="106">
        <f t="shared" si="2939"/>
        <v>0</v>
      </c>
      <c r="AC508" s="107">
        <f t="shared" si="2939"/>
        <v>0</v>
      </c>
      <c r="AD508" s="108">
        <f t="shared" si="2939"/>
        <v>0</v>
      </c>
      <c r="AE508" s="108">
        <f t="shared" si="2939"/>
        <v>2</v>
      </c>
      <c r="AF508" s="108">
        <f t="shared" si="2939"/>
        <v>1</v>
      </c>
      <c r="AG508" s="109">
        <f t="shared" si="2940"/>
        <v>3</v>
      </c>
      <c r="AH508" s="107">
        <f t="shared" ref="AH508:AJ508" si="2941">RANDBETWEEN(1,10)</f>
        <v>10</v>
      </c>
      <c r="AI508" s="108">
        <f t="shared" si="2941"/>
        <v>5</v>
      </c>
      <c r="AJ508" s="108">
        <f t="shared" si="2941"/>
        <v>5</v>
      </c>
      <c r="AK508" s="110">
        <f t="shared" si="2942"/>
        <v>20</v>
      </c>
      <c r="AL508" s="107"/>
      <c r="AM508" s="108"/>
      <c r="AN508" s="108"/>
      <c r="AO508" s="108"/>
      <c r="AP508" s="111"/>
      <c r="AQ508" s="107"/>
      <c r="AR508" s="108"/>
      <c r="AS508" s="108"/>
      <c r="AT508" s="112"/>
      <c r="AU508" s="107"/>
      <c r="AV508" s="108"/>
      <c r="AW508" s="108"/>
      <c r="AX508" s="113"/>
      <c r="AY508" s="92">
        <f t="shared" ref="AY508:AZ508" si="2943">RANDBETWEEN(1,10)/10</f>
        <v>0.5</v>
      </c>
      <c r="AZ508" s="92">
        <f t="shared" si="2943"/>
        <v>0.8</v>
      </c>
      <c r="BA508" s="93">
        <v>0.0</v>
      </c>
      <c r="BB508" s="93">
        <v>0.0</v>
      </c>
      <c r="BC508" s="94">
        <f>SUM(BC480,'ГОЧ'!$AY508)</f>
        <v>1209.4</v>
      </c>
      <c r="BD508" s="94">
        <f>SUM(BD480,'ГОЧ'!$AZ508)</f>
        <v>1211.3</v>
      </c>
      <c r="BE508" s="108"/>
      <c r="BF508" s="108"/>
    </row>
    <row r="509" ht="15.75" customHeight="1">
      <c r="A509" s="67">
        <f t="shared" si="2930"/>
        <v>46272</v>
      </c>
      <c r="B509" s="114" t="s">
        <v>12</v>
      </c>
      <c r="C509" s="115">
        <f t="shared" si="2931"/>
        <v>0</v>
      </c>
      <c r="D509" s="115">
        <v>0.0</v>
      </c>
      <c r="E509" s="116">
        <v>0.0</v>
      </c>
      <c r="F509" s="116">
        <v>0.0</v>
      </c>
      <c r="G509" s="116">
        <v>0.0</v>
      </c>
      <c r="H509" s="115">
        <v>0.0</v>
      </c>
      <c r="I509" s="116">
        <v>0.0</v>
      </c>
      <c r="J509" s="115">
        <v>0.0</v>
      </c>
      <c r="K509" s="116">
        <v>0.0</v>
      </c>
      <c r="L509" s="116">
        <v>0.0</v>
      </c>
      <c r="M509" s="115">
        <f t="shared" si="2933"/>
        <v>0</v>
      </c>
      <c r="N509" s="115">
        <v>0.0</v>
      </c>
      <c r="O509" s="116">
        <v>0.0</v>
      </c>
      <c r="P509" s="116">
        <v>0.0</v>
      </c>
      <c r="Q509" s="116">
        <v>0.0</v>
      </c>
      <c r="R509" s="116">
        <v>0.0</v>
      </c>
      <c r="S509" s="116">
        <v>0.0</v>
      </c>
      <c r="T509" s="116">
        <v>0.0</v>
      </c>
      <c r="U509" s="115">
        <v>0.0</v>
      </c>
      <c r="V509" s="115">
        <f t="shared" si="2936"/>
        <v>0</v>
      </c>
      <c r="W509" s="116">
        <v>0.0</v>
      </c>
      <c r="X509" s="116">
        <v>0.0</v>
      </c>
      <c r="Y509" s="116">
        <v>0.0</v>
      </c>
      <c r="Z509" s="116">
        <f t="shared" si="2938"/>
        <v>0</v>
      </c>
      <c r="AA509" s="116">
        <v>0.0</v>
      </c>
      <c r="AB509" s="116">
        <v>0.0</v>
      </c>
      <c r="AC509" s="117">
        <v>0.0</v>
      </c>
      <c r="AD509" s="118">
        <v>0.0</v>
      </c>
      <c r="AE509" s="118">
        <v>0.0</v>
      </c>
      <c r="AF509" s="118">
        <v>0.0</v>
      </c>
      <c r="AG509" s="119">
        <f t="shared" si="2940"/>
        <v>0</v>
      </c>
      <c r="AH509" s="117">
        <v>0.0</v>
      </c>
      <c r="AI509" s="118">
        <v>0.0</v>
      </c>
      <c r="AJ509" s="118">
        <v>0.0</v>
      </c>
      <c r="AK509" s="119">
        <f t="shared" si="2942"/>
        <v>0</v>
      </c>
      <c r="AL509" s="117"/>
      <c r="AM509" s="118"/>
      <c r="AN509" s="118"/>
      <c r="AO509" s="118"/>
      <c r="AP509" s="111"/>
      <c r="AQ509" s="117"/>
      <c r="AR509" s="118"/>
      <c r="AS509" s="118"/>
      <c r="AT509" s="120"/>
      <c r="AU509" s="117"/>
      <c r="AV509" s="118"/>
      <c r="AW509" s="118"/>
      <c r="AX509" s="121"/>
      <c r="AY509" s="122">
        <f t="shared" ref="AY509:BD509" si="2944">SUM(AY507:AY508)</f>
        <v>0.7</v>
      </c>
      <c r="AZ509" s="122">
        <f t="shared" si="2944"/>
        <v>1.1</v>
      </c>
      <c r="BA509" s="118">
        <f t="shared" si="2944"/>
        <v>0</v>
      </c>
      <c r="BB509" s="118">
        <f t="shared" si="2944"/>
        <v>0</v>
      </c>
      <c r="BC509" s="123">
        <f t="shared" si="2944"/>
        <v>2421.2</v>
      </c>
      <c r="BD509" s="123">
        <f t="shared" si="2944"/>
        <v>2423.8</v>
      </c>
      <c r="BE509" s="118"/>
      <c r="BF509" s="118"/>
    </row>
    <row r="510" ht="15.75" customHeight="1">
      <c r="A510" s="67">
        <f t="shared" si="2930"/>
        <v>46272</v>
      </c>
      <c r="B510" s="124" t="s">
        <v>14</v>
      </c>
      <c r="C510" s="96">
        <f t="shared" si="2931"/>
        <v>3</v>
      </c>
      <c r="D510" s="125">
        <f t="shared" ref="D510:L510" si="2945">RANDBETWEEN(0,2)</f>
        <v>1</v>
      </c>
      <c r="E510" s="125">
        <f t="shared" si="2945"/>
        <v>0</v>
      </c>
      <c r="F510" s="125">
        <f t="shared" si="2945"/>
        <v>2</v>
      </c>
      <c r="G510" s="125">
        <f t="shared" si="2945"/>
        <v>0</v>
      </c>
      <c r="H510" s="126">
        <f t="shared" si="2945"/>
        <v>2</v>
      </c>
      <c r="I510" s="127">
        <f t="shared" si="2945"/>
        <v>0</v>
      </c>
      <c r="J510" s="128">
        <f t="shared" si="2945"/>
        <v>0</v>
      </c>
      <c r="K510" s="130">
        <f t="shared" si="2945"/>
        <v>1</v>
      </c>
      <c r="L510" s="130">
        <f t="shared" si="2945"/>
        <v>0</v>
      </c>
      <c r="M510" s="102">
        <f t="shared" si="2933"/>
        <v>38</v>
      </c>
      <c r="N510" s="125">
        <f t="shared" ref="N510:T510" si="2946">RANDBETWEEN(0,10)</f>
        <v>8</v>
      </c>
      <c r="O510" s="125">
        <f t="shared" si="2946"/>
        <v>4</v>
      </c>
      <c r="P510" s="125">
        <f t="shared" si="2946"/>
        <v>6</v>
      </c>
      <c r="Q510" s="125">
        <f t="shared" si="2946"/>
        <v>9</v>
      </c>
      <c r="R510" s="125">
        <f t="shared" si="2946"/>
        <v>2</v>
      </c>
      <c r="S510" s="125">
        <f t="shared" si="2946"/>
        <v>1</v>
      </c>
      <c r="T510" s="125">
        <f t="shared" si="2946"/>
        <v>8</v>
      </c>
      <c r="U510" s="103">
        <f t="shared" ref="U510:U511" si="2953">RANDBETWEEN(10,30)</f>
        <v>20</v>
      </c>
      <c r="V510" s="131">
        <f t="shared" si="2936"/>
        <v>5</v>
      </c>
      <c r="W510" s="125">
        <f t="shared" ref="W510:Y510" si="2947">RANDBETWEEN(0,2)</f>
        <v>1</v>
      </c>
      <c r="X510" s="125">
        <f t="shared" si="2947"/>
        <v>2</v>
      </c>
      <c r="Y510" s="125">
        <f t="shared" si="2947"/>
        <v>2</v>
      </c>
      <c r="Z510" s="132">
        <f t="shared" ref="Z510:Z513" si="2955">SUM(AA510:AB510)</f>
        <v>2</v>
      </c>
      <c r="AA510" s="133">
        <f t="shared" ref="AA510:AF510" si="2948">RANDBETWEEN(0,2)</f>
        <v>0</v>
      </c>
      <c r="AB510" s="133">
        <f t="shared" si="2948"/>
        <v>2</v>
      </c>
      <c r="AC510" s="134">
        <f t="shared" si="2948"/>
        <v>1</v>
      </c>
      <c r="AD510" s="134">
        <f t="shared" si="2948"/>
        <v>1</v>
      </c>
      <c r="AE510" s="134">
        <f t="shared" si="2948"/>
        <v>0</v>
      </c>
      <c r="AF510" s="134">
        <f t="shared" si="2948"/>
        <v>1</v>
      </c>
      <c r="AG510" s="135">
        <f t="shared" si="2940"/>
        <v>3</v>
      </c>
      <c r="AH510" s="136">
        <f t="shared" ref="AH510:AJ510" si="2949">RANDBETWEEN(1,10)</f>
        <v>6</v>
      </c>
      <c r="AI510" s="134">
        <f t="shared" si="2949"/>
        <v>5</v>
      </c>
      <c r="AJ510" s="134">
        <f t="shared" si="2949"/>
        <v>10</v>
      </c>
      <c r="AK510" s="137">
        <f t="shared" si="2942"/>
        <v>21</v>
      </c>
      <c r="AL510" s="134"/>
      <c r="AM510" s="134"/>
      <c r="AN510" s="134"/>
      <c r="AO510" s="134"/>
      <c r="AP510" s="111"/>
      <c r="AQ510" s="136"/>
      <c r="AR510" s="134"/>
      <c r="AS510" s="134"/>
      <c r="AT510" s="120"/>
      <c r="AU510" s="136"/>
      <c r="AV510" s="134"/>
      <c r="AW510" s="134"/>
      <c r="AX510" s="121"/>
      <c r="AY510" s="92">
        <f t="shared" ref="AY510:AZ510" si="2950">RANDBETWEEN(1,10)/10</f>
        <v>0.7</v>
      </c>
      <c r="AZ510" s="92">
        <f t="shared" si="2950"/>
        <v>0.3</v>
      </c>
      <c r="BA510" s="93">
        <v>0.0</v>
      </c>
      <c r="BB510" s="93">
        <v>0.0</v>
      </c>
      <c r="BC510" s="94">
        <f>SUM(BC482,'ГОЧ'!$AY510)</f>
        <v>1208.9</v>
      </c>
      <c r="BD510" s="94">
        <f>SUM(BD482,'ГОЧ'!$AZ510)</f>
        <v>1207.6</v>
      </c>
      <c r="BE510" s="108"/>
      <c r="BF510" s="108"/>
    </row>
    <row r="511" ht="15.75" customHeight="1">
      <c r="A511" s="67">
        <f t="shared" si="2930"/>
        <v>46272</v>
      </c>
      <c r="B511" s="138" t="s">
        <v>16</v>
      </c>
      <c r="C511" s="139">
        <f t="shared" si="2931"/>
        <v>1</v>
      </c>
      <c r="D511" s="97">
        <f t="shared" ref="D511:L511" si="2951">RANDBETWEEN(0,2)</f>
        <v>0</v>
      </c>
      <c r="E511" s="97">
        <f t="shared" si="2951"/>
        <v>2</v>
      </c>
      <c r="F511" s="97">
        <f t="shared" si="2951"/>
        <v>1</v>
      </c>
      <c r="G511" s="97">
        <f t="shared" si="2951"/>
        <v>0</v>
      </c>
      <c r="H511" s="98">
        <f t="shared" si="2951"/>
        <v>2</v>
      </c>
      <c r="I511" s="99">
        <f t="shared" si="2951"/>
        <v>2</v>
      </c>
      <c r="J511" s="100">
        <f t="shared" si="2951"/>
        <v>2</v>
      </c>
      <c r="K511" s="101">
        <f t="shared" si="2951"/>
        <v>1</v>
      </c>
      <c r="L511" s="101">
        <f t="shared" si="2951"/>
        <v>0</v>
      </c>
      <c r="M511" s="140">
        <f t="shared" si="2933"/>
        <v>32</v>
      </c>
      <c r="N511" s="97">
        <f t="shared" ref="N511:T511" si="2952">RANDBETWEEN(0,10)</f>
        <v>5</v>
      </c>
      <c r="O511" s="97">
        <f t="shared" si="2952"/>
        <v>3</v>
      </c>
      <c r="P511" s="97">
        <f t="shared" si="2952"/>
        <v>2</v>
      </c>
      <c r="Q511" s="97">
        <f t="shared" si="2952"/>
        <v>7</v>
      </c>
      <c r="R511" s="97">
        <f t="shared" si="2952"/>
        <v>3</v>
      </c>
      <c r="S511" s="97">
        <f t="shared" si="2952"/>
        <v>6</v>
      </c>
      <c r="T511" s="97">
        <f t="shared" si="2952"/>
        <v>6</v>
      </c>
      <c r="U511" s="103">
        <f t="shared" si="2953"/>
        <v>12</v>
      </c>
      <c r="V511" s="141">
        <f t="shared" si="2936"/>
        <v>6</v>
      </c>
      <c r="W511" s="97">
        <f t="shared" ref="W511:Y511" si="2954">RANDBETWEEN(0,2)</f>
        <v>2</v>
      </c>
      <c r="X511" s="97">
        <f t="shared" si="2954"/>
        <v>2</v>
      </c>
      <c r="Y511" s="97">
        <f t="shared" si="2954"/>
        <v>2</v>
      </c>
      <c r="Z511" s="142">
        <f t="shared" si="2955"/>
        <v>1</v>
      </c>
      <c r="AA511" s="143">
        <f t="shared" ref="AA511:AF511" si="2956">RANDBETWEEN(0,2)</f>
        <v>0</v>
      </c>
      <c r="AB511" s="143">
        <f t="shared" si="2956"/>
        <v>1</v>
      </c>
      <c r="AC511" s="144">
        <f t="shared" si="2956"/>
        <v>0</v>
      </c>
      <c r="AD511" s="145">
        <f t="shared" si="2956"/>
        <v>0</v>
      </c>
      <c r="AE511" s="145">
        <f t="shared" si="2956"/>
        <v>1</v>
      </c>
      <c r="AF511" s="145">
        <f t="shared" si="2956"/>
        <v>2</v>
      </c>
      <c r="AG511" s="146">
        <f t="shared" si="2940"/>
        <v>3</v>
      </c>
      <c r="AH511" s="144">
        <f t="shared" ref="AH511:AJ511" si="2957">RANDBETWEEN(1,10)</f>
        <v>3</v>
      </c>
      <c r="AI511" s="145">
        <f t="shared" si="2957"/>
        <v>10</v>
      </c>
      <c r="AJ511" s="145">
        <f t="shared" si="2957"/>
        <v>2</v>
      </c>
      <c r="AK511" s="147">
        <f t="shared" si="2942"/>
        <v>15</v>
      </c>
      <c r="AL511" s="144"/>
      <c r="AM511" s="145"/>
      <c r="AN511" s="145"/>
      <c r="AO511" s="145"/>
      <c r="AP511" s="148"/>
      <c r="AQ511" s="144"/>
      <c r="AR511" s="145"/>
      <c r="AS511" s="145"/>
      <c r="AT511" s="149"/>
      <c r="AU511" s="144"/>
      <c r="AV511" s="145"/>
      <c r="AW511" s="145"/>
      <c r="AX511" s="150"/>
      <c r="AY511" s="92">
        <f t="shared" ref="AY511:AZ511" si="2958">RANDBETWEEN(1,10)/10</f>
        <v>0.8</v>
      </c>
      <c r="AZ511" s="92">
        <f t="shared" si="2958"/>
        <v>0.3</v>
      </c>
      <c r="BA511" s="93">
        <v>0.0</v>
      </c>
      <c r="BB511" s="93">
        <v>0.0</v>
      </c>
      <c r="BC511" s="94">
        <f>SUM(BC483,'ГОЧ'!$AY511)</f>
        <v>1209.5</v>
      </c>
      <c r="BD511" s="94">
        <f>SUM(BD483,'ГОЧ'!$AZ511)</f>
        <v>1210.2</v>
      </c>
      <c r="BE511" s="108"/>
      <c r="BF511" s="108"/>
    </row>
    <row r="512" ht="15.75" customHeight="1">
      <c r="A512" s="67">
        <f t="shared" si="2930"/>
        <v>46272</v>
      </c>
      <c r="B512" s="114" t="s">
        <v>18</v>
      </c>
      <c r="C512" s="115">
        <f t="shared" si="2931"/>
        <v>4</v>
      </c>
      <c r="D512" s="115">
        <f t="shared" ref="D512:L512" si="2959">SUM(D510:D511)</f>
        <v>1</v>
      </c>
      <c r="E512" s="116">
        <f t="shared" si="2959"/>
        <v>2</v>
      </c>
      <c r="F512" s="116">
        <f t="shared" si="2959"/>
        <v>3</v>
      </c>
      <c r="G512" s="116">
        <f t="shared" si="2959"/>
        <v>0</v>
      </c>
      <c r="H512" s="115">
        <f t="shared" si="2959"/>
        <v>4</v>
      </c>
      <c r="I512" s="116">
        <f t="shared" si="2959"/>
        <v>2</v>
      </c>
      <c r="J512" s="115">
        <f t="shared" si="2959"/>
        <v>2</v>
      </c>
      <c r="K512" s="116">
        <f t="shared" si="2959"/>
        <v>2</v>
      </c>
      <c r="L512" s="116">
        <f t="shared" si="2959"/>
        <v>0</v>
      </c>
      <c r="M512" s="115">
        <f t="shared" si="2933"/>
        <v>65</v>
      </c>
      <c r="N512" s="115">
        <f t="shared" ref="N512:Q512" si="2960">SUM(N510:N511)</f>
        <v>13</v>
      </c>
      <c r="O512" s="116">
        <f t="shared" si="2960"/>
        <v>7</v>
      </c>
      <c r="P512" s="116">
        <f t="shared" si="2960"/>
        <v>8</v>
      </c>
      <c r="Q512" s="116">
        <f t="shared" si="2960"/>
        <v>16</v>
      </c>
      <c r="R512" s="116">
        <v>0.0</v>
      </c>
      <c r="S512" s="116">
        <f t="shared" ref="S512:U512" si="2961">SUM(S510:S511)</f>
        <v>7</v>
      </c>
      <c r="T512" s="116">
        <f t="shared" si="2961"/>
        <v>14</v>
      </c>
      <c r="U512" s="115">
        <f t="shared" si="2961"/>
        <v>32</v>
      </c>
      <c r="V512" s="115">
        <f t="shared" si="2936"/>
        <v>11</v>
      </c>
      <c r="W512" s="116">
        <f t="shared" ref="W512:Y512" si="2962">SUM(W510:W511)</f>
        <v>3</v>
      </c>
      <c r="X512" s="116">
        <f t="shared" si="2962"/>
        <v>4</v>
      </c>
      <c r="Y512" s="116">
        <f t="shared" si="2962"/>
        <v>4</v>
      </c>
      <c r="Z512" s="116">
        <f t="shared" si="2955"/>
        <v>3</v>
      </c>
      <c r="AA512" s="116">
        <f t="shared" ref="AA512:AF512" si="2963">SUM(AA510:AA511)</f>
        <v>0</v>
      </c>
      <c r="AB512" s="116">
        <f t="shared" si="2963"/>
        <v>3</v>
      </c>
      <c r="AC512" s="118">
        <f t="shared" si="2963"/>
        <v>1</v>
      </c>
      <c r="AD512" s="118">
        <f t="shared" si="2963"/>
        <v>1</v>
      </c>
      <c r="AE512" s="118">
        <f t="shared" si="2963"/>
        <v>1</v>
      </c>
      <c r="AF512" s="118">
        <f t="shared" si="2963"/>
        <v>3</v>
      </c>
      <c r="AG512" s="117">
        <f t="shared" si="2940"/>
        <v>6</v>
      </c>
      <c r="AH512" s="117">
        <f t="shared" ref="AH512:AJ512" si="2964">SUM(AH510:AH511)</f>
        <v>9</v>
      </c>
      <c r="AI512" s="118">
        <f t="shared" si="2964"/>
        <v>15</v>
      </c>
      <c r="AJ512" s="118">
        <f t="shared" si="2964"/>
        <v>12</v>
      </c>
      <c r="AK512" s="117">
        <f t="shared" si="2942"/>
        <v>36</v>
      </c>
      <c r="AL512" s="118"/>
      <c r="AM512" s="118"/>
      <c r="AN512" s="118"/>
      <c r="AO512" s="118"/>
      <c r="AP512" s="151"/>
      <c r="AQ512" s="117"/>
      <c r="AR512" s="118"/>
      <c r="AS512" s="118"/>
      <c r="AT512" s="152"/>
      <c r="AU512" s="117"/>
      <c r="AV512" s="118"/>
      <c r="AW512" s="118"/>
      <c r="AX512" s="153"/>
      <c r="AY512" s="122">
        <f t="shared" ref="AY512:BD512" si="2965">SUM(AY510:AY511)</f>
        <v>1.5</v>
      </c>
      <c r="AZ512" s="122">
        <f t="shared" si="2965"/>
        <v>0.6</v>
      </c>
      <c r="BA512" s="118">
        <f t="shared" si="2965"/>
        <v>0</v>
      </c>
      <c r="BB512" s="118">
        <f t="shared" si="2965"/>
        <v>0</v>
      </c>
      <c r="BC512" s="123">
        <f t="shared" si="2965"/>
        <v>2418.4</v>
      </c>
      <c r="BD512" s="123">
        <f t="shared" si="2965"/>
        <v>2417.8</v>
      </c>
      <c r="BE512" s="154" t="str">
        <f t="shared" ref="BE512:BF512" si="2966">TEXTJOIN(", ",TRUE,BE510:BE511)</f>
        <v/>
      </c>
      <c r="BF512" s="154" t="str">
        <f t="shared" si="2966"/>
        <v/>
      </c>
    </row>
    <row r="513" ht="15.75" customHeight="1">
      <c r="A513" s="67">
        <f t="shared" si="2930"/>
        <v>46272</v>
      </c>
      <c r="B513" s="114" t="s">
        <v>20</v>
      </c>
      <c r="C513" s="115">
        <f t="shared" si="2931"/>
        <v>5</v>
      </c>
      <c r="D513" s="115">
        <v>3.0</v>
      </c>
      <c r="E513" s="116">
        <v>0.0</v>
      </c>
      <c r="F513" s="116">
        <v>2.0</v>
      </c>
      <c r="G513" s="116">
        <v>2.0</v>
      </c>
      <c r="H513" s="115">
        <v>0.0</v>
      </c>
      <c r="I513" s="116">
        <v>0.0</v>
      </c>
      <c r="J513" s="115">
        <v>1.0</v>
      </c>
      <c r="K513" s="116">
        <v>1.0</v>
      </c>
      <c r="L513" s="116">
        <v>0.0</v>
      </c>
      <c r="M513" s="115">
        <f t="shared" si="2933"/>
        <v>38</v>
      </c>
      <c r="N513" s="115">
        <v>0.0</v>
      </c>
      <c r="O513" s="116">
        <v>0.0</v>
      </c>
      <c r="P513" s="116">
        <v>0.0</v>
      </c>
      <c r="Q513" s="116">
        <v>9.0</v>
      </c>
      <c r="R513" s="116">
        <v>0.0</v>
      </c>
      <c r="S513" s="116">
        <v>0.0</v>
      </c>
      <c r="T513" s="116">
        <v>29.0</v>
      </c>
      <c r="U513" s="115">
        <v>7.0</v>
      </c>
      <c r="V513" s="115">
        <f t="shared" ref="V513:V532" si="2970">W513+X513+Y513</f>
        <v>0</v>
      </c>
      <c r="W513" s="116">
        <v>0.0</v>
      </c>
      <c r="X513" s="116">
        <v>0.0</v>
      </c>
      <c r="Y513" s="116">
        <v>0.0</v>
      </c>
      <c r="Z513" s="116">
        <f t="shared" si="2955"/>
        <v>0</v>
      </c>
      <c r="AA513" s="116">
        <v>0.0</v>
      </c>
      <c r="AB513" s="116">
        <v>0.0</v>
      </c>
      <c r="AC513" s="117">
        <v>0.0</v>
      </c>
      <c r="AD513" s="118">
        <v>1.0</v>
      </c>
      <c r="AE513" s="118">
        <v>0.0</v>
      </c>
      <c r="AF513" s="118">
        <v>0.0</v>
      </c>
      <c r="AG513" s="119">
        <f t="shared" si="2940"/>
        <v>1</v>
      </c>
      <c r="AH513" s="117">
        <v>6.0</v>
      </c>
      <c r="AI513" s="118">
        <v>5.0</v>
      </c>
      <c r="AJ513" s="118">
        <v>0.0</v>
      </c>
      <c r="AK513" s="119">
        <f t="shared" si="2942"/>
        <v>11</v>
      </c>
      <c r="AL513" s="117"/>
      <c r="AM513" s="118"/>
      <c r="AN513" s="118"/>
      <c r="AO513" s="118"/>
      <c r="AP513" s="111"/>
      <c r="AQ513" s="117"/>
      <c r="AR513" s="118"/>
      <c r="AS513" s="118"/>
      <c r="AT513" s="120"/>
      <c r="AU513" s="117"/>
      <c r="AV513" s="118"/>
      <c r="AW513" s="118"/>
      <c r="AX513" s="121"/>
      <c r="AY513" s="122">
        <f t="shared" ref="AY513:AZ513" si="2967">RANDBETWEEN(1,10)</f>
        <v>2</v>
      </c>
      <c r="AZ513" s="122">
        <f t="shared" si="2967"/>
        <v>10</v>
      </c>
      <c r="BA513" s="118">
        <v>2.0</v>
      </c>
      <c r="BB513" s="118">
        <v>0.0</v>
      </c>
      <c r="BC513" s="123">
        <v>1.0</v>
      </c>
      <c r="BD513" s="123">
        <v>2.0</v>
      </c>
      <c r="BE513" s="118" t="s">
        <v>157</v>
      </c>
      <c r="BF513" s="118"/>
    </row>
    <row r="514" ht="15.75" customHeight="1">
      <c r="A514" s="67">
        <f t="shared" si="2930"/>
        <v>46272</v>
      </c>
      <c r="B514" s="124" t="s">
        <v>21</v>
      </c>
      <c r="C514" s="155">
        <f t="shared" si="2931"/>
        <v>1</v>
      </c>
      <c r="D514" s="125">
        <f t="shared" ref="D514:L514" si="2968">RANDBETWEEN(0,2)</f>
        <v>0</v>
      </c>
      <c r="E514" s="125">
        <f t="shared" si="2968"/>
        <v>1</v>
      </c>
      <c r="F514" s="125">
        <f t="shared" si="2968"/>
        <v>1</v>
      </c>
      <c r="G514" s="125">
        <f t="shared" si="2968"/>
        <v>0</v>
      </c>
      <c r="H514" s="126">
        <f t="shared" si="2968"/>
        <v>1</v>
      </c>
      <c r="I514" s="127">
        <f t="shared" si="2968"/>
        <v>0</v>
      </c>
      <c r="J514" s="128">
        <f t="shared" si="2968"/>
        <v>1</v>
      </c>
      <c r="K514" s="130">
        <f t="shared" si="2968"/>
        <v>2</v>
      </c>
      <c r="L514" s="130">
        <f t="shared" si="2968"/>
        <v>1</v>
      </c>
      <c r="M514" s="102">
        <f t="shared" si="2933"/>
        <v>26</v>
      </c>
      <c r="N514" s="125">
        <f t="shared" ref="N514:T514" si="2969">RANDBETWEEN(0,10)</f>
        <v>0</v>
      </c>
      <c r="O514" s="125">
        <f t="shared" si="2969"/>
        <v>2</v>
      </c>
      <c r="P514" s="125">
        <f t="shared" si="2969"/>
        <v>4</v>
      </c>
      <c r="Q514" s="125">
        <f t="shared" si="2969"/>
        <v>8</v>
      </c>
      <c r="R514" s="125">
        <f t="shared" si="2969"/>
        <v>5</v>
      </c>
      <c r="S514" s="125">
        <f t="shared" si="2969"/>
        <v>6</v>
      </c>
      <c r="T514" s="125">
        <f t="shared" si="2969"/>
        <v>1</v>
      </c>
      <c r="U514" s="103">
        <f t="shared" ref="U514:U518" si="2977">RANDBETWEEN(10,30)</f>
        <v>14</v>
      </c>
      <c r="V514" s="104">
        <f t="shared" si="2970"/>
        <v>4</v>
      </c>
      <c r="W514" s="125">
        <f t="shared" ref="W514:Y514" si="2971">RANDBETWEEN(0,2)</f>
        <v>2</v>
      </c>
      <c r="X514" s="125">
        <f t="shared" si="2971"/>
        <v>1</v>
      </c>
      <c r="Y514" s="125">
        <f t="shared" si="2971"/>
        <v>1</v>
      </c>
      <c r="Z514" s="105">
        <f t="shared" ref="Z514:Z531" si="2979">AA514+AB514</f>
        <v>3</v>
      </c>
      <c r="AA514" s="133">
        <f t="shared" ref="AA514:AF514" si="2972">RANDBETWEEN(0,2)</f>
        <v>1</v>
      </c>
      <c r="AB514" s="133">
        <f t="shared" si="2972"/>
        <v>2</v>
      </c>
      <c r="AC514" s="136">
        <f t="shared" si="2972"/>
        <v>1</v>
      </c>
      <c r="AD514" s="134">
        <f t="shared" si="2972"/>
        <v>2</v>
      </c>
      <c r="AE514" s="134">
        <f t="shared" si="2972"/>
        <v>2</v>
      </c>
      <c r="AF514" s="134">
        <f t="shared" si="2972"/>
        <v>1</v>
      </c>
      <c r="AG514" s="156">
        <f t="shared" si="2940"/>
        <v>6</v>
      </c>
      <c r="AH514" s="136">
        <f t="shared" ref="AH514:AJ514" si="2973">RANDBETWEEN(1,10)</f>
        <v>10</v>
      </c>
      <c r="AI514" s="134">
        <f t="shared" si="2973"/>
        <v>5</v>
      </c>
      <c r="AJ514" s="134">
        <f t="shared" si="2973"/>
        <v>10</v>
      </c>
      <c r="AK514" s="137">
        <f t="shared" si="2942"/>
        <v>25</v>
      </c>
      <c r="AL514" s="136"/>
      <c r="AM514" s="134"/>
      <c r="AN514" s="134"/>
      <c r="AO514" s="134"/>
      <c r="AP514" s="111"/>
      <c r="AQ514" s="136"/>
      <c r="AR514" s="134"/>
      <c r="AS514" s="134"/>
      <c r="AT514" s="120"/>
      <c r="AU514" s="136"/>
      <c r="AV514" s="134"/>
      <c r="AW514" s="134"/>
      <c r="AX514" s="121"/>
      <c r="AY514" s="92">
        <f t="shared" ref="AY514:AZ514" si="2974">RANDBETWEEN(1,10)/10</f>
        <v>0.5</v>
      </c>
      <c r="AZ514" s="92">
        <f t="shared" si="2974"/>
        <v>0.7</v>
      </c>
      <c r="BA514" s="93">
        <v>1.0</v>
      </c>
      <c r="BB514" s="93">
        <v>0.0</v>
      </c>
      <c r="BC514" s="94">
        <f>SUM(BC486,'ГОЧ'!$AY514)</f>
        <v>1210.9</v>
      </c>
      <c r="BD514" s="94">
        <f>SUM(BD486,'ГОЧ'!$AZ514)</f>
        <v>1209.3</v>
      </c>
      <c r="BE514" s="108" t="s">
        <v>162</v>
      </c>
      <c r="BF514" s="108"/>
    </row>
    <row r="515" ht="15.75" customHeight="1">
      <c r="A515" s="67">
        <f t="shared" si="2930"/>
        <v>46272</v>
      </c>
      <c r="B515" s="138" t="s">
        <v>23</v>
      </c>
      <c r="C515" s="157">
        <f t="shared" si="2931"/>
        <v>3</v>
      </c>
      <c r="D515" s="97">
        <f t="shared" ref="D515:L515" si="2975">RANDBETWEEN(0,2)</f>
        <v>2</v>
      </c>
      <c r="E515" s="97">
        <f t="shared" si="2975"/>
        <v>0</v>
      </c>
      <c r="F515" s="97">
        <f t="shared" si="2975"/>
        <v>1</v>
      </c>
      <c r="G515" s="97">
        <f t="shared" si="2975"/>
        <v>1</v>
      </c>
      <c r="H515" s="98">
        <f t="shared" si="2975"/>
        <v>2</v>
      </c>
      <c r="I515" s="99">
        <f t="shared" si="2975"/>
        <v>1</v>
      </c>
      <c r="J515" s="100">
        <f t="shared" si="2975"/>
        <v>2</v>
      </c>
      <c r="K515" s="101">
        <f t="shared" si="2975"/>
        <v>1</v>
      </c>
      <c r="L515" s="101">
        <f t="shared" si="2975"/>
        <v>2</v>
      </c>
      <c r="M515" s="140">
        <f t="shared" si="2933"/>
        <v>50</v>
      </c>
      <c r="N515" s="97">
        <f t="shared" ref="N515:T515" si="2976">RANDBETWEEN(0,10)</f>
        <v>6</v>
      </c>
      <c r="O515" s="97">
        <f t="shared" si="2976"/>
        <v>0</v>
      </c>
      <c r="P515" s="97">
        <f t="shared" si="2976"/>
        <v>10</v>
      </c>
      <c r="Q515" s="97">
        <f t="shared" si="2976"/>
        <v>7</v>
      </c>
      <c r="R515" s="97">
        <f t="shared" si="2976"/>
        <v>8</v>
      </c>
      <c r="S515" s="97">
        <f t="shared" si="2976"/>
        <v>10</v>
      </c>
      <c r="T515" s="97">
        <f t="shared" si="2976"/>
        <v>9</v>
      </c>
      <c r="U515" s="103">
        <f t="shared" si="2977"/>
        <v>15</v>
      </c>
      <c r="V515" s="158">
        <f t="shared" si="2970"/>
        <v>2</v>
      </c>
      <c r="W515" s="97">
        <f t="shared" ref="W515:Y515" si="2978">RANDBETWEEN(0,2)</f>
        <v>1</v>
      </c>
      <c r="X515" s="97">
        <f t="shared" si="2978"/>
        <v>1</v>
      </c>
      <c r="Y515" s="97">
        <f t="shared" si="2978"/>
        <v>0</v>
      </c>
      <c r="Z515" s="159">
        <f t="shared" si="2979"/>
        <v>3</v>
      </c>
      <c r="AA515" s="143">
        <f t="shared" ref="AA515:AF515" si="2980">RANDBETWEEN(0,2)</f>
        <v>2</v>
      </c>
      <c r="AB515" s="143">
        <f t="shared" si="2980"/>
        <v>1</v>
      </c>
      <c r="AC515" s="144">
        <f t="shared" si="2980"/>
        <v>1</v>
      </c>
      <c r="AD515" s="145">
        <f t="shared" si="2980"/>
        <v>1</v>
      </c>
      <c r="AE515" s="145">
        <f t="shared" si="2980"/>
        <v>0</v>
      </c>
      <c r="AF515" s="145">
        <f t="shared" si="2980"/>
        <v>1</v>
      </c>
      <c r="AG515" s="160">
        <f t="shared" si="2940"/>
        <v>3</v>
      </c>
      <c r="AH515" s="144">
        <f t="shared" ref="AH515:AJ515" si="2981">RANDBETWEEN(1,10)</f>
        <v>8</v>
      </c>
      <c r="AI515" s="145">
        <f t="shared" si="2981"/>
        <v>6</v>
      </c>
      <c r="AJ515" s="145">
        <f t="shared" si="2981"/>
        <v>5</v>
      </c>
      <c r="AK515" s="147">
        <f t="shared" si="2942"/>
        <v>19</v>
      </c>
      <c r="AL515" s="144"/>
      <c r="AM515" s="145"/>
      <c r="AN515" s="145"/>
      <c r="AO515" s="145"/>
      <c r="AP515" s="148"/>
      <c r="AQ515" s="144"/>
      <c r="AR515" s="145"/>
      <c r="AS515" s="145"/>
      <c r="AT515" s="149"/>
      <c r="AU515" s="144"/>
      <c r="AV515" s="145"/>
      <c r="AW515" s="145"/>
      <c r="AX515" s="150"/>
      <c r="AY515" s="92">
        <f t="shared" ref="AY515:AZ515" si="2982">RANDBETWEEN(1,10)/10</f>
        <v>0.7</v>
      </c>
      <c r="AZ515" s="92">
        <f t="shared" si="2982"/>
        <v>0.3</v>
      </c>
      <c r="BA515" s="93">
        <v>1.0</v>
      </c>
      <c r="BB515" s="93">
        <v>2.0</v>
      </c>
      <c r="BC515" s="94">
        <f>SUM(BC487,'ГОЧ'!$AY515)</f>
        <v>1211.7</v>
      </c>
      <c r="BD515" s="94">
        <f>SUM(BD487,'ГОЧ'!$AZ515)</f>
        <v>1209.5</v>
      </c>
      <c r="BE515" s="108" t="s">
        <v>165</v>
      </c>
      <c r="BF515" s="108" t="s">
        <v>166</v>
      </c>
    </row>
    <row r="516" ht="15.75" customHeight="1">
      <c r="A516" s="67">
        <f t="shared" si="2930"/>
        <v>46272</v>
      </c>
      <c r="B516" s="138" t="s">
        <v>25</v>
      </c>
      <c r="C516" s="157">
        <f t="shared" si="2931"/>
        <v>2</v>
      </c>
      <c r="D516" s="97">
        <f t="shared" ref="D516:L516" si="2983">RANDBETWEEN(0,2)</f>
        <v>2</v>
      </c>
      <c r="E516" s="97">
        <f t="shared" si="2983"/>
        <v>2</v>
      </c>
      <c r="F516" s="97">
        <f t="shared" si="2983"/>
        <v>0</v>
      </c>
      <c r="G516" s="97">
        <f t="shared" si="2983"/>
        <v>1</v>
      </c>
      <c r="H516" s="98">
        <f t="shared" si="2983"/>
        <v>2</v>
      </c>
      <c r="I516" s="99">
        <f t="shared" si="2983"/>
        <v>1</v>
      </c>
      <c r="J516" s="100">
        <f t="shared" si="2983"/>
        <v>1</v>
      </c>
      <c r="K516" s="101">
        <f t="shared" si="2983"/>
        <v>1</v>
      </c>
      <c r="L516" s="101">
        <f t="shared" si="2983"/>
        <v>1</v>
      </c>
      <c r="M516" s="140">
        <f t="shared" si="2933"/>
        <v>42</v>
      </c>
      <c r="N516" s="97">
        <f t="shared" ref="N516:T516" si="2984">RANDBETWEEN(0,10)</f>
        <v>10</v>
      </c>
      <c r="O516" s="97">
        <f t="shared" si="2984"/>
        <v>2</v>
      </c>
      <c r="P516" s="97">
        <f t="shared" si="2984"/>
        <v>8</v>
      </c>
      <c r="Q516" s="97">
        <f t="shared" si="2984"/>
        <v>3</v>
      </c>
      <c r="R516" s="97">
        <f t="shared" si="2984"/>
        <v>7</v>
      </c>
      <c r="S516" s="97">
        <f t="shared" si="2984"/>
        <v>4</v>
      </c>
      <c r="T516" s="97">
        <f t="shared" si="2984"/>
        <v>8</v>
      </c>
      <c r="U516" s="103">
        <f t="shared" si="2977"/>
        <v>29</v>
      </c>
      <c r="V516" s="158">
        <f t="shared" si="2970"/>
        <v>5</v>
      </c>
      <c r="W516" s="97">
        <f t="shared" ref="W516:Y516" si="2985">RANDBETWEEN(0,2)</f>
        <v>1</v>
      </c>
      <c r="X516" s="97">
        <f t="shared" si="2985"/>
        <v>2</v>
      </c>
      <c r="Y516" s="97">
        <f t="shared" si="2985"/>
        <v>2</v>
      </c>
      <c r="Z516" s="159">
        <f t="shared" si="2979"/>
        <v>3</v>
      </c>
      <c r="AA516" s="106">
        <f t="shared" ref="AA516:AF516" si="2986">RANDBETWEEN(0,2)</f>
        <v>1</v>
      </c>
      <c r="AB516" s="106">
        <f t="shared" si="2986"/>
        <v>2</v>
      </c>
      <c r="AC516" s="107">
        <f t="shared" si="2986"/>
        <v>0</v>
      </c>
      <c r="AD516" s="108">
        <f t="shared" si="2986"/>
        <v>1</v>
      </c>
      <c r="AE516" s="108">
        <f t="shared" si="2986"/>
        <v>2</v>
      </c>
      <c r="AF516" s="108">
        <f t="shared" si="2986"/>
        <v>1</v>
      </c>
      <c r="AG516" s="160">
        <f t="shared" si="2940"/>
        <v>4</v>
      </c>
      <c r="AH516" s="107">
        <f t="shared" ref="AH516:AJ516" si="2987">RANDBETWEEN(1,10)</f>
        <v>8</v>
      </c>
      <c r="AI516" s="108">
        <f t="shared" si="2987"/>
        <v>4</v>
      </c>
      <c r="AJ516" s="108">
        <f t="shared" si="2987"/>
        <v>5</v>
      </c>
      <c r="AK516" s="147">
        <f t="shared" si="2942"/>
        <v>17</v>
      </c>
      <c r="AL516" s="107"/>
      <c r="AM516" s="108"/>
      <c r="AN516" s="108"/>
      <c r="AO516" s="108"/>
      <c r="AP516" s="148"/>
      <c r="AQ516" s="107"/>
      <c r="AR516" s="108"/>
      <c r="AS516" s="108"/>
      <c r="AT516" s="149"/>
      <c r="AU516" s="107"/>
      <c r="AV516" s="108"/>
      <c r="AW516" s="108"/>
      <c r="AX516" s="150"/>
      <c r="AY516" s="92">
        <f t="shared" ref="AY516:AZ516" si="2988">RANDBETWEEN(1,10)/10</f>
        <v>1</v>
      </c>
      <c r="AZ516" s="92">
        <f t="shared" si="2988"/>
        <v>0.5</v>
      </c>
      <c r="BA516" s="93">
        <v>0.0</v>
      </c>
      <c r="BB516" s="93">
        <v>0.0</v>
      </c>
      <c r="BC516" s="94">
        <f>SUM(BC488,'ГОЧ'!$AY516)</f>
        <v>1210.1</v>
      </c>
      <c r="BD516" s="94">
        <f>SUM(BD488,'ГОЧ'!$AZ516)</f>
        <v>1209.2</v>
      </c>
      <c r="BE516" s="108"/>
      <c r="BF516" s="108"/>
    </row>
    <row r="517" ht="15.75" customHeight="1">
      <c r="A517" s="67">
        <f t="shared" si="2930"/>
        <v>46272</v>
      </c>
      <c r="B517" s="138" t="s">
        <v>26</v>
      </c>
      <c r="C517" s="157">
        <f t="shared" si="2931"/>
        <v>2</v>
      </c>
      <c r="D517" s="97">
        <f t="shared" ref="D517:L517" si="2989">RANDBETWEEN(0,2)</f>
        <v>2</v>
      </c>
      <c r="E517" s="97">
        <f t="shared" si="2989"/>
        <v>2</v>
      </c>
      <c r="F517" s="97">
        <f t="shared" si="2989"/>
        <v>0</v>
      </c>
      <c r="G517" s="97">
        <f t="shared" si="2989"/>
        <v>2</v>
      </c>
      <c r="H517" s="98">
        <f t="shared" si="2989"/>
        <v>0</v>
      </c>
      <c r="I517" s="99">
        <f t="shared" si="2989"/>
        <v>2</v>
      </c>
      <c r="J517" s="100">
        <f t="shared" si="2989"/>
        <v>1</v>
      </c>
      <c r="K517" s="101">
        <f t="shared" si="2989"/>
        <v>0</v>
      </c>
      <c r="L517" s="101">
        <f t="shared" si="2989"/>
        <v>1</v>
      </c>
      <c r="M517" s="140">
        <f t="shared" si="2933"/>
        <v>29</v>
      </c>
      <c r="N517" s="97">
        <f t="shared" ref="N517:T517" si="2990">RANDBETWEEN(0,10)</f>
        <v>3</v>
      </c>
      <c r="O517" s="97">
        <f t="shared" si="2990"/>
        <v>3</v>
      </c>
      <c r="P517" s="97">
        <f t="shared" si="2990"/>
        <v>6</v>
      </c>
      <c r="Q517" s="97">
        <f t="shared" si="2990"/>
        <v>6</v>
      </c>
      <c r="R517" s="97">
        <f t="shared" si="2990"/>
        <v>0</v>
      </c>
      <c r="S517" s="97">
        <f t="shared" si="2990"/>
        <v>4</v>
      </c>
      <c r="T517" s="97">
        <f t="shared" si="2990"/>
        <v>7</v>
      </c>
      <c r="U517" s="103">
        <f t="shared" si="2977"/>
        <v>25</v>
      </c>
      <c r="V517" s="158">
        <f t="shared" si="2970"/>
        <v>4</v>
      </c>
      <c r="W517" s="97">
        <f t="shared" ref="W517:Y517" si="2991">RANDBETWEEN(0,2)</f>
        <v>2</v>
      </c>
      <c r="X517" s="97">
        <f t="shared" si="2991"/>
        <v>1</v>
      </c>
      <c r="Y517" s="97">
        <f t="shared" si="2991"/>
        <v>1</v>
      </c>
      <c r="Z517" s="159">
        <f t="shared" si="2979"/>
        <v>3</v>
      </c>
      <c r="AA517" s="143">
        <f t="shared" ref="AA517:AF517" si="2992">RANDBETWEEN(0,2)</f>
        <v>1</v>
      </c>
      <c r="AB517" s="143">
        <f t="shared" si="2992"/>
        <v>2</v>
      </c>
      <c r="AC517" s="144">
        <f t="shared" si="2992"/>
        <v>0</v>
      </c>
      <c r="AD517" s="145">
        <f t="shared" si="2992"/>
        <v>2</v>
      </c>
      <c r="AE517" s="145">
        <f t="shared" si="2992"/>
        <v>0</v>
      </c>
      <c r="AF517" s="145">
        <f t="shared" si="2992"/>
        <v>2</v>
      </c>
      <c r="AG517" s="160">
        <f t="shared" si="2940"/>
        <v>4</v>
      </c>
      <c r="AH517" s="144">
        <f t="shared" ref="AH517:AJ517" si="2993">RANDBETWEEN(1,10)</f>
        <v>5</v>
      </c>
      <c r="AI517" s="145">
        <f t="shared" si="2993"/>
        <v>4</v>
      </c>
      <c r="AJ517" s="145">
        <f t="shared" si="2993"/>
        <v>2</v>
      </c>
      <c r="AK517" s="147">
        <f t="shared" si="2942"/>
        <v>11</v>
      </c>
      <c r="AL517" s="144"/>
      <c r="AM517" s="145"/>
      <c r="AN517" s="145"/>
      <c r="AO517" s="145"/>
      <c r="AP517" s="148"/>
      <c r="AQ517" s="144"/>
      <c r="AR517" s="145"/>
      <c r="AS517" s="145"/>
      <c r="AT517" s="149"/>
      <c r="AU517" s="144"/>
      <c r="AV517" s="145"/>
      <c r="AW517" s="145"/>
      <c r="AX517" s="150"/>
      <c r="AY517" s="92">
        <f t="shared" ref="AY517:AZ517" si="2994">RANDBETWEEN(1,10)/10</f>
        <v>1</v>
      </c>
      <c r="AZ517" s="92">
        <f t="shared" si="2994"/>
        <v>0.5</v>
      </c>
      <c r="BA517" s="93">
        <v>1.0</v>
      </c>
      <c r="BB517" s="93">
        <v>0.0</v>
      </c>
      <c r="BC517" s="94">
        <f>SUM(BC489,'ГОЧ'!$AY517)</f>
        <v>1208.5</v>
      </c>
      <c r="BD517" s="94">
        <f>SUM(BD489,'ГОЧ'!$AZ517)</f>
        <v>1210</v>
      </c>
      <c r="BE517" s="108" t="s">
        <v>167</v>
      </c>
      <c r="BF517" s="108"/>
    </row>
    <row r="518" ht="15.75" customHeight="1">
      <c r="A518" s="67">
        <f t="shared" si="2930"/>
        <v>46272</v>
      </c>
      <c r="B518" s="138" t="s">
        <v>28</v>
      </c>
      <c r="C518" s="157">
        <f t="shared" si="2931"/>
        <v>3</v>
      </c>
      <c r="D518" s="97">
        <f t="shared" ref="D518:L518" si="2995">RANDBETWEEN(0,2)</f>
        <v>1</v>
      </c>
      <c r="E518" s="97">
        <f t="shared" si="2995"/>
        <v>1</v>
      </c>
      <c r="F518" s="97">
        <f t="shared" si="2995"/>
        <v>2</v>
      </c>
      <c r="G518" s="97">
        <f t="shared" si="2995"/>
        <v>1</v>
      </c>
      <c r="H518" s="98">
        <f t="shared" si="2995"/>
        <v>2</v>
      </c>
      <c r="I518" s="99">
        <f t="shared" si="2995"/>
        <v>1</v>
      </c>
      <c r="J518" s="100">
        <f t="shared" si="2995"/>
        <v>2</v>
      </c>
      <c r="K518" s="101">
        <f t="shared" si="2995"/>
        <v>1</v>
      </c>
      <c r="L518" s="101">
        <f t="shared" si="2995"/>
        <v>0</v>
      </c>
      <c r="M518" s="140">
        <f t="shared" si="2933"/>
        <v>26</v>
      </c>
      <c r="N518" s="97">
        <f t="shared" ref="N518:T518" si="2996">RANDBETWEEN(0,10)</f>
        <v>1</v>
      </c>
      <c r="O518" s="97">
        <f t="shared" si="2996"/>
        <v>1</v>
      </c>
      <c r="P518" s="97">
        <f t="shared" si="2996"/>
        <v>4</v>
      </c>
      <c r="Q518" s="97">
        <f t="shared" si="2996"/>
        <v>9</v>
      </c>
      <c r="R518" s="97">
        <f t="shared" si="2996"/>
        <v>4</v>
      </c>
      <c r="S518" s="97">
        <f t="shared" si="2996"/>
        <v>2</v>
      </c>
      <c r="T518" s="97">
        <f t="shared" si="2996"/>
        <v>5</v>
      </c>
      <c r="U518" s="103">
        <f t="shared" si="2977"/>
        <v>10</v>
      </c>
      <c r="V518" s="158">
        <f t="shared" si="2970"/>
        <v>2</v>
      </c>
      <c r="W518" s="97">
        <f t="shared" ref="W518:Y518" si="2997">RANDBETWEEN(0,2)</f>
        <v>1</v>
      </c>
      <c r="X518" s="97">
        <f t="shared" si="2997"/>
        <v>1</v>
      </c>
      <c r="Y518" s="97">
        <f t="shared" si="2997"/>
        <v>0</v>
      </c>
      <c r="Z518" s="159">
        <f t="shared" si="2979"/>
        <v>3</v>
      </c>
      <c r="AA518" s="106">
        <f t="shared" ref="AA518:AF518" si="2998">RANDBETWEEN(0,2)</f>
        <v>1</v>
      </c>
      <c r="AB518" s="106">
        <f t="shared" si="2998"/>
        <v>2</v>
      </c>
      <c r="AC518" s="107">
        <f t="shared" si="2998"/>
        <v>0</v>
      </c>
      <c r="AD518" s="108">
        <f t="shared" si="2998"/>
        <v>0</v>
      </c>
      <c r="AE518" s="108">
        <f t="shared" si="2998"/>
        <v>0</v>
      </c>
      <c r="AF518" s="108">
        <f t="shared" si="2998"/>
        <v>0</v>
      </c>
      <c r="AG518" s="160">
        <f t="shared" si="2940"/>
        <v>0</v>
      </c>
      <c r="AH518" s="107">
        <f t="shared" ref="AH518:AJ518" si="2999">RANDBETWEEN(1,10)</f>
        <v>2</v>
      </c>
      <c r="AI518" s="108">
        <f t="shared" si="2999"/>
        <v>2</v>
      </c>
      <c r="AJ518" s="108">
        <f t="shared" si="2999"/>
        <v>10</v>
      </c>
      <c r="AK518" s="147">
        <f t="shared" si="2942"/>
        <v>14</v>
      </c>
      <c r="AL518" s="107"/>
      <c r="AM518" s="108"/>
      <c r="AN518" s="108"/>
      <c r="AO518" s="108"/>
      <c r="AP518" s="148"/>
      <c r="AQ518" s="107"/>
      <c r="AR518" s="108"/>
      <c r="AS518" s="108"/>
      <c r="AT518" s="149"/>
      <c r="AU518" s="107"/>
      <c r="AV518" s="108"/>
      <c r="AW518" s="108"/>
      <c r="AX518" s="150"/>
      <c r="AY518" s="92">
        <f t="shared" ref="AY518:AZ518" si="3000">RANDBETWEEN(1,10)/10</f>
        <v>0.3</v>
      </c>
      <c r="AZ518" s="92">
        <f t="shared" si="3000"/>
        <v>0.2</v>
      </c>
      <c r="BA518" s="93">
        <v>0.0</v>
      </c>
      <c r="BB518" s="93">
        <v>1.0</v>
      </c>
      <c r="BC518" s="94">
        <f>SUM(BC490,'ГОЧ'!$AY518)</f>
        <v>1209.6</v>
      </c>
      <c r="BD518" s="94">
        <f>SUM(BD490,'ГОЧ'!$AZ518)</f>
        <v>1209.5</v>
      </c>
      <c r="BE518" s="108"/>
      <c r="BF518" s="108" t="s">
        <v>168</v>
      </c>
    </row>
    <row r="519" ht="15.75" customHeight="1">
      <c r="A519" s="67">
        <f t="shared" si="2930"/>
        <v>46272</v>
      </c>
      <c r="B519" s="114" t="s">
        <v>29</v>
      </c>
      <c r="C519" s="164">
        <f t="shared" si="2931"/>
        <v>11</v>
      </c>
      <c r="D519" s="165">
        <f t="shared" ref="D519:L519" si="3001">D514+D515+D516+D517+D518</f>
        <v>7</v>
      </c>
      <c r="E519" s="165">
        <f t="shared" si="3001"/>
        <v>6</v>
      </c>
      <c r="F519" s="165">
        <f t="shared" si="3001"/>
        <v>4</v>
      </c>
      <c r="G519" s="165">
        <f t="shared" si="3001"/>
        <v>5</v>
      </c>
      <c r="H519" s="164">
        <f t="shared" si="3001"/>
        <v>7</v>
      </c>
      <c r="I519" s="165">
        <f t="shared" si="3001"/>
        <v>5</v>
      </c>
      <c r="J519" s="164">
        <f t="shared" si="3001"/>
        <v>7</v>
      </c>
      <c r="K519" s="165">
        <f t="shared" si="3001"/>
        <v>5</v>
      </c>
      <c r="L519" s="165">
        <f t="shared" si="3001"/>
        <v>5</v>
      </c>
      <c r="M519" s="164">
        <f t="shared" si="2933"/>
        <v>173</v>
      </c>
      <c r="N519" s="164">
        <f t="shared" ref="N519:U519" si="3002">N514+N515+N516+N517+N518</f>
        <v>20</v>
      </c>
      <c r="O519" s="165">
        <f t="shared" si="3002"/>
        <v>8</v>
      </c>
      <c r="P519" s="165">
        <f t="shared" si="3002"/>
        <v>32</v>
      </c>
      <c r="Q519" s="165">
        <f t="shared" si="3002"/>
        <v>33</v>
      </c>
      <c r="R519" s="165">
        <f t="shared" si="3002"/>
        <v>24</v>
      </c>
      <c r="S519" s="165">
        <f t="shared" si="3002"/>
        <v>26</v>
      </c>
      <c r="T519" s="165">
        <f t="shared" si="3002"/>
        <v>30</v>
      </c>
      <c r="U519" s="164">
        <f t="shared" si="3002"/>
        <v>93</v>
      </c>
      <c r="V519" s="164">
        <f t="shared" si="2970"/>
        <v>17</v>
      </c>
      <c r="W519" s="165">
        <f t="shared" ref="W519:Y519" si="3003">W514+W515+W516+W517+W518</f>
        <v>7</v>
      </c>
      <c r="X519" s="165">
        <f t="shared" si="3003"/>
        <v>6</v>
      </c>
      <c r="Y519" s="165">
        <f t="shared" si="3003"/>
        <v>4</v>
      </c>
      <c r="Z519" s="165">
        <f t="shared" si="2979"/>
        <v>15</v>
      </c>
      <c r="AA519" s="165">
        <f t="shared" ref="AA519:AC519" si="3004">AA514+AA515+AA516+AA517+AA518</f>
        <v>6</v>
      </c>
      <c r="AB519" s="165">
        <f t="shared" si="3004"/>
        <v>9</v>
      </c>
      <c r="AC519" s="166">
        <f t="shared" si="3004"/>
        <v>2</v>
      </c>
      <c r="AD519" s="167">
        <f>AE514+AD515+AD516+AD517+AD518</f>
        <v>6</v>
      </c>
      <c r="AE519" s="167">
        <f t="shared" ref="AE519:AF519" si="3005">AE514+AE515+AE516+AE517+AE518</f>
        <v>4</v>
      </c>
      <c r="AF519" s="167">
        <f t="shared" si="3005"/>
        <v>5</v>
      </c>
      <c r="AG519" s="168">
        <f t="shared" si="2940"/>
        <v>17</v>
      </c>
      <c r="AH519" s="166">
        <f t="shared" ref="AH519:AJ519" si="3006">AH514+AH515+AH516+AH517+AH518</f>
        <v>33</v>
      </c>
      <c r="AI519" s="166">
        <f t="shared" si="3006"/>
        <v>21</v>
      </c>
      <c r="AJ519" s="166">
        <f t="shared" si="3006"/>
        <v>32</v>
      </c>
      <c r="AK519" s="168">
        <f t="shared" si="2942"/>
        <v>86</v>
      </c>
      <c r="AL519" s="166"/>
      <c r="AM519" s="167"/>
      <c r="AN519" s="167"/>
      <c r="AO519" s="167"/>
      <c r="AP519" s="169"/>
      <c r="AQ519" s="166"/>
      <c r="AR519" s="166"/>
      <c r="AS519" s="166"/>
      <c r="AT519" s="170"/>
      <c r="AU519" s="166"/>
      <c r="AV519" s="166"/>
      <c r="AW519" s="166"/>
      <c r="AX519" s="171"/>
      <c r="AY519" s="172">
        <f t="shared" ref="AY519:BD519" si="3007">AY514+AY515+AY516+AY517+AY518</f>
        <v>3.5</v>
      </c>
      <c r="AZ519" s="172">
        <f t="shared" si="3007"/>
        <v>2.2</v>
      </c>
      <c r="BA519" s="166">
        <f t="shared" si="3007"/>
        <v>3</v>
      </c>
      <c r="BB519" s="166">
        <f t="shared" si="3007"/>
        <v>3</v>
      </c>
      <c r="BC519" s="173">
        <f t="shared" si="3007"/>
        <v>6050.8</v>
      </c>
      <c r="BD519" s="173">
        <f t="shared" si="3007"/>
        <v>6047.5</v>
      </c>
      <c r="BE519" s="154" t="str">
        <f t="shared" ref="BE519:BF519" si="3008">TEXTJOIN(", ",TRUE,BE514:BE518)</f>
        <v>Олександівка, Пантелеймонівка, Миколаївка</v>
      </c>
      <c r="BF519" s="154" t="str">
        <f t="shared" si="3008"/>
        <v>Загреблі, Верхні води, Ступочки</v>
      </c>
    </row>
    <row r="520" ht="15.75" customHeight="1">
      <c r="A520" s="67">
        <f t="shared" si="2930"/>
        <v>46272</v>
      </c>
      <c r="B520" s="124" t="s">
        <v>31</v>
      </c>
      <c r="C520" s="174">
        <f t="shared" si="2931"/>
        <v>3</v>
      </c>
      <c r="D520" s="175">
        <f t="shared" ref="D520:L520" si="3009">RANDBETWEEN(0,2)</f>
        <v>2</v>
      </c>
      <c r="E520" s="175">
        <f t="shared" si="3009"/>
        <v>0</v>
      </c>
      <c r="F520" s="175">
        <f t="shared" si="3009"/>
        <v>1</v>
      </c>
      <c r="G520" s="175">
        <f t="shared" si="3009"/>
        <v>2</v>
      </c>
      <c r="H520" s="176">
        <f t="shared" si="3009"/>
        <v>1</v>
      </c>
      <c r="I520" s="177">
        <f t="shared" si="3009"/>
        <v>0</v>
      </c>
      <c r="J520" s="178">
        <f t="shared" si="3009"/>
        <v>2</v>
      </c>
      <c r="K520" s="179">
        <f t="shared" si="3009"/>
        <v>0</v>
      </c>
      <c r="L520" s="179">
        <f t="shared" si="3009"/>
        <v>2</v>
      </c>
      <c r="M520" s="180">
        <f t="shared" si="2933"/>
        <v>34</v>
      </c>
      <c r="N520" s="175">
        <f t="shared" ref="N520:T520" si="3010">RANDBETWEEN(0,10)</f>
        <v>8</v>
      </c>
      <c r="O520" s="175">
        <f t="shared" si="3010"/>
        <v>7</v>
      </c>
      <c r="P520" s="175">
        <f t="shared" si="3010"/>
        <v>3</v>
      </c>
      <c r="Q520" s="175">
        <f t="shared" si="3010"/>
        <v>2</v>
      </c>
      <c r="R520" s="175">
        <f t="shared" si="3010"/>
        <v>0</v>
      </c>
      <c r="S520" s="175">
        <f t="shared" si="3010"/>
        <v>5</v>
      </c>
      <c r="T520" s="175">
        <f t="shared" si="3010"/>
        <v>9</v>
      </c>
      <c r="U520" s="181">
        <f t="shared" ref="U520:U525" si="3017">RANDBETWEEN(10,30)</f>
        <v>27</v>
      </c>
      <c r="V520" s="182">
        <f t="shared" si="2970"/>
        <v>4</v>
      </c>
      <c r="W520" s="175">
        <f t="shared" ref="W520:Y520" si="3011">RANDBETWEEN(0,2)</f>
        <v>1</v>
      </c>
      <c r="X520" s="175">
        <f t="shared" si="3011"/>
        <v>2</v>
      </c>
      <c r="Y520" s="175">
        <f t="shared" si="3011"/>
        <v>1</v>
      </c>
      <c r="Z520" s="183">
        <f t="shared" si="2979"/>
        <v>0</v>
      </c>
      <c r="AA520" s="184">
        <f t="shared" ref="AA520:AF520" si="3012">RANDBETWEEN(0,2)</f>
        <v>0</v>
      </c>
      <c r="AB520" s="184">
        <f t="shared" si="3012"/>
        <v>0</v>
      </c>
      <c r="AC520" s="185">
        <f t="shared" si="3012"/>
        <v>1</v>
      </c>
      <c r="AD520" s="186">
        <f t="shared" si="3012"/>
        <v>2</v>
      </c>
      <c r="AE520" s="186">
        <f t="shared" si="3012"/>
        <v>2</v>
      </c>
      <c r="AF520" s="186">
        <f t="shared" si="3012"/>
        <v>1</v>
      </c>
      <c r="AG520" s="187">
        <f t="shared" si="2940"/>
        <v>6</v>
      </c>
      <c r="AH520" s="185">
        <f t="shared" ref="AH520:AJ520" si="3013">RANDBETWEEN(1,10)</f>
        <v>6</v>
      </c>
      <c r="AI520" s="186">
        <f t="shared" si="3013"/>
        <v>6</v>
      </c>
      <c r="AJ520" s="186">
        <f t="shared" si="3013"/>
        <v>8</v>
      </c>
      <c r="AK520" s="188">
        <f t="shared" si="2942"/>
        <v>20</v>
      </c>
      <c r="AL520" s="185"/>
      <c r="AM520" s="186"/>
      <c r="AN520" s="186"/>
      <c r="AO520" s="186"/>
      <c r="AP520" s="189"/>
      <c r="AQ520" s="185"/>
      <c r="AR520" s="186"/>
      <c r="AS520" s="186"/>
      <c r="AT520" s="190"/>
      <c r="AU520" s="185"/>
      <c r="AV520" s="186"/>
      <c r="AW520" s="186"/>
      <c r="AX520" s="191"/>
      <c r="AY520" s="92">
        <f t="shared" ref="AY520:AZ520" si="3014">RANDBETWEEN(1,10)/10</f>
        <v>0.8</v>
      </c>
      <c r="AZ520" s="92">
        <f t="shared" si="3014"/>
        <v>0.9</v>
      </c>
      <c r="BA520" s="93">
        <v>0.0</v>
      </c>
      <c r="BB520" s="93">
        <v>0.0</v>
      </c>
      <c r="BC520" s="94">
        <f>SUM(BC492,'ГОЧ'!$AY520)</f>
        <v>1210.3</v>
      </c>
      <c r="BD520" s="94">
        <f>SUM(BD492,'ГОЧ'!$AZ520)</f>
        <v>1211.1</v>
      </c>
      <c r="BE520" s="186"/>
      <c r="BF520" s="186"/>
    </row>
    <row r="521" ht="15.75" customHeight="1">
      <c r="A521" s="67">
        <f t="shared" si="2930"/>
        <v>46272</v>
      </c>
      <c r="B521" s="138" t="s">
        <v>33</v>
      </c>
      <c r="C521" s="157">
        <f t="shared" si="2931"/>
        <v>1</v>
      </c>
      <c r="D521" s="97">
        <f t="shared" ref="D521:L521" si="3015">RANDBETWEEN(0,2)</f>
        <v>0</v>
      </c>
      <c r="E521" s="97">
        <f t="shared" si="3015"/>
        <v>0</v>
      </c>
      <c r="F521" s="97">
        <f t="shared" si="3015"/>
        <v>1</v>
      </c>
      <c r="G521" s="97">
        <f t="shared" si="3015"/>
        <v>0</v>
      </c>
      <c r="H521" s="98">
        <f t="shared" si="3015"/>
        <v>0</v>
      </c>
      <c r="I521" s="99">
        <f t="shared" si="3015"/>
        <v>1</v>
      </c>
      <c r="J521" s="100">
        <f t="shared" si="3015"/>
        <v>2</v>
      </c>
      <c r="K521" s="101">
        <f t="shared" si="3015"/>
        <v>0</v>
      </c>
      <c r="L521" s="101">
        <f t="shared" si="3015"/>
        <v>2</v>
      </c>
      <c r="M521" s="140">
        <f t="shared" si="2933"/>
        <v>23</v>
      </c>
      <c r="N521" s="97">
        <f t="shared" ref="N521:T521" si="3016">RANDBETWEEN(0,10)</f>
        <v>0</v>
      </c>
      <c r="O521" s="97">
        <f t="shared" si="3016"/>
        <v>2</v>
      </c>
      <c r="P521" s="97">
        <f t="shared" si="3016"/>
        <v>4</v>
      </c>
      <c r="Q521" s="97">
        <f t="shared" si="3016"/>
        <v>4</v>
      </c>
      <c r="R521" s="97">
        <f t="shared" si="3016"/>
        <v>3</v>
      </c>
      <c r="S521" s="97">
        <f t="shared" si="3016"/>
        <v>1</v>
      </c>
      <c r="T521" s="97">
        <f t="shared" si="3016"/>
        <v>9</v>
      </c>
      <c r="U521" s="103">
        <f t="shared" si="3017"/>
        <v>30</v>
      </c>
      <c r="V521" s="158">
        <f t="shared" si="2970"/>
        <v>4</v>
      </c>
      <c r="W521" s="97">
        <f t="shared" ref="W521:Y521" si="3018">RANDBETWEEN(0,2)</f>
        <v>1</v>
      </c>
      <c r="X521" s="97">
        <f t="shared" si="3018"/>
        <v>1</v>
      </c>
      <c r="Y521" s="97">
        <f t="shared" si="3018"/>
        <v>2</v>
      </c>
      <c r="Z521" s="105">
        <f t="shared" si="2979"/>
        <v>1</v>
      </c>
      <c r="AA521" s="143">
        <f t="shared" ref="AA521:AF521" si="3019">RANDBETWEEN(0,2)</f>
        <v>1</v>
      </c>
      <c r="AB521" s="143">
        <f t="shared" si="3019"/>
        <v>0</v>
      </c>
      <c r="AC521" s="144">
        <f t="shared" si="3019"/>
        <v>0</v>
      </c>
      <c r="AD521" s="145">
        <f t="shared" si="3019"/>
        <v>1</v>
      </c>
      <c r="AE521" s="145">
        <f t="shared" si="3019"/>
        <v>2</v>
      </c>
      <c r="AF521" s="145">
        <f t="shared" si="3019"/>
        <v>2</v>
      </c>
      <c r="AG521" s="86">
        <f t="shared" si="2940"/>
        <v>5</v>
      </c>
      <c r="AH521" s="144">
        <f t="shared" ref="AH521:AJ521" si="3020">RANDBETWEEN(1,10)</f>
        <v>5</v>
      </c>
      <c r="AI521" s="145">
        <f t="shared" si="3020"/>
        <v>3</v>
      </c>
      <c r="AJ521" s="145">
        <f t="shared" si="3020"/>
        <v>8</v>
      </c>
      <c r="AK521" s="192">
        <f t="shared" si="2942"/>
        <v>16</v>
      </c>
      <c r="AL521" s="144"/>
      <c r="AM521" s="145"/>
      <c r="AN521" s="145"/>
      <c r="AO521" s="145"/>
      <c r="AP521" s="89"/>
      <c r="AQ521" s="144"/>
      <c r="AR521" s="145"/>
      <c r="AS521" s="145"/>
      <c r="AT521" s="193"/>
      <c r="AU521" s="144"/>
      <c r="AV521" s="145"/>
      <c r="AW521" s="145"/>
      <c r="AX521" s="194"/>
      <c r="AY521" s="92">
        <f t="shared" ref="AY521:AZ521" si="3021">RANDBETWEEN(1,10)/10</f>
        <v>0.4</v>
      </c>
      <c r="AZ521" s="92">
        <f t="shared" si="3021"/>
        <v>1</v>
      </c>
      <c r="BA521" s="93">
        <v>0.0</v>
      </c>
      <c r="BB521" s="93">
        <v>0.0</v>
      </c>
      <c r="BC521" s="94">
        <f>SUM(BC493,'ГОЧ'!$AY521)</f>
        <v>1209.6</v>
      </c>
      <c r="BD521" s="94">
        <f>SUM(BD493,'ГОЧ'!$AZ521)</f>
        <v>1210</v>
      </c>
      <c r="BE521" s="108"/>
      <c r="BF521" s="108"/>
    </row>
    <row r="522" ht="15.75" customHeight="1">
      <c r="A522" s="67">
        <f t="shared" si="2930"/>
        <v>46272</v>
      </c>
      <c r="B522" s="138" t="s">
        <v>35</v>
      </c>
      <c r="C522" s="157">
        <f t="shared" si="2931"/>
        <v>1</v>
      </c>
      <c r="D522" s="97">
        <f t="shared" ref="D522:L522" si="3022">RANDBETWEEN(0,2)</f>
        <v>0</v>
      </c>
      <c r="E522" s="97">
        <f t="shared" si="3022"/>
        <v>2</v>
      </c>
      <c r="F522" s="97">
        <f t="shared" si="3022"/>
        <v>1</v>
      </c>
      <c r="G522" s="97">
        <f t="shared" si="3022"/>
        <v>1</v>
      </c>
      <c r="H522" s="98">
        <f t="shared" si="3022"/>
        <v>0</v>
      </c>
      <c r="I522" s="99">
        <f t="shared" si="3022"/>
        <v>1</v>
      </c>
      <c r="J522" s="100">
        <f t="shared" si="3022"/>
        <v>1</v>
      </c>
      <c r="K522" s="101">
        <f t="shared" si="3022"/>
        <v>1</v>
      </c>
      <c r="L522" s="101">
        <f t="shared" si="3022"/>
        <v>1</v>
      </c>
      <c r="M522" s="140">
        <f t="shared" si="2933"/>
        <v>43</v>
      </c>
      <c r="N522" s="97">
        <f t="shared" ref="N522:T522" si="3023">RANDBETWEEN(0,10)</f>
        <v>4</v>
      </c>
      <c r="O522" s="97">
        <f t="shared" si="3023"/>
        <v>7</v>
      </c>
      <c r="P522" s="97">
        <f t="shared" si="3023"/>
        <v>10</v>
      </c>
      <c r="Q522" s="97">
        <f t="shared" si="3023"/>
        <v>3</v>
      </c>
      <c r="R522" s="97">
        <f t="shared" si="3023"/>
        <v>5</v>
      </c>
      <c r="S522" s="97">
        <f t="shared" si="3023"/>
        <v>5</v>
      </c>
      <c r="T522" s="97">
        <f t="shared" si="3023"/>
        <v>9</v>
      </c>
      <c r="U522" s="103">
        <f t="shared" si="3017"/>
        <v>18</v>
      </c>
      <c r="V522" s="158">
        <f t="shared" si="2970"/>
        <v>2</v>
      </c>
      <c r="W522" s="97">
        <f t="shared" ref="W522:Y522" si="3024">RANDBETWEEN(0,2)</f>
        <v>2</v>
      </c>
      <c r="X522" s="97">
        <f t="shared" si="3024"/>
        <v>0</v>
      </c>
      <c r="Y522" s="97">
        <f t="shared" si="3024"/>
        <v>0</v>
      </c>
      <c r="Z522" s="105">
        <f t="shared" si="2979"/>
        <v>1</v>
      </c>
      <c r="AA522" s="106">
        <f t="shared" ref="AA522:AF522" si="3025">RANDBETWEEN(0,2)</f>
        <v>1</v>
      </c>
      <c r="AB522" s="106">
        <f t="shared" si="3025"/>
        <v>0</v>
      </c>
      <c r="AC522" s="107">
        <f t="shared" si="3025"/>
        <v>2</v>
      </c>
      <c r="AD522" s="108">
        <f t="shared" si="3025"/>
        <v>2</v>
      </c>
      <c r="AE522" s="108">
        <f t="shared" si="3025"/>
        <v>2</v>
      </c>
      <c r="AF522" s="108">
        <f t="shared" si="3025"/>
        <v>0</v>
      </c>
      <c r="AG522" s="86">
        <f t="shared" si="2940"/>
        <v>6</v>
      </c>
      <c r="AH522" s="107">
        <f t="shared" ref="AH522:AJ522" si="3026">RANDBETWEEN(1,10)</f>
        <v>8</v>
      </c>
      <c r="AI522" s="108">
        <f t="shared" si="3026"/>
        <v>2</v>
      </c>
      <c r="AJ522" s="108">
        <f t="shared" si="3026"/>
        <v>3</v>
      </c>
      <c r="AK522" s="192">
        <f t="shared" si="2942"/>
        <v>13</v>
      </c>
      <c r="AL522" s="107"/>
      <c r="AM522" s="108"/>
      <c r="AN522" s="108"/>
      <c r="AO522" s="108"/>
      <c r="AP522" s="89"/>
      <c r="AQ522" s="107"/>
      <c r="AR522" s="108"/>
      <c r="AS522" s="108"/>
      <c r="AT522" s="193"/>
      <c r="AU522" s="107"/>
      <c r="AV522" s="108"/>
      <c r="AW522" s="108"/>
      <c r="AX522" s="194"/>
      <c r="AY522" s="92">
        <f t="shared" ref="AY522:AZ522" si="3027">RANDBETWEEN(1,10)/10</f>
        <v>0.2</v>
      </c>
      <c r="AZ522" s="92">
        <f t="shared" si="3027"/>
        <v>0.1</v>
      </c>
      <c r="BA522" s="93">
        <v>0.0</v>
      </c>
      <c r="BB522" s="93">
        <v>0.0</v>
      </c>
      <c r="BC522" s="94">
        <f>SUM(BC494,'ГОЧ'!$AY522)</f>
        <v>1208.6</v>
      </c>
      <c r="BD522" s="94">
        <f>SUM(BD494,'ГОЧ'!$AZ522)</f>
        <v>1209.8</v>
      </c>
      <c r="BE522" s="108"/>
      <c r="BF522" s="108"/>
    </row>
    <row r="523" ht="15.75" customHeight="1">
      <c r="A523" s="67">
        <f t="shared" si="2930"/>
        <v>46272</v>
      </c>
      <c r="B523" s="138" t="s">
        <v>36</v>
      </c>
      <c r="C523" s="157">
        <f t="shared" si="2931"/>
        <v>2</v>
      </c>
      <c r="D523" s="97">
        <f t="shared" ref="D523:L523" si="3028">RANDBETWEEN(0,2)</f>
        <v>0</v>
      </c>
      <c r="E523" s="97">
        <f t="shared" si="3028"/>
        <v>2</v>
      </c>
      <c r="F523" s="97">
        <f t="shared" si="3028"/>
        <v>2</v>
      </c>
      <c r="G523" s="97">
        <f t="shared" si="3028"/>
        <v>0</v>
      </c>
      <c r="H523" s="98">
        <f t="shared" si="3028"/>
        <v>2</v>
      </c>
      <c r="I523" s="99">
        <f t="shared" si="3028"/>
        <v>1</v>
      </c>
      <c r="J523" s="100">
        <f t="shared" si="3028"/>
        <v>1</v>
      </c>
      <c r="K523" s="101">
        <f t="shared" si="3028"/>
        <v>0</v>
      </c>
      <c r="L523" s="101">
        <f t="shared" si="3028"/>
        <v>2</v>
      </c>
      <c r="M523" s="140">
        <f t="shared" si="2933"/>
        <v>38</v>
      </c>
      <c r="N523" s="97">
        <f t="shared" ref="N523:T523" si="3029">RANDBETWEEN(0,10)</f>
        <v>0</v>
      </c>
      <c r="O523" s="97">
        <f t="shared" si="3029"/>
        <v>6</v>
      </c>
      <c r="P523" s="97">
        <f t="shared" si="3029"/>
        <v>8</v>
      </c>
      <c r="Q523" s="97">
        <f t="shared" si="3029"/>
        <v>6</v>
      </c>
      <c r="R523" s="97">
        <f t="shared" si="3029"/>
        <v>8</v>
      </c>
      <c r="S523" s="97">
        <f t="shared" si="3029"/>
        <v>6</v>
      </c>
      <c r="T523" s="97">
        <f t="shared" si="3029"/>
        <v>4</v>
      </c>
      <c r="U523" s="103">
        <f t="shared" si="3017"/>
        <v>16</v>
      </c>
      <c r="V523" s="158">
        <f t="shared" si="2970"/>
        <v>3</v>
      </c>
      <c r="W523" s="97">
        <f t="shared" ref="W523:Y523" si="3030">RANDBETWEEN(0,2)</f>
        <v>1</v>
      </c>
      <c r="X523" s="97">
        <f t="shared" si="3030"/>
        <v>0</v>
      </c>
      <c r="Y523" s="97">
        <f t="shared" si="3030"/>
        <v>2</v>
      </c>
      <c r="Z523" s="105">
        <f t="shared" si="2979"/>
        <v>2</v>
      </c>
      <c r="AA523" s="143">
        <f t="shared" ref="AA523:AF523" si="3031">RANDBETWEEN(0,2)</f>
        <v>0</v>
      </c>
      <c r="AB523" s="143">
        <f t="shared" si="3031"/>
        <v>2</v>
      </c>
      <c r="AC523" s="144">
        <f t="shared" si="3031"/>
        <v>2</v>
      </c>
      <c r="AD523" s="145">
        <f t="shared" si="3031"/>
        <v>0</v>
      </c>
      <c r="AE523" s="145">
        <f t="shared" si="3031"/>
        <v>1</v>
      </c>
      <c r="AF523" s="145">
        <f t="shared" si="3031"/>
        <v>1</v>
      </c>
      <c r="AG523" s="86">
        <f t="shared" si="2940"/>
        <v>4</v>
      </c>
      <c r="AH523" s="144">
        <f t="shared" ref="AH523:AJ523" si="3032">RANDBETWEEN(1,10)</f>
        <v>6</v>
      </c>
      <c r="AI523" s="145">
        <f t="shared" si="3032"/>
        <v>7</v>
      </c>
      <c r="AJ523" s="145">
        <f t="shared" si="3032"/>
        <v>9</v>
      </c>
      <c r="AK523" s="192">
        <f t="shared" si="2942"/>
        <v>22</v>
      </c>
      <c r="AL523" s="144"/>
      <c r="AM523" s="145"/>
      <c r="AN523" s="145"/>
      <c r="AO523" s="145"/>
      <c r="AP523" s="89"/>
      <c r="AQ523" s="144"/>
      <c r="AR523" s="145"/>
      <c r="AS523" s="145"/>
      <c r="AT523" s="193"/>
      <c r="AU523" s="144"/>
      <c r="AV523" s="145"/>
      <c r="AW523" s="145"/>
      <c r="AX523" s="194"/>
      <c r="AY523" s="92">
        <f t="shared" ref="AY523:AZ523" si="3033">RANDBETWEEN(1,10)/10</f>
        <v>0.5</v>
      </c>
      <c r="AZ523" s="92">
        <f t="shared" si="3033"/>
        <v>0.2</v>
      </c>
      <c r="BA523" s="93">
        <v>0.0</v>
      </c>
      <c r="BB523" s="93">
        <v>0.0</v>
      </c>
      <c r="BC523" s="94">
        <f>SUM(BC495,'ГОЧ'!$AY523)</f>
        <v>1210.9</v>
      </c>
      <c r="BD523" s="94">
        <f>SUM(BD495,'ГОЧ'!$AZ523)</f>
        <v>1208.7</v>
      </c>
      <c r="BE523" s="108"/>
      <c r="BF523" s="108"/>
    </row>
    <row r="524" ht="15.75" customHeight="1">
      <c r="A524" s="67">
        <f t="shared" si="2930"/>
        <v>46272</v>
      </c>
      <c r="B524" s="195" t="s">
        <v>38</v>
      </c>
      <c r="C524" s="157">
        <f t="shared" si="2931"/>
        <v>3</v>
      </c>
      <c r="D524" s="97">
        <f t="shared" ref="D524:L524" si="3034">RANDBETWEEN(0,2)</f>
        <v>1</v>
      </c>
      <c r="E524" s="97">
        <f t="shared" si="3034"/>
        <v>1</v>
      </c>
      <c r="F524" s="97">
        <f t="shared" si="3034"/>
        <v>2</v>
      </c>
      <c r="G524" s="97">
        <f t="shared" si="3034"/>
        <v>2</v>
      </c>
      <c r="H524" s="98">
        <f t="shared" si="3034"/>
        <v>0</v>
      </c>
      <c r="I524" s="99">
        <f t="shared" si="3034"/>
        <v>2</v>
      </c>
      <c r="J524" s="100">
        <f t="shared" si="3034"/>
        <v>1</v>
      </c>
      <c r="K524" s="101">
        <f t="shared" si="3034"/>
        <v>2</v>
      </c>
      <c r="L524" s="101">
        <f t="shared" si="3034"/>
        <v>0</v>
      </c>
      <c r="M524" s="140">
        <f t="shared" si="2933"/>
        <v>39</v>
      </c>
      <c r="N524" s="97">
        <f t="shared" ref="N524:T524" si="3035">RANDBETWEEN(0,10)</f>
        <v>6</v>
      </c>
      <c r="O524" s="97">
        <f t="shared" si="3035"/>
        <v>7</v>
      </c>
      <c r="P524" s="97">
        <f t="shared" si="3035"/>
        <v>0</v>
      </c>
      <c r="Q524" s="97">
        <f t="shared" si="3035"/>
        <v>7</v>
      </c>
      <c r="R524" s="97">
        <f t="shared" si="3035"/>
        <v>7</v>
      </c>
      <c r="S524" s="97">
        <f t="shared" si="3035"/>
        <v>10</v>
      </c>
      <c r="T524" s="97">
        <f t="shared" si="3035"/>
        <v>2</v>
      </c>
      <c r="U524" s="103">
        <f t="shared" si="3017"/>
        <v>13</v>
      </c>
      <c r="V524" s="158">
        <f t="shared" si="2970"/>
        <v>5</v>
      </c>
      <c r="W524" s="97">
        <f t="shared" ref="W524:Y524" si="3036">RANDBETWEEN(0,2)</f>
        <v>2</v>
      </c>
      <c r="X524" s="97">
        <f t="shared" si="3036"/>
        <v>2</v>
      </c>
      <c r="Y524" s="97">
        <f t="shared" si="3036"/>
        <v>1</v>
      </c>
      <c r="Z524" s="105">
        <f t="shared" si="2979"/>
        <v>3</v>
      </c>
      <c r="AA524" s="106">
        <f t="shared" ref="AA524:AF524" si="3037">RANDBETWEEN(0,2)</f>
        <v>1</v>
      </c>
      <c r="AB524" s="106">
        <f t="shared" si="3037"/>
        <v>2</v>
      </c>
      <c r="AC524" s="107">
        <f t="shared" si="3037"/>
        <v>2</v>
      </c>
      <c r="AD524" s="108">
        <f t="shared" si="3037"/>
        <v>1</v>
      </c>
      <c r="AE524" s="108">
        <f t="shared" si="3037"/>
        <v>0</v>
      </c>
      <c r="AF524" s="108">
        <f t="shared" si="3037"/>
        <v>2</v>
      </c>
      <c r="AG524" s="86">
        <f t="shared" si="2940"/>
        <v>5</v>
      </c>
      <c r="AH524" s="107">
        <f t="shared" ref="AH524:AJ524" si="3038">RANDBETWEEN(1,10)</f>
        <v>6</v>
      </c>
      <c r="AI524" s="108">
        <f t="shared" si="3038"/>
        <v>6</v>
      </c>
      <c r="AJ524" s="108">
        <f t="shared" si="3038"/>
        <v>6</v>
      </c>
      <c r="AK524" s="192">
        <f t="shared" si="2942"/>
        <v>18</v>
      </c>
      <c r="AL524" s="107"/>
      <c r="AM524" s="108"/>
      <c r="AN524" s="108"/>
      <c r="AO524" s="108"/>
      <c r="AP524" s="89"/>
      <c r="AQ524" s="107"/>
      <c r="AR524" s="108"/>
      <c r="AS524" s="108"/>
      <c r="AT524" s="193"/>
      <c r="AU524" s="107"/>
      <c r="AV524" s="108"/>
      <c r="AW524" s="108"/>
      <c r="AX524" s="194"/>
      <c r="AY524" s="92">
        <f t="shared" ref="AY524:AZ524" si="3039">RANDBETWEEN(1,10)/10</f>
        <v>0.1</v>
      </c>
      <c r="AZ524" s="92">
        <f t="shared" si="3039"/>
        <v>1</v>
      </c>
      <c r="BA524" s="93">
        <v>0.0</v>
      </c>
      <c r="BB524" s="93">
        <v>0.0</v>
      </c>
      <c r="BC524" s="94">
        <f>SUM(BC496,'ГОЧ'!$AY524)</f>
        <v>1208.9</v>
      </c>
      <c r="BD524" s="94">
        <f>SUM(BD496,'ГОЧ'!$AZ524)</f>
        <v>1209.7</v>
      </c>
      <c r="BE524" s="108"/>
      <c r="BF524" s="108"/>
    </row>
    <row r="525" ht="15.75" customHeight="1">
      <c r="A525" s="67">
        <f t="shared" si="2930"/>
        <v>46272</v>
      </c>
      <c r="B525" s="138" t="s">
        <v>41</v>
      </c>
      <c r="C525" s="157">
        <f t="shared" si="2931"/>
        <v>0</v>
      </c>
      <c r="D525" s="97">
        <f t="shared" ref="D525:L525" si="3040">RANDBETWEEN(0,2)</f>
        <v>0</v>
      </c>
      <c r="E525" s="97">
        <f t="shared" si="3040"/>
        <v>2</v>
      </c>
      <c r="F525" s="97">
        <f t="shared" si="3040"/>
        <v>0</v>
      </c>
      <c r="G525" s="97">
        <f t="shared" si="3040"/>
        <v>1</v>
      </c>
      <c r="H525" s="98">
        <f t="shared" si="3040"/>
        <v>0</v>
      </c>
      <c r="I525" s="99">
        <f t="shared" si="3040"/>
        <v>1</v>
      </c>
      <c r="J525" s="100">
        <f t="shared" si="3040"/>
        <v>0</v>
      </c>
      <c r="K525" s="101">
        <f t="shared" si="3040"/>
        <v>1</v>
      </c>
      <c r="L525" s="101">
        <f t="shared" si="3040"/>
        <v>0</v>
      </c>
      <c r="M525" s="140">
        <f t="shared" si="2933"/>
        <v>35</v>
      </c>
      <c r="N525" s="97">
        <f t="shared" ref="N525:T525" si="3041">RANDBETWEEN(0,10)</f>
        <v>3</v>
      </c>
      <c r="O525" s="97">
        <f t="shared" si="3041"/>
        <v>8</v>
      </c>
      <c r="P525" s="97">
        <f t="shared" si="3041"/>
        <v>8</v>
      </c>
      <c r="Q525" s="97">
        <f t="shared" si="3041"/>
        <v>7</v>
      </c>
      <c r="R525" s="97">
        <f t="shared" si="3041"/>
        <v>2</v>
      </c>
      <c r="S525" s="97">
        <f t="shared" si="3041"/>
        <v>0</v>
      </c>
      <c r="T525" s="97">
        <f t="shared" si="3041"/>
        <v>7</v>
      </c>
      <c r="U525" s="103">
        <f t="shared" si="3017"/>
        <v>29</v>
      </c>
      <c r="V525" s="158">
        <f t="shared" si="2970"/>
        <v>4</v>
      </c>
      <c r="W525" s="97">
        <f t="shared" ref="W525:Y525" si="3042">RANDBETWEEN(0,2)</f>
        <v>2</v>
      </c>
      <c r="X525" s="97">
        <f t="shared" si="3042"/>
        <v>1</v>
      </c>
      <c r="Y525" s="97">
        <f t="shared" si="3042"/>
        <v>1</v>
      </c>
      <c r="Z525" s="105">
        <f t="shared" si="2979"/>
        <v>3</v>
      </c>
      <c r="AA525" s="143">
        <f t="shared" ref="AA525:AF525" si="3043">RANDBETWEEN(0,2)</f>
        <v>1</v>
      </c>
      <c r="AB525" s="143">
        <f t="shared" si="3043"/>
        <v>2</v>
      </c>
      <c r="AC525" s="144">
        <f t="shared" si="3043"/>
        <v>2</v>
      </c>
      <c r="AD525" s="145">
        <f t="shared" si="3043"/>
        <v>0</v>
      </c>
      <c r="AE525" s="145">
        <f t="shared" si="3043"/>
        <v>1</v>
      </c>
      <c r="AF525" s="145">
        <f t="shared" si="3043"/>
        <v>1</v>
      </c>
      <c r="AG525" s="86">
        <f t="shared" si="2940"/>
        <v>4</v>
      </c>
      <c r="AH525" s="144">
        <f t="shared" ref="AH525:AJ525" si="3044">RANDBETWEEN(1,10)</f>
        <v>4</v>
      </c>
      <c r="AI525" s="145">
        <f t="shared" si="3044"/>
        <v>2</v>
      </c>
      <c r="AJ525" s="145">
        <f t="shared" si="3044"/>
        <v>8</v>
      </c>
      <c r="AK525" s="192">
        <f t="shared" si="2942"/>
        <v>14</v>
      </c>
      <c r="AL525" s="144"/>
      <c r="AM525" s="145"/>
      <c r="AN525" s="145"/>
      <c r="AO525" s="145"/>
      <c r="AP525" s="89"/>
      <c r="AQ525" s="144"/>
      <c r="AR525" s="145"/>
      <c r="AS525" s="145"/>
      <c r="AT525" s="193"/>
      <c r="AU525" s="144"/>
      <c r="AV525" s="145"/>
      <c r="AW525" s="145"/>
      <c r="AX525" s="194"/>
      <c r="AY525" s="92">
        <f t="shared" ref="AY525:AZ525" si="3045">RANDBETWEEN(1,10)/10</f>
        <v>0.4</v>
      </c>
      <c r="AZ525" s="92">
        <f t="shared" si="3045"/>
        <v>0.6</v>
      </c>
      <c r="BA525" s="93">
        <v>0.0</v>
      </c>
      <c r="BB525" s="93">
        <v>0.0</v>
      </c>
      <c r="BC525" s="94">
        <f>SUM(BC497,'ГОЧ'!$AY525)</f>
        <v>1209.5</v>
      </c>
      <c r="BD525" s="94">
        <f>SUM(BD497,'ГОЧ'!$AZ525)</f>
        <v>1210.9</v>
      </c>
      <c r="BE525" s="108"/>
      <c r="BF525" s="108"/>
    </row>
    <row r="526" ht="15.75" customHeight="1">
      <c r="A526" s="67">
        <f t="shared" si="2930"/>
        <v>46272</v>
      </c>
      <c r="B526" s="114" t="s">
        <v>45</v>
      </c>
      <c r="C526" s="164">
        <f t="shared" si="2931"/>
        <v>10</v>
      </c>
      <c r="D526" s="164">
        <f t="shared" ref="D526:U526" si="3046">SUM(D520:D525)</f>
        <v>3</v>
      </c>
      <c r="E526" s="165">
        <f t="shared" si="3046"/>
        <v>7</v>
      </c>
      <c r="F526" s="165">
        <f t="shared" si="3046"/>
        <v>7</v>
      </c>
      <c r="G526" s="165">
        <f t="shared" si="3046"/>
        <v>6</v>
      </c>
      <c r="H526" s="165">
        <f t="shared" si="3046"/>
        <v>3</v>
      </c>
      <c r="I526" s="165">
        <f t="shared" si="3046"/>
        <v>6</v>
      </c>
      <c r="J526" s="165">
        <f t="shared" si="3046"/>
        <v>7</v>
      </c>
      <c r="K526" s="165">
        <f t="shared" si="3046"/>
        <v>4</v>
      </c>
      <c r="L526" s="165">
        <f t="shared" si="3046"/>
        <v>7</v>
      </c>
      <c r="M526" s="164">
        <f t="shared" si="3046"/>
        <v>212</v>
      </c>
      <c r="N526" s="164">
        <f t="shared" si="3046"/>
        <v>21</v>
      </c>
      <c r="O526" s="165">
        <f t="shared" si="3046"/>
        <v>37</v>
      </c>
      <c r="P526" s="165">
        <f t="shared" si="3046"/>
        <v>33</v>
      </c>
      <c r="Q526" s="165">
        <f t="shared" si="3046"/>
        <v>29</v>
      </c>
      <c r="R526" s="165">
        <f t="shared" si="3046"/>
        <v>25</v>
      </c>
      <c r="S526" s="165">
        <f t="shared" si="3046"/>
        <v>27</v>
      </c>
      <c r="T526" s="165">
        <f t="shared" si="3046"/>
        <v>40</v>
      </c>
      <c r="U526" s="164">
        <f t="shared" si="3046"/>
        <v>133</v>
      </c>
      <c r="V526" s="164">
        <f t="shared" si="2970"/>
        <v>22</v>
      </c>
      <c r="W526" s="165">
        <f t="shared" ref="W526:Y526" si="3047">SUM(W520:W525)</f>
        <v>9</v>
      </c>
      <c r="X526" s="165">
        <f t="shared" si="3047"/>
        <v>6</v>
      </c>
      <c r="Y526" s="165">
        <f t="shared" si="3047"/>
        <v>7</v>
      </c>
      <c r="Z526" s="165">
        <f t="shared" si="2979"/>
        <v>10</v>
      </c>
      <c r="AA526" s="165">
        <f t="shared" ref="AA526:AF526" si="3048">SUM(AA520:AA525)</f>
        <v>4</v>
      </c>
      <c r="AB526" s="165">
        <f t="shared" si="3048"/>
        <v>6</v>
      </c>
      <c r="AC526" s="166">
        <f t="shared" si="3048"/>
        <v>9</v>
      </c>
      <c r="AD526" s="166">
        <f t="shared" si="3048"/>
        <v>6</v>
      </c>
      <c r="AE526" s="166">
        <f t="shared" si="3048"/>
        <v>8</v>
      </c>
      <c r="AF526" s="166">
        <f t="shared" si="3048"/>
        <v>7</v>
      </c>
      <c r="AG526" s="168">
        <f t="shared" si="2940"/>
        <v>30</v>
      </c>
      <c r="AH526" s="166">
        <f t="shared" ref="AH526:AJ526" si="3049">SUM(AH520:AH525)</f>
        <v>35</v>
      </c>
      <c r="AI526" s="167">
        <f t="shared" si="3049"/>
        <v>26</v>
      </c>
      <c r="AJ526" s="167">
        <f t="shared" si="3049"/>
        <v>42</v>
      </c>
      <c r="AK526" s="168">
        <f t="shared" si="2942"/>
        <v>103</v>
      </c>
      <c r="AL526" s="166"/>
      <c r="AM526" s="166"/>
      <c r="AN526" s="166"/>
      <c r="AO526" s="166"/>
      <c r="AP526" s="169"/>
      <c r="AQ526" s="166"/>
      <c r="AR526" s="167"/>
      <c r="AS526" s="167"/>
      <c r="AT526" s="170"/>
      <c r="AU526" s="166"/>
      <c r="AV526" s="167"/>
      <c r="AW526" s="167"/>
      <c r="AX526" s="171"/>
      <c r="AY526" s="196">
        <f t="shared" ref="AY526:BD526" si="3050">SUM(AY520:AY525)</f>
        <v>2.4</v>
      </c>
      <c r="AZ526" s="196">
        <f t="shared" si="3050"/>
        <v>3.8</v>
      </c>
      <c r="BA526" s="167">
        <f t="shared" si="3050"/>
        <v>0</v>
      </c>
      <c r="BB526" s="167">
        <f t="shared" si="3050"/>
        <v>0</v>
      </c>
      <c r="BC526" s="197">
        <f t="shared" si="3050"/>
        <v>7257.8</v>
      </c>
      <c r="BD526" s="197">
        <f t="shared" si="3050"/>
        <v>7260.2</v>
      </c>
      <c r="BE526" s="154" t="str">
        <f t="shared" ref="BE526:BF526" si="3051">TEXTJOIN(", ",TRUE,BE520:BE525)</f>
        <v/>
      </c>
      <c r="BF526" s="154" t="str">
        <f t="shared" si="3051"/>
        <v/>
      </c>
    </row>
    <row r="527" ht="15.75" customHeight="1">
      <c r="A527" s="67">
        <f t="shared" si="2930"/>
        <v>46272</v>
      </c>
      <c r="B527" s="124" t="s">
        <v>49</v>
      </c>
      <c r="C527" s="174">
        <f t="shared" si="2931"/>
        <v>0</v>
      </c>
      <c r="D527" s="175">
        <f t="shared" ref="D527:L527" si="3052">RANDBETWEEN(0,2)</f>
        <v>0</v>
      </c>
      <c r="E527" s="175">
        <f t="shared" si="3052"/>
        <v>1</v>
      </c>
      <c r="F527" s="175">
        <f t="shared" si="3052"/>
        <v>0</v>
      </c>
      <c r="G527" s="175">
        <f t="shared" si="3052"/>
        <v>2</v>
      </c>
      <c r="H527" s="176">
        <f t="shared" si="3052"/>
        <v>0</v>
      </c>
      <c r="I527" s="177">
        <f t="shared" si="3052"/>
        <v>1</v>
      </c>
      <c r="J527" s="178">
        <f t="shared" si="3052"/>
        <v>2</v>
      </c>
      <c r="K527" s="179">
        <f t="shared" si="3052"/>
        <v>0</v>
      </c>
      <c r="L527" s="179">
        <f t="shared" si="3052"/>
        <v>2</v>
      </c>
      <c r="M527" s="180">
        <f t="shared" ref="M527:M532" si="3059">SUM(N527:T527)</f>
        <v>27</v>
      </c>
      <c r="N527" s="175">
        <f t="shared" ref="N527:T527" si="3053">RANDBETWEEN(0,10)</f>
        <v>10</v>
      </c>
      <c r="O527" s="175">
        <f t="shared" si="3053"/>
        <v>3</v>
      </c>
      <c r="P527" s="175">
        <f t="shared" si="3053"/>
        <v>7</v>
      </c>
      <c r="Q527" s="175">
        <f t="shared" si="3053"/>
        <v>2</v>
      </c>
      <c r="R527" s="175">
        <f t="shared" si="3053"/>
        <v>0</v>
      </c>
      <c r="S527" s="175">
        <f t="shared" si="3053"/>
        <v>5</v>
      </c>
      <c r="T527" s="175">
        <f t="shared" si="3053"/>
        <v>0</v>
      </c>
      <c r="U527" s="181">
        <f t="shared" ref="U527:U531" si="3061">RANDBETWEEN(10,30)</f>
        <v>10</v>
      </c>
      <c r="V527" s="182">
        <f t="shared" si="2970"/>
        <v>3</v>
      </c>
      <c r="W527" s="175">
        <f t="shared" ref="W527:Y527" si="3054">RANDBETWEEN(0,2)</f>
        <v>2</v>
      </c>
      <c r="X527" s="175">
        <f t="shared" si="3054"/>
        <v>0</v>
      </c>
      <c r="Y527" s="175">
        <f t="shared" si="3054"/>
        <v>1</v>
      </c>
      <c r="Z527" s="183">
        <f t="shared" si="2979"/>
        <v>2</v>
      </c>
      <c r="AA527" s="198">
        <f t="shared" ref="AA527:AF527" si="3055">RANDBETWEEN(0,2)</f>
        <v>0</v>
      </c>
      <c r="AB527" s="198">
        <f t="shared" si="3055"/>
        <v>2</v>
      </c>
      <c r="AC527" s="199">
        <f t="shared" si="3055"/>
        <v>2</v>
      </c>
      <c r="AD527" s="200">
        <f t="shared" si="3055"/>
        <v>2</v>
      </c>
      <c r="AE527" s="200">
        <f t="shared" si="3055"/>
        <v>2</v>
      </c>
      <c r="AF527" s="200">
        <f t="shared" si="3055"/>
        <v>0</v>
      </c>
      <c r="AG527" s="187">
        <f t="shared" si="2940"/>
        <v>6</v>
      </c>
      <c r="AH527" s="199">
        <f t="shared" ref="AH527:AJ527" si="3056">RANDBETWEEN(1,10)</f>
        <v>8</v>
      </c>
      <c r="AI527" s="200">
        <f t="shared" si="3056"/>
        <v>8</v>
      </c>
      <c r="AJ527" s="200">
        <f t="shared" si="3056"/>
        <v>8</v>
      </c>
      <c r="AK527" s="188">
        <f t="shared" si="2942"/>
        <v>24</v>
      </c>
      <c r="AL527" s="199"/>
      <c r="AM527" s="200"/>
      <c r="AN527" s="200"/>
      <c r="AO527" s="200"/>
      <c r="AP527" s="189"/>
      <c r="AQ527" s="199"/>
      <c r="AR527" s="200"/>
      <c r="AS527" s="200"/>
      <c r="AT527" s="190"/>
      <c r="AU527" s="199"/>
      <c r="AV527" s="200"/>
      <c r="AW527" s="200"/>
      <c r="AX527" s="191"/>
      <c r="AY527" s="92">
        <f t="shared" ref="AY527:AZ527" si="3057">RANDBETWEEN(1,10)/10</f>
        <v>0.5</v>
      </c>
      <c r="AZ527" s="92">
        <f t="shared" si="3057"/>
        <v>0.5</v>
      </c>
      <c r="BA527" s="93">
        <v>0.0</v>
      </c>
      <c r="BB527" s="93">
        <v>0.0</v>
      </c>
      <c r="BC527" s="94">
        <f>SUM(BC499,'ГОЧ'!$AY527)</f>
        <v>1209.2</v>
      </c>
      <c r="BD527" s="94">
        <f>SUM(BD499,'ГОЧ'!$AZ527)</f>
        <v>1208.2</v>
      </c>
      <c r="BE527" s="186"/>
      <c r="BF527" s="186"/>
    </row>
    <row r="528" ht="15.75" customHeight="1">
      <c r="A528" s="67">
        <f t="shared" si="2930"/>
        <v>46272</v>
      </c>
      <c r="B528" s="195" t="s">
        <v>53</v>
      </c>
      <c r="C528" s="157">
        <f t="shared" si="2931"/>
        <v>4</v>
      </c>
      <c r="D528" s="97">
        <f t="shared" ref="D528:L528" si="3058">RANDBETWEEN(0,2)</f>
        <v>2</v>
      </c>
      <c r="E528" s="97">
        <f t="shared" si="3058"/>
        <v>1</v>
      </c>
      <c r="F528" s="97">
        <f t="shared" si="3058"/>
        <v>2</v>
      </c>
      <c r="G528" s="97">
        <f t="shared" si="3058"/>
        <v>1</v>
      </c>
      <c r="H528" s="98">
        <f t="shared" si="3058"/>
        <v>1</v>
      </c>
      <c r="I528" s="99">
        <f t="shared" si="3058"/>
        <v>2</v>
      </c>
      <c r="J528" s="100">
        <f t="shared" si="3058"/>
        <v>2</v>
      </c>
      <c r="K528" s="101">
        <f t="shared" si="3058"/>
        <v>2</v>
      </c>
      <c r="L528" s="101">
        <f t="shared" si="3058"/>
        <v>0</v>
      </c>
      <c r="M528" s="140">
        <f t="shared" si="3059"/>
        <v>35</v>
      </c>
      <c r="N528" s="97">
        <f t="shared" ref="N528:T528" si="3060">RANDBETWEEN(0,10)</f>
        <v>7</v>
      </c>
      <c r="O528" s="97">
        <f t="shared" si="3060"/>
        <v>10</v>
      </c>
      <c r="P528" s="97">
        <f t="shared" si="3060"/>
        <v>2</v>
      </c>
      <c r="Q528" s="97">
        <f t="shared" si="3060"/>
        <v>8</v>
      </c>
      <c r="R528" s="97">
        <f t="shared" si="3060"/>
        <v>1</v>
      </c>
      <c r="S528" s="97">
        <f t="shared" si="3060"/>
        <v>4</v>
      </c>
      <c r="T528" s="97">
        <f t="shared" si="3060"/>
        <v>3</v>
      </c>
      <c r="U528" s="103">
        <f t="shared" si="3061"/>
        <v>26</v>
      </c>
      <c r="V528" s="158">
        <f t="shared" si="2970"/>
        <v>3</v>
      </c>
      <c r="W528" s="97">
        <f t="shared" ref="W528:Y528" si="3062">RANDBETWEEN(0,2)</f>
        <v>2</v>
      </c>
      <c r="X528" s="97">
        <f t="shared" si="3062"/>
        <v>1</v>
      </c>
      <c r="Y528" s="97">
        <f t="shared" si="3062"/>
        <v>0</v>
      </c>
      <c r="Z528" s="105">
        <f t="shared" si="2979"/>
        <v>1</v>
      </c>
      <c r="AA528" s="106">
        <f t="shared" ref="AA528:AF528" si="3063">RANDBETWEEN(0,2)</f>
        <v>0</v>
      </c>
      <c r="AB528" s="106">
        <f t="shared" si="3063"/>
        <v>1</v>
      </c>
      <c r="AC528" s="107">
        <f t="shared" si="3063"/>
        <v>0</v>
      </c>
      <c r="AD528" s="108">
        <f t="shared" si="3063"/>
        <v>0</v>
      </c>
      <c r="AE528" s="108">
        <f t="shared" si="3063"/>
        <v>0</v>
      </c>
      <c r="AF528" s="108">
        <f t="shared" si="3063"/>
        <v>0</v>
      </c>
      <c r="AG528" s="86">
        <f t="shared" si="2940"/>
        <v>0</v>
      </c>
      <c r="AH528" s="107">
        <f t="shared" ref="AH528:AJ528" si="3064">RANDBETWEEN(1,10)</f>
        <v>8</v>
      </c>
      <c r="AI528" s="108">
        <f t="shared" si="3064"/>
        <v>8</v>
      </c>
      <c r="AJ528" s="108">
        <f t="shared" si="3064"/>
        <v>9</v>
      </c>
      <c r="AK528" s="192">
        <f t="shared" si="2942"/>
        <v>25</v>
      </c>
      <c r="AL528" s="107"/>
      <c r="AM528" s="108"/>
      <c r="AN528" s="108"/>
      <c r="AO528" s="108"/>
      <c r="AP528" s="89"/>
      <c r="AQ528" s="107"/>
      <c r="AR528" s="108"/>
      <c r="AS528" s="108"/>
      <c r="AT528" s="193"/>
      <c r="AU528" s="107"/>
      <c r="AV528" s="108"/>
      <c r="AW528" s="108"/>
      <c r="AX528" s="194"/>
      <c r="AY528" s="92">
        <f t="shared" ref="AY528:AZ528" si="3065">RANDBETWEEN(1,10)/10</f>
        <v>0.1</v>
      </c>
      <c r="AZ528" s="92">
        <f t="shared" si="3065"/>
        <v>0.2</v>
      </c>
      <c r="BA528" s="93">
        <v>0.0</v>
      </c>
      <c r="BB528" s="93">
        <v>0.0</v>
      </c>
      <c r="BC528" s="94">
        <f>SUM(BC500,'ГОЧ'!$AY528)</f>
        <v>1207.2</v>
      </c>
      <c r="BD528" s="94">
        <f>SUM(BD500,'ГОЧ'!$AZ528)</f>
        <v>1209.6</v>
      </c>
      <c r="BE528" s="108"/>
      <c r="BF528" s="108"/>
    </row>
    <row r="529" ht="15.75" customHeight="1">
      <c r="A529" s="67">
        <f t="shared" si="2930"/>
        <v>46272</v>
      </c>
      <c r="B529" s="138" t="s">
        <v>57</v>
      </c>
      <c r="C529" s="157">
        <f t="shared" si="2931"/>
        <v>3</v>
      </c>
      <c r="D529" s="97">
        <f t="shared" ref="D529:L529" si="3066">RANDBETWEEN(0,2)</f>
        <v>2</v>
      </c>
      <c r="E529" s="97">
        <f t="shared" si="3066"/>
        <v>2</v>
      </c>
      <c r="F529" s="97">
        <f t="shared" si="3066"/>
        <v>1</v>
      </c>
      <c r="G529" s="97">
        <f t="shared" si="3066"/>
        <v>1</v>
      </c>
      <c r="H529" s="98">
        <f t="shared" si="3066"/>
        <v>2</v>
      </c>
      <c r="I529" s="99">
        <f t="shared" si="3066"/>
        <v>2</v>
      </c>
      <c r="J529" s="100">
        <f t="shared" si="3066"/>
        <v>0</v>
      </c>
      <c r="K529" s="101">
        <f t="shared" si="3066"/>
        <v>2</v>
      </c>
      <c r="L529" s="101">
        <f t="shared" si="3066"/>
        <v>1</v>
      </c>
      <c r="M529" s="140">
        <f t="shared" si="3059"/>
        <v>34</v>
      </c>
      <c r="N529" s="97">
        <f t="shared" ref="N529:T529" si="3067">RANDBETWEEN(0,10)</f>
        <v>5</v>
      </c>
      <c r="O529" s="97">
        <f t="shared" si="3067"/>
        <v>7</v>
      </c>
      <c r="P529" s="97">
        <f t="shared" si="3067"/>
        <v>9</v>
      </c>
      <c r="Q529" s="97">
        <f t="shared" si="3067"/>
        <v>1</v>
      </c>
      <c r="R529" s="97">
        <f t="shared" si="3067"/>
        <v>2</v>
      </c>
      <c r="S529" s="97">
        <f t="shared" si="3067"/>
        <v>2</v>
      </c>
      <c r="T529" s="97">
        <f t="shared" si="3067"/>
        <v>8</v>
      </c>
      <c r="U529" s="103">
        <f t="shared" si="3061"/>
        <v>26</v>
      </c>
      <c r="V529" s="158">
        <f t="shared" si="2970"/>
        <v>0</v>
      </c>
      <c r="W529" s="97">
        <f t="shared" ref="W529:Y529" si="3068">RANDBETWEEN(0,2)</f>
        <v>0</v>
      </c>
      <c r="X529" s="97">
        <f t="shared" si="3068"/>
        <v>0</v>
      </c>
      <c r="Y529" s="97">
        <f t="shared" si="3068"/>
        <v>0</v>
      </c>
      <c r="Z529" s="105">
        <f t="shared" si="2979"/>
        <v>2</v>
      </c>
      <c r="AA529" s="143">
        <f t="shared" ref="AA529:AF529" si="3069">RANDBETWEEN(0,2)</f>
        <v>2</v>
      </c>
      <c r="AB529" s="143">
        <f t="shared" si="3069"/>
        <v>0</v>
      </c>
      <c r="AC529" s="144">
        <f t="shared" si="3069"/>
        <v>2</v>
      </c>
      <c r="AD529" s="145">
        <f t="shared" si="3069"/>
        <v>0</v>
      </c>
      <c r="AE529" s="145">
        <f t="shared" si="3069"/>
        <v>1</v>
      </c>
      <c r="AF529" s="145">
        <f t="shared" si="3069"/>
        <v>1</v>
      </c>
      <c r="AG529" s="86">
        <f t="shared" si="2940"/>
        <v>4</v>
      </c>
      <c r="AH529" s="144">
        <f t="shared" ref="AH529:AJ529" si="3070">RANDBETWEEN(1,10)</f>
        <v>7</v>
      </c>
      <c r="AI529" s="145">
        <f t="shared" si="3070"/>
        <v>3</v>
      </c>
      <c r="AJ529" s="145">
        <f t="shared" si="3070"/>
        <v>9</v>
      </c>
      <c r="AK529" s="192">
        <f t="shared" si="2942"/>
        <v>19</v>
      </c>
      <c r="AL529" s="144"/>
      <c r="AM529" s="145"/>
      <c r="AN529" s="145"/>
      <c r="AO529" s="145"/>
      <c r="AP529" s="89"/>
      <c r="AQ529" s="144"/>
      <c r="AR529" s="145"/>
      <c r="AS529" s="145"/>
      <c r="AT529" s="193"/>
      <c r="AU529" s="144"/>
      <c r="AV529" s="145"/>
      <c r="AW529" s="145"/>
      <c r="AX529" s="194"/>
      <c r="AY529" s="92">
        <f t="shared" ref="AY529:AZ529" si="3071">RANDBETWEEN(1,10)/10</f>
        <v>0.5</v>
      </c>
      <c r="AZ529" s="92">
        <f t="shared" si="3071"/>
        <v>0.4</v>
      </c>
      <c r="BA529" s="93">
        <v>0.0</v>
      </c>
      <c r="BB529" s="93">
        <v>0.0</v>
      </c>
      <c r="BC529" s="94">
        <f>SUM(BC501,'ГОЧ'!$AY529)</f>
        <v>1211</v>
      </c>
      <c r="BD529" s="94">
        <f>SUM(BD501,'ГОЧ'!$AZ529)</f>
        <v>1210.1</v>
      </c>
      <c r="BE529" s="108"/>
      <c r="BF529" s="108"/>
    </row>
    <row r="530" ht="15.75" customHeight="1">
      <c r="A530" s="67">
        <f t="shared" si="2930"/>
        <v>46272</v>
      </c>
      <c r="B530" s="138" t="s">
        <v>60</v>
      </c>
      <c r="C530" s="157">
        <f t="shared" si="2931"/>
        <v>3</v>
      </c>
      <c r="D530" s="97">
        <f t="shared" ref="D530:L530" si="3072">RANDBETWEEN(0,2)</f>
        <v>2</v>
      </c>
      <c r="E530" s="97">
        <f t="shared" si="3072"/>
        <v>2</v>
      </c>
      <c r="F530" s="97">
        <f t="shared" si="3072"/>
        <v>1</v>
      </c>
      <c r="G530" s="97">
        <f t="shared" si="3072"/>
        <v>2</v>
      </c>
      <c r="H530" s="98">
        <f t="shared" si="3072"/>
        <v>2</v>
      </c>
      <c r="I530" s="99">
        <f t="shared" si="3072"/>
        <v>2</v>
      </c>
      <c r="J530" s="100">
        <f t="shared" si="3072"/>
        <v>0</v>
      </c>
      <c r="K530" s="101">
        <f t="shared" si="3072"/>
        <v>0</v>
      </c>
      <c r="L530" s="101">
        <f t="shared" si="3072"/>
        <v>0</v>
      </c>
      <c r="M530" s="140">
        <f t="shared" si="3059"/>
        <v>42</v>
      </c>
      <c r="N530" s="97">
        <f t="shared" ref="N530:T530" si="3073">RANDBETWEEN(0,10)</f>
        <v>9</v>
      </c>
      <c r="O530" s="97">
        <f t="shared" si="3073"/>
        <v>7</v>
      </c>
      <c r="P530" s="97">
        <f t="shared" si="3073"/>
        <v>9</v>
      </c>
      <c r="Q530" s="97">
        <f t="shared" si="3073"/>
        <v>10</v>
      </c>
      <c r="R530" s="97">
        <f t="shared" si="3073"/>
        <v>0</v>
      </c>
      <c r="S530" s="97">
        <f t="shared" si="3073"/>
        <v>2</v>
      </c>
      <c r="T530" s="97">
        <f t="shared" si="3073"/>
        <v>5</v>
      </c>
      <c r="U530" s="103">
        <f t="shared" si="3061"/>
        <v>28</v>
      </c>
      <c r="V530" s="158">
        <f t="shared" si="2970"/>
        <v>3</v>
      </c>
      <c r="W530" s="97">
        <f t="shared" ref="W530:Y530" si="3074">RANDBETWEEN(0,2)</f>
        <v>1</v>
      </c>
      <c r="X530" s="97">
        <f t="shared" si="3074"/>
        <v>0</v>
      </c>
      <c r="Y530" s="97">
        <f t="shared" si="3074"/>
        <v>2</v>
      </c>
      <c r="Z530" s="105">
        <f t="shared" si="2979"/>
        <v>1</v>
      </c>
      <c r="AA530" s="106">
        <f t="shared" ref="AA530:AF530" si="3075">RANDBETWEEN(0,2)</f>
        <v>1</v>
      </c>
      <c r="AB530" s="106">
        <f t="shared" si="3075"/>
        <v>0</v>
      </c>
      <c r="AC530" s="107">
        <f t="shared" si="3075"/>
        <v>1</v>
      </c>
      <c r="AD530" s="108">
        <f t="shared" si="3075"/>
        <v>2</v>
      </c>
      <c r="AE530" s="108">
        <f t="shared" si="3075"/>
        <v>2</v>
      </c>
      <c r="AF530" s="108">
        <f t="shared" si="3075"/>
        <v>2</v>
      </c>
      <c r="AG530" s="86">
        <f t="shared" si="2940"/>
        <v>7</v>
      </c>
      <c r="AH530" s="107">
        <f t="shared" ref="AH530:AJ530" si="3076">RANDBETWEEN(1,10)</f>
        <v>8</v>
      </c>
      <c r="AI530" s="108">
        <f t="shared" si="3076"/>
        <v>8</v>
      </c>
      <c r="AJ530" s="108">
        <f t="shared" si="3076"/>
        <v>6</v>
      </c>
      <c r="AK530" s="192">
        <f t="shared" si="2942"/>
        <v>22</v>
      </c>
      <c r="AL530" s="107"/>
      <c r="AM530" s="108"/>
      <c r="AN530" s="108"/>
      <c r="AO530" s="108"/>
      <c r="AP530" s="89"/>
      <c r="AQ530" s="107"/>
      <c r="AR530" s="108"/>
      <c r="AS530" s="108"/>
      <c r="AT530" s="193"/>
      <c r="AU530" s="107"/>
      <c r="AV530" s="108"/>
      <c r="AW530" s="108"/>
      <c r="AX530" s="194"/>
      <c r="AY530" s="92">
        <f t="shared" ref="AY530:AZ530" si="3077">RANDBETWEEN(1,10)/10</f>
        <v>0.9</v>
      </c>
      <c r="AZ530" s="92">
        <f t="shared" si="3077"/>
        <v>0.3</v>
      </c>
      <c r="BA530" s="93">
        <v>0.0</v>
      </c>
      <c r="BB530" s="93">
        <v>0.0</v>
      </c>
      <c r="BC530" s="94">
        <f>SUM(BC502,'ГОЧ'!$AY530)</f>
        <v>1209.3</v>
      </c>
      <c r="BD530" s="94">
        <f>SUM(BD502,'ГОЧ'!$AZ530)</f>
        <v>1208.8</v>
      </c>
      <c r="BE530" s="108"/>
      <c r="BF530" s="108"/>
    </row>
    <row r="531" ht="15.75" customHeight="1">
      <c r="A531" s="67">
        <f t="shared" si="2930"/>
        <v>46272</v>
      </c>
      <c r="B531" s="195" t="s">
        <v>64</v>
      </c>
      <c r="C531" s="157">
        <f t="shared" si="2931"/>
        <v>2</v>
      </c>
      <c r="D531" s="97">
        <f t="shared" ref="D531:L531" si="3078">RANDBETWEEN(0,2)</f>
        <v>1</v>
      </c>
      <c r="E531" s="97">
        <f t="shared" si="3078"/>
        <v>0</v>
      </c>
      <c r="F531" s="97">
        <f t="shared" si="3078"/>
        <v>1</v>
      </c>
      <c r="G531" s="97">
        <f t="shared" si="3078"/>
        <v>2</v>
      </c>
      <c r="H531" s="98">
        <f t="shared" si="3078"/>
        <v>1</v>
      </c>
      <c r="I531" s="99">
        <f t="shared" si="3078"/>
        <v>0</v>
      </c>
      <c r="J531" s="100">
        <f t="shared" si="3078"/>
        <v>2</v>
      </c>
      <c r="K531" s="101">
        <f t="shared" si="3078"/>
        <v>1</v>
      </c>
      <c r="L531" s="101">
        <f t="shared" si="3078"/>
        <v>0</v>
      </c>
      <c r="M531" s="140">
        <f t="shared" si="3059"/>
        <v>24</v>
      </c>
      <c r="N531" s="97">
        <f t="shared" ref="N531:T531" si="3079">RANDBETWEEN(0,10)</f>
        <v>9</v>
      </c>
      <c r="O531" s="97">
        <f t="shared" si="3079"/>
        <v>3</v>
      </c>
      <c r="P531" s="97">
        <f t="shared" si="3079"/>
        <v>8</v>
      </c>
      <c r="Q531" s="97">
        <f t="shared" si="3079"/>
        <v>1</v>
      </c>
      <c r="R531" s="97">
        <f t="shared" si="3079"/>
        <v>1</v>
      </c>
      <c r="S531" s="97">
        <f t="shared" si="3079"/>
        <v>0</v>
      </c>
      <c r="T531" s="97">
        <f t="shared" si="3079"/>
        <v>2</v>
      </c>
      <c r="U531" s="103">
        <f t="shared" si="3061"/>
        <v>11</v>
      </c>
      <c r="V531" s="158">
        <f t="shared" si="2970"/>
        <v>6</v>
      </c>
      <c r="W531" s="97">
        <f t="shared" ref="W531:Y531" si="3080">RANDBETWEEN(0,2)</f>
        <v>2</v>
      </c>
      <c r="X531" s="97">
        <f t="shared" si="3080"/>
        <v>2</v>
      </c>
      <c r="Y531" s="97">
        <f t="shared" si="3080"/>
        <v>2</v>
      </c>
      <c r="Z531" s="105">
        <f t="shared" si="2979"/>
        <v>3</v>
      </c>
      <c r="AA531" s="143">
        <f t="shared" ref="AA531:AF531" si="3081">RANDBETWEEN(0,2)</f>
        <v>2</v>
      </c>
      <c r="AB531" s="143">
        <f t="shared" si="3081"/>
        <v>1</v>
      </c>
      <c r="AC531" s="144">
        <f t="shared" si="3081"/>
        <v>1</v>
      </c>
      <c r="AD531" s="145">
        <f t="shared" si="3081"/>
        <v>1</v>
      </c>
      <c r="AE531" s="145">
        <f t="shared" si="3081"/>
        <v>1</v>
      </c>
      <c r="AF531" s="145">
        <f t="shared" si="3081"/>
        <v>0</v>
      </c>
      <c r="AG531" s="86">
        <f t="shared" si="2940"/>
        <v>3</v>
      </c>
      <c r="AH531" s="144">
        <f t="shared" ref="AH531:AJ531" si="3082">RANDBETWEEN(1,10)</f>
        <v>8</v>
      </c>
      <c r="AI531" s="145">
        <f t="shared" si="3082"/>
        <v>5</v>
      </c>
      <c r="AJ531" s="145">
        <f t="shared" si="3082"/>
        <v>3</v>
      </c>
      <c r="AK531" s="192">
        <f t="shared" si="2942"/>
        <v>16</v>
      </c>
      <c r="AL531" s="144"/>
      <c r="AM531" s="145"/>
      <c r="AN531" s="145"/>
      <c r="AO531" s="145"/>
      <c r="AP531" s="89"/>
      <c r="AQ531" s="144"/>
      <c r="AR531" s="145"/>
      <c r="AS531" s="145"/>
      <c r="AT531" s="193"/>
      <c r="AU531" s="144"/>
      <c r="AV531" s="145"/>
      <c r="AW531" s="145"/>
      <c r="AX531" s="194"/>
      <c r="AY531" s="92">
        <f t="shared" ref="AY531:AZ531" si="3083">RANDBETWEEN(1,10)/10</f>
        <v>0.1</v>
      </c>
      <c r="AZ531" s="92">
        <f t="shared" si="3083"/>
        <v>0.9</v>
      </c>
      <c r="BA531" s="93">
        <v>0.0</v>
      </c>
      <c r="BB531" s="93">
        <v>0.0</v>
      </c>
      <c r="BC531" s="94">
        <f>SUM(BC503,'ГОЧ'!$AY531)</f>
        <v>1208.4</v>
      </c>
      <c r="BD531" s="94">
        <f>SUM(BD503,'ГОЧ'!$AZ531)</f>
        <v>1208.2</v>
      </c>
      <c r="BE531" s="108"/>
      <c r="BF531" s="108"/>
    </row>
    <row r="532" ht="15.75" customHeight="1">
      <c r="A532" s="67">
        <f t="shared" si="2930"/>
        <v>46272</v>
      </c>
      <c r="B532" s="201" t="s">
        <v>67</v>
      </c>
      <c r="C532" s="164">
        <f t="shared" si="2931"/>
        <v>12</v>
      </c>
      <c r="D532" s="164">
        <f t="shared" ref="D532:L532" si="3084">SUM(D527:D531)</f>
        <v>7</v>
      </c>
      <c r="E532" s="165">
        <f t="shared" si="3084"/>
        <v>6</v>
      </c>
      <c r="F532" s="165">
        <f t="shared" si="3084"/>
        <v>5</v>
      </c>
      <c r="G532" s="165">
        <f t="shared" si="3084"/>
        <v>8</v>
      </c>
      <c r="H532" s="165">
        <f t="shared" si="3084"/>
        <v>6</v>
      </c>
      <c r="I532" s="165">
        <f t="shared" si="3084"/>
        <v>7</v>
      </c>
      <c r="J532" s="165">
        <f t="shared" si="3084"/>
        <v>6</v>
      </c>
      <c r="K532" s="165">
        <f t="shared" si="3084"/>
        <v>5</v>
      </c>
      <c r="L532" s="165">
        <f t="shared" si="3084"/>
        <v>3</v>
      </c>
      <c r="M532" s="164">
        <f t="shared" si="3059"/>
        <v>162</v>
      </c>
      <c r="N532" s="164">
        <f t="shared" ref="N532:U532" si="3085">SUM(N527:N531)</f>
        <v>40</v>
      </c>
      <c r="O532" s="165">
        <f t="shared" si="3085"/>
        <v>30</v>
      </c>
      <c r="P532" s="165">
        <f t="shared" si="3085"/>
        <v>35</v>
      </c>
      <c r="Q532" s="165">
        <f t="shared" si="3085"/>
        <v>22</v>
      </c>
      <c r="R532" s="165">
        <f t="shared" si="3085"/>
        <v>4</v>
      </c>
      <c r="S532" s="165">
        <f t="shared" si="3085"/>
        <v>13</v>
      </c>
      <c r="T532" s="165">
        <f t="shared" si="3085"/>
        <v>18</v>
      </c>
      <c r="U532" s="164">
        <f t="shared" si="3085"/>
        <v>101</v>
      </c>
      <c r="V532" s="164">
        <f t="shared" si="2970"/>
        <v>15</v>
      </c>
      <c r="W532" s="165">
        <f t="shared" ref="W532:Y532" si="3086">SUM(W527:W531)</f>
        <v>7</v>
      </c>
      <c r="X532" s="165">
        <f t="shared" si="3086"/>
        <v>3</v>
      </c>
      <c r="Y532" s="165">
        <f t="shared" si="3086"/>
        <v>5</v>
      </c>
      <c r="Z532" s="164">
        <f>SUM(AA532:AB532)</f>
        <v>9</v>
      </c>
      <c r="AA532" s="164">
        <f t="shared" ref="AA532:AF532" si="3087">SUM(AA527:AA531)</f>
        <v>5</v>
      </c>
      <c r="AB532" s="165">
        <f t="shared" si="3087"/>
        <v>4</v>
      </c>
      <c r="AC532" s="166">
        <f t="shared" si="3087"/>
        <v>6</v>
      </c>
      <c r="AD532" s="166">
        <f t="shared" si="3087"/>
        <v>5</v>
      </c>
      <c r="AE532" s="166">
        <f t="shared" si="3087"/>
        <v>6</v>
      </c>
      <c r="AF532" s="166">
        <f t="shared" si="3087"/>
        <v>3</v>
      </c>
      <c r="AG532" s="168">
        <f t="shared" si="2940"/>
        <v>20</v>
      </c>
      <c r="AH532" s="166">
        <f t="shared" ref="AH532:AJ532" si="3088">SUM(AH527:AH531)</f>
        <v>39</v>
      </c>
      <c r="AI532" s="167">
        <f t="shared" si="3088"/>
        <v>32</v>
      </c>
      <c r="AJ532" s="167">
        <f t="shared" si="3088"/>
        <v>35</v>
      </c>
      <c r="AK532" s="168">
        <f t="shared" si="2942"/>
        <v>106</v>
      </c>
      <c r="AL532" s="166"/>
      <c r="AM532" s="166"/>
      <c r="AN532" s="166"/>
      <c r="AO532" s="166"/>
      <c r="AP532" s="169"/>
      <c r="AQ532" s="166"/>
      <c r="AR532" s="167"/>
      <c r="AS532" s="167"/>
      <c r="AT532" s="170"/>
      <c r="AU532" s="166"/>
      <c r="AV532" s="167"/>
      <c r="AW532" s="167"/>
      <c r="AX532" s="171"/>
      <c r="AY532" s="196">
        <f t="shared" ref="AY532:BD532" si="3089">SUM(AY527:AY531)</f>
        <v>2.1</v>
      </c>
      <c r="AZ532" s="196">
        <f t="shared" si="3089"/>
        <v>2.3</v>
      </c>
      <c r="BA532" s="167">
        <f t="shared" si="3089"/>
        <v>0</v>
      </c>
      <c r="BB532" s="167">
        <f t="shared" si="3089"/>
        <v>0</v>
      </c>
      <c r="BC532" s="197">
        <f t="shared" si="3089"/>
        <v>6045.1</v>
      </c>
      <c r="BD532" s="197">
        <f t="shared" si="3089"/>
        <v>6044.9</v>
      </c>
      <c r="BE532" s="154" t="str">
        <f t="shared" ref="BE532:BF532" si="3090">TEXTJOIN(", ",TRUE,BE527:BE531)</f>
        <v/>
      </c>
      <c r="BF532" s="154" t="str">
        <f t="shared" si="3090"/>
        <v/>
      </c>
    </row>
    <row r="533" ht="15.75" customHeight="1">
      <c r="A533" s="67">
        <f t="shared" si="2930"/>
        <v>46272</v>
      </c>
      <c r="B533" s="202" t="s">
        <v>72</v>
      </c>
      <c r="C533" s="203">
        <f t="shared" ref="C533:AK533" si="3091">SUM(C507+C508+C509+C513,C512,C519,C526,C532)</f>
        <v>45</v>
      </c>
      <c r="D533" s="203">
        <f t="shared" si="3091"/>
        <v>23</v>
      </c>
      <c r="E533" s="203">
        <f t="shared" si="3091"/>
        <v>24</v>
      </c>
      <c r="F533" s="203">
        <f t="shared" si="3091"/>
        <v>22</v>
      </c>
      <c r="G533" s="203">
        <f t="shared" si="3091"/>
        <v>21</v>
      </c>
      <c r="H533" s="203">
        <f t="shared" si="3091"/>
        <v>22</v>
      </c>
      <c r="I533" s="203">
        <f t="shared" si="3091"/>
        <v>24</v>
      </c>
      <c r="J533" s="203">
        <f t="shared" si="3091"/>
        <v>25</v>
      </c>
      <c r="K533" s="203">
        <f t="shared" si="3091"/>
        <v>18</v>
      </c>
      <c r="L533" s="203">
        <f t="shared" si="3091"/>
        <v>18</v>
      </c>
      <c r="M533" s="203">
        <f t="shared" si="3091"/>
        <v>700</v>
      </c>
      <c r="N533" s="203">
        <f t="shared" si="3091"/>
        <v>100</v>
      </c>
      <c r="O533" s="203">
        <f t="shared" si="3091"/>
        <v>88</v>
      </c>
      <c r="P533" s="203">
        <f t="shared" si="3091"/>
        <v>123</v>
      </c>
      <c r="Q533" s="203">
        <f t="shared" si="3091"/>
        <v>116</v>
      </c>
      <c r="R533" s="203">
        <f t="shared" si="3091"/>
        <v>61</v>
      </c>
      <c r="S533" s="203">
        <f t="shared" si="3091"/>
        <v>80</v>
      </c>
      <c r="T533" s="203">
        <f t="shared" si="3091"/>
        <v>132</v>
      </c>
      <c r="U533" s="203">
        <f t="shared" si="3091"/>
        <v>406</v>
      </c>
      <c r="V533" s="203">
        <f t="shared" si="3091"/>
        <v>74</v>
      </c>
      <c r="W533" s="203">
        <f t="shared" si="3091"/>
        <v>29</v>
      </c>
      <c r="X533" s="203">
        <f t="shared" si="3091"/>
        <v>23</v>
      </c>
      <c r="Y533" s="203">
        <f t="shared" si="3091"/>
        <v>22</v>
      </c>
      <c r="Z533" s="203">
        <f t="shared" si="3091"/>
        <v>42</v>
      </c>
      <c r="AA533" s="203">
        <f t="shared" si="3091"/>
        <v>19</v>
      </c>
      <c r="AB533" s="203">
        <f t="shared" si="3091"/>
        <v>23</v>
      </c>
      <c r="AC533" s="204">
        <f t="shared" si="3091"/>
        <v>19</v>
      </c>
      <c r="AD533" s="204">
        <f t="shared" si="3091"/>
        <v>19</v>
      </c>
      <c r="AE533" s="204">
        <f t="shared" si="3091"/>
        <v>21</v>
      </c>
      <c r="AF533" s="204">
        <f t="shared" si="3091"/>
        <v>20</v>
      </c>
      <c r="AG533" s="204">
        <f t="shared" si="3091"/>
        <v>79</v>
      </c>
      <c r="AH533" s="204">
        <f t="shared" si="3091"/>
        <v>135</v>
      </c>
      <c r="AI533" s="204">
        <f t="shared" si="3091"/>
        <v>108</v>
      </c>
      <c r="AJ533" s="204">
        <f t="shared" si="3091"/>
        <v>129</v>
      </c>
      <c r="AK533" s="204">
        <f t="shared" si="3091"/>
        <v>372</v>
      </c>
      <c r="AL533" s="204"/>
      <c r="AM533" s="204"/>
      <c r="AN533" s="204"/>
      <c r="AO533" s="204"/>
      <c r="AP533" s="151"/>
      <c r="AQ533" s="204"/>
      <c r="AR533" s="204"/>
      <c r="AS533" s="204"/>
      <c r="AT533" s="152"/>
      <c r="AU533" s="204"/>
      <c r="AV533" s="204"/>
      <c r="AW533" s="204"/>
      <c r="AX533" s="153"/>
      <c r="AY533" s="205">
        <f t="shared" ref="AY533:BD533" si="3092">SUM(AY507+AY508+AY509+AY513,AY512,AY519,AY526,AY532)</f>
        <v>12.9</v>
      </c>
      <c r="AZ533" s="205">
        <f t="shared" si="3092"/>
        <v>21.1</v>
      </c>
      <c r="BA533" s="206">
        <f t="shared" si="3092"/>
        <v>5</v>
      </c>
      <c r="BB533" s="206">
        <f t="shared" si="3092"/>
        <v>3</v>
      </c>
      <c r="BC533" s="207">
        <f t="shared" si="3092"/>
        <v>26615.5</v>
      </c>
      <c r="BD533" s="207">
        <f t="shared" si="3092"/>
        <v>26620</v>
      </c>
      <c r="BE533" s="154" t="str">
        <f t="shared" ref="BE533:BF533" si="3093">TEXTJOIN(", ",TRUE,BE532,BE526,BE519,BE513,BE512,BE509,BE508,BE507)</f>
        <v>Олександівка, Пантелеймонівка, Миколаївка, Курськ, Рильск</v>
      </c>
      <c r="BF533" s="154" t="str">
        <f t="shared" si="3093"/>
        <v>Загреблі, Верхні води, Ступочки</v>
      </c>
    </row>
  </sheetData>
  <customSheetViews>
    <customSheetView guid="{E53B5F01-5C92-4E14-BAE7-B590534862E0}" filter="1" showAutoFilter="1">
      <autoFilter ref="$A$1:$BF$533"/>
    </customSheetView>
  </customSheetViews>
  <printOptions/>
  <pageMargins bottom="0.75" footer="0.0" header="0.0" left="0.7" right="0.7" top="0.75"/>
  <pageSetup fitToHeight="0"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63"/>
    <col customWidth="1" min="2" max="2" width="15.0"/>
    <col customWidth="1" min="3" max="3" width="18.88"/>
    <col customWidth="1" min="4" max="4" width="15.13"/>
    <col customWidth="1" min="5" max="5" width="12.63"/>
    <col customWidth="1" min="6" max="6" width="20.25"/>
    <col customWidth="1" min="7" max="7" width="16.38"/>
    <col customWidth="1" min="8" max="8" width="18.13"/>
    <col customWidth="1" min="9" max="9" width="16.75"/>
    <col customWidth="1" min="10" max="10" width="11.88"/>
    <col customWidth="1" min="11" max="11" width="19.5"/>
    <col customWidth="1" min="12" max="12" width="14.63"/>
    <col customWidth="1" min="13" max="13" width="20.13"/>
    <col customWidth="1" min="14" max="14" width="16.38"/>
    <col customWidth="1" min="15" max="15" width="17.25"/>
    <col customWidth="1" min="16" max="16" width="24.88"/>
    <col customWidth="1" min="17" max="17" width="17.63"/>
    <col customWidth="1" min="18" max="26" width="7.63"/>
  </cols>
  <sheetData>
    <row r="1" ht="18.0" customHeight="1">
      <c r="A1" s="19" t="s">
        <v>0</v>
      </c>
      <c r="B1" s="19" t="s">
        <v>9</v>
      </c>
      <c r="C1" s="19" t="s">
        <v>40</v>
      </c>
      <c r="D1" s="19" t="s">
        <v>42</v>
      </c>
      <c r="E1" s="19" t="s">
        <v>44</v>
      </c>
      <c r="F1" s="19" t="s">
        <v>46</v>
      </c>
      <c r="G1" s="19" t="s">
        <v>48</v>
      </c>
      <c r="H1" s="19" t="s">
        <v>51</v>
      </c>
      <c r="I1" s="19" t="s">
        <v>52</v>
      </c>
      <c r="J1" s="19" t="s">
        <v>55</v>
      </c>
      <c r="K1" s="19" t="s">
        <v>56</v>
      </c>
      <c r="L1" s="21" t="s">
        <v>59</v>
      </c>
      <c r="M1" s="19" t="s">
        <v>61</v>
      </c>
      <c r="N1" s="19" t="s">
        <v>63</v>
      </c>
      <c r="O1" s="19" t="s">
        <v>65</v>
      </c>
      <c r="P1" s="19" t="s">
        <v>66</v>
      </c>
      <c r="Q1" s="19" t="s">
        <v>69</v>
      </c>
    </row>
    <row r="2">
      <c r="A2" s="24">
        <v>46022.0</v>
      </c>
      <c r="B2" s="24" t="s">
        <v>72</v>
      </c>
      <c r="C2" s="30">
        <f t="shared" ref="C2:F2" si="1">RANDBETWEEN(1,10)</f>
        <v>9</v>
      </c>
      <c r="D2" s="30">
        <f t="shared" si="1"/>
        <v>1</v>
      </c>
      <c r="E2" s="30">
        <f t="shared" si="1"/>
        <v>10</v>
      </c>
      <c r="F2" s="30">
        <f t="shared" si="1"/>
        <v>5</v>
      </c>
      <c r="M2" s="30">
        <v>10000.0</v>
      </c>
      <c r="N2" s="30">
        <v>11000.0</v>
      </c>
      <c r="O2" s="30">
        <v>9000.0</v>
      </c>
      <c r="P2" s="30">
        <v>8000.0</v>
      </c>
      <c r="Q2" s="30">
        <f>SUM('Втрати ЗСУ'!$M2:$P2)</f>
        <v>38000</v>
      </c>
    </row>
    <row r="3">
      <c r="A3" s="24">
        <v>46023.0</v>
      </c>
      <c r="B3" s="24" t="s">
        <v>72</v>
      </c>
      <c r="C3" s="30">
        <f t="shared" ref="C3:F3" si="2">RANDBETWEEN(1,10)</f>
        <v>2</v>
      </c>
      <c r="D3" s="30">
        <f t="shared" si="2"/>
        <v>6</v>
      </c>
      <c r="E3" s="30">
        <f t="shared" si="2"/>
        <v>8</v>
      </c>
      <c r="F3" s="30">
        <f t="shared" si="2"/>
        <v>2</v>
      </c>
      <c r="G3" s="30">
        <f>SUM('Втрати ЗСУ'!$C3:$F3)</f>
        <v>18</v>
      </c>
      <c r="H3" s="30">
        <f>H2+'Втрати ЗСУ'!$C3</f>
        <v>2</v>
      </c>
      <c r="I3" s="30">
        <f>I2+'Втрати ЗСУ'!$D3</f>
        <v>6</v>
      </c>
      <c r="J3" s="30">
        <f>J2+'Втрати ЗСУ'!$E3</f>
        <v>8</v>
      </c>
      <c r="K3" s="30">
        <f>K2+'Втрати ЗСУ'!$F3</f>
        <v>2</v>
      </c>
      <c r="L3" s="30">
        <f>SUM('Втрати ЗСУ'!$H3:$K3)</f>
        <v>18</v>
      </c>
      <c r="M3" s="30">
        <f>M2+'Втрати ЗСУ'!$C3</f>
        <v>10002</v>
      </c>
      <c r="N3" s="30">
        <f>N2+'Втрати ЗСУ'!$D3</f>
        <v>11006</v>
      </c>
      <c r="O3" s="30">
        <f>O2+'Втрати ЗСУ'!$E3</f>
        <v>9008</v>
      </c>
      <c r="P3" s="30">
        <f>P2+'Втрати ЗСУ'!$F3</f>
        <v>8002</v>
      </c>
      <c r="Q3" s="30">
        <f>SUM('Втрати ЗСУ'!$M3:$P3)</f>
        <v>38018</v>
      </c>
    </row>
    <row r="4">
      <c r="A4" s="24">
        <v>46024.0</v>
      </c>
      <c r="B4" s="24" t="s">
        <v>72</v>
      </c>
      <c r="C4" s="30">
        <f t="shared" ref="C4:F4" si="3">RANDBETWEEN(1,10)</f>
        <v>10</v>
      </c>
      <c r="D4" s="30">
        <f t="shared" si="3"/>
        <v>9</v>
      </c>
      <c r="E4" s="30">
        <f t="shared" si="3"/>
        <v>9</v>
      </c>
      <c r="F4" s="30">
        <f t="shared" si="3"/>
        <v>10</v>
      </c>
      <c r="G4" s="30">
        <f>SUM('Втрати ЗСУ'!$C4:$F4)</f>
        <v>38</v>
      </c>
      <c r="H4" s="30">
        <f>H3+'Втрати ЗСУ'!$C4</f>
        <v>12</v>
      </c>
      <c r="I4" s="30">
        <f>I3+'Втрати ЗСУ'!$D4</f>
        <v>15</v>
      </c>
      <c r="J4" s="30">
        <f>J3+'Втрати ЗСУ'!$E4</f>
        <v>17</v>
      </c>
      <c r="K4" s="30">
        <f>K3+'Втрати ЗСУ'!$F4</f>
        <v>12</v>
      </c>
      <c r="L4" s="30">
        <f>SUM('Втрати ЗСУ'!$H4:$K4)</f>
        <v>56</v>
      </c>
      <c r="M4" s="30">
        <f>M3+'Втрати ЗСУ'!$C4</f>
        <v>10012</v>
      </c>
      <c r="N4" s="30">
        <f>N3+'Втрати ЗСУ'!$D4</f>
        <v>11015</v>
      </c>
      <c r="O4" s="30">
        <f>O3+'Втрати ЗСУ'!$E4</f>
        <v>9017</v>
      </c>
      <c r="P4" s="30">
        <f>P3+'Втрати ЗСУ'!$F4</f>
        <v>8012</v>
      </c>
      <c r="Q4" s="30">
        <f>SUM('Втрати ЗСУ'!$M4:$P4)</f>
        <v>38056</v>
      </c>
    </row>
    <row r="5">
      <c r="A5" s="24">
        <v>46025.0</v>
      </c>
      <c r="B5" s="24" t="s">
        <v>72</v>
      </c>
      <c r="C5" s="30">
        <f t="shared" ref="C5:F5" si="4">RANDBETWEEN(1,10)</f>
        <v>1</v>
      </c>
      <c r="D5" s="30">
        <f t="shared" si="4"/>
        <v>8</v>
      </c>
      <c r="E5" s="30">
        <f t="shared" si="4"/>
        <v>1</v>
      </c>
      <c r="F5" s="30">
        <f t="shared" si="4"/>
        <v>3</v>
      </c>
      <c r="G5" s="30">
        <f>SUM('Втрати ЗСУ'!$C5:$F5)</f>
        <v>13</v>
      </c>
      <c r="H5" s="30">
        <f>H4+'Втрати ЗСУ'!$C5</f>
        <v>13</v>
      </c>
      <c r="I5" s="30">
        <f>I4+'Втрати ЗСУ'!$D5</f>
        <v>23</v>
      </c>
      <c r="J5" s="30">
        <f>J4+'Втрати ЗСУ'!$E5</f>
        <v>18</v>
      </c>
      <c r="K5" s="30">
        <f>K4+'Втрати ЗСУ'!$F5</f>
        <v>15</v>
      </c>
      <c r="L5" s="30">
        <f>SUM('Втрати ЗСУ'!$H5:$K5)</f>
        <v>69</v>
      </c>
      <c r="M5" s="30">
        <f>M4+'Втрати ЗСУ'!$C5</f>
        <v>10013</v>
      </c>
      <c r="N5" s="30">
        <f>N4+'Втрати ЗСУ'!$D5</f>
        <v>11023</v>
      </c>
      <c r="O5" s="30">
        <f>O4+'Втрати ЗСУ'!$E5</f>
        <v>9018</v>
      </c>
      <c r="P5" s="30">
        <f>P4+'Втрати ЗСУ'!$F5</f>
        <v>8015</v>
      </c>
      <c r="Q5" s="30">
        <f>SUM('Втрати ЗСУ'!$M5:$P5)</f>
        <v>38069</v>
      </c>
    </row>
    <row r="6">
      <c r="A6" s="24">
        <v>46026.0</v>
      </c>
      <c r="B6" s="24" t="s">
        <v>72</v>
      </c>
      <c r="C6" s="30">
        <f t="shared" ref="C6:F6" si="5">RANDBETWEEN(1,10)</f>
        <v>5</v>
      </c>
      <c r="D6" s="30">
        <f t="shared" si="5"/>
        <v>3</v>
      </c>
      <c r="E6" s="30">
        <f t="shared" si="5"/>
        <v>6</v>
      </c>
      <c r="F6" s="30">
        <f t="shared" si="5"/>
        <v>3</v>
      </c>
      <c r="G6" s="63">
        <f>SUM('Втрати ЗСУ'!$C6:$F6)</f>
        <v>17</v>
      </c>
      <c r="H6" s="63">
        <f>H5+'Втрати ЗСУ'!$C6</f>
        <v>18</v>
      </c>
      <c r="I6" s="63">
        <f>I5+'Втрати ЗСУ'!$D6</f>
        <v>26</v>
      </c>
      <c r="J6" s="63">
        <f>J5+'Втрати ЗСУ'!$E6</f>
        <v>24</v>
      </c>
      <c r="K6" s="63">
        <f>K5+'Втрати ЗСУ'!$F6</f>
        <v>18</v>
      </c>
      <c r="L6" s="63">
        <f>SUM('Втрати ЗСУ'!$H6:$K6)</f>
        <v>86</v>
      </c>
      <c r="M6" s="30">
        <f>M5+'Втрати ЗСУ'!$C6</f>
        <v>10018</v>
      </c>
      <c r="N6" s="30">
        <f>N5+'Втрати ЗСУ'!$D6</f>
        <v>11026</v>
      </c>
      <c r="O6" s="30">
        <f>O5+'Втрати ЗСУ'!$E6</f>
        <v>9024</v>
      </c>
      <c r="P6" s="30">
        <f>P5+'Втрати ЗСУ'!$F6</f>
        <v>8018</v>
      </c>
      <c r="Q6" s="63">
        <f>SUM('Втрати ЗСУ'!$M6:$P6)</f>
        <v>38086</v>
      </c>
    </row>
    <row r="7">
      <c r="A7" s="24">
        <v>46027.0</v>
      </c>
      <c r="B7" s="24" t="s">
        <v>72</v>
      </c>
      <c r="C7" s="30">
        <f t="shared" ref="C7:F7" si="6">RANDBETWEEN(1,10)</f>
        <v>7</v>
      </c>
      <c r="D7" s="30">
        <f t="shared" si="6"/>
        <v>3</v>
      </c>
      <c r="E7" s="30">
        <f t="shared" si="6"/>
        <v>1</v>
      </c>
      <c r="F7" s="30">
        <f t="shared" si="6"/>
        <v>10</v>
      </c>
      <c r="G7" s="63">
        <f>SUM('Втрати ЗСУ'!$C7:$F7)</f>
        <v>21</v>
      </c>
      <c r="H7" s="63">
        <f>H6+'Втрати ЗСУ'!$C7</f>
        <v>25</v>
      </c>
      <c r="I7" s="63">
        <f>I6+'Втрати ЗСУ'!$D7</f>
        <v>29</v>
      </c>
      <c r="J7" s="63">
        <f>J6+'Втрати ЗСУ'!$E7</f>
        <v>25</v>
      </c>
      <c r="K7" s="63">
        <f>K6+'Втрати ЗСУ'!$F7</f>
        <v>28</v>
      </c>
      <c r="L7" s="63">
        <f>SUM('Втрати ЗСУ'!$H7:$K7)</f>
        <v>107</v>
      </c>
      <c r="M7" s="30">
        <f>M6+'Втрати ЗСУ'!$C7</f>
        <v>10025</v>
      </c>
      <c r="N7" s="30">
        <f>N6+'Втрати ЗСУ'!$D7</f>
        <v>11029</v>
      </c>
      <c r="O7" s="30">
        <f>O6+'Втрати ЗСУ'!$E7</f>
        <v>9025</v>
      </c>
      <c r="P7" s="30">
        <f>P6+'Втрати ЗСУ'!$F7</f>
        <v>8028</v>
      </c>
      <c r="Q7" s="63">
        <f>SUM('Втрати ЗСУ'!$M7:$P7)</f>
        <v>38107</v>
      </c>
    </row>
    <row r="8">
      <c r="A8" s="24">
        <v>46028.0</v>
      </c>
      <c r="B8" s="24" t="s">
        <v>72</v>
      </c>
      <c r="C8" s="30">
        <f t="shared" ref="C8:F8" si="7">RANDBETWEEN(1,10)</f>
        <v>9</v>
      </c>
      <c r="D8" s="30">
        <f t="shared" si="7"/>
        <v>1</v>
      </c>
      <c r="E8" s="30">
        <f t="shared" si="7"/>
        <v>1</v>
      </c>
      <c r="F8" s="30">
        <f t="shared" si="7"/>
        <v>3</v>
      </c>
      <c r="G8" s="63">
        <f>SUM('Втрати ЗСУ'!$C8:$F8)</f>
        <v>14</v>
      </c>
      <c r="H8" s="63">
        <f>H7+'Втрати ЗСУ'!$C8</f>
        <v>34</v>
      </c>
      <c r="I8" s="63">
        <f>I7+'Втрати ЗСУ'!$D8</f>
        <v>30</v>
      </c>
      <c r="J8" s="63">
        <f>J7+'Втрати ЗСУ'!$E8</f>
        <v>26</v>
      </c>
      <c r="K8" s="63">
        <f>K7+'Втрати ЗСУ'!$F8</f>
        <v>31</v>
      </c>
      <c r="L8" s="63">
        <f>SUM('Втрати ЗСУ'!$H8:$K8)</f>
        <v>121</v>
      </c>
      <c r="M8" s="30">
        <f>M7+'Втрати ЗСУ'!$C8</f>
        <v>10034</v>
      </c>
      <c r="N8" s="30">
        <f>N7+'Втрати ЗСУ'!$D8</f>
        <v>11030</v>
      </c>
      <c r="O8" s="30">
        <f>O7+'Втрати ЗСУ'!$E8</f>
        <v>9026</v>
      </c>
      <c r="P8" s="30">
        <f>P7+'Втрати ЗСУ'!$F8</f>
        <v>8031</v>
      </c>
      <c r="Q8" s="63">
        <f>SUM('Втрати ЗСУ'!$M8:$P8)</f>
        <v>38121</v>
      </c>
    </row>
    <row r="9">
      <c r="A9" s="24">
        <v>46029.0</v>
      </c>
      <c r="B9" s="24" t="s">
        <v>72</v>
      </c>
      <c r="C9" s="30">
        <f t="shared" ref="C9:F9" si="8">RANDBETWEEN(1,10)</f>
        <v>7</v>
      </c>
      <c r="D9" s="30">
        <f t="shared" si="8"/>
        <v>2</v>
      </c>
      <c r="E9" s="30">
        <f t="shared" si="8"/>
        <v>10</v>
      </c>
      <c r="F9" s="30">
        <f t="shared" si="8"/>
        <v>10</v>
      </c>
      <c r="G9" s="63">
        <f>SUM('Втрати ЗСУ'!$C9:$F9)</f>
        <v>29</v>
      </c>
      <c r="H9" s="63">
        <f>H8+'Втрати ЗСУ'!$C9</f>
        <v>41</v>
      </c>
      <c r="I9" s="63">
        <f>I8+'Втрати ЗСУ'!$D9</f>
        <v>32</v>
      </c>
      <c r="J9" s="63">
        <f>J8+'Втрати ЗСУ'!$E9</f>
        <v>36</v>
      </c>
      <c r="K9" s="63">
        <f>K8+'Втрати ЗСУ'!$F9</f>
        <v>41</v>
      </c>
      <c r="L9" s="63">
        <f>SUM('Втрати ЗСУ'!$H9:$K9)</f>
        <v>150</v>
      </c>
      <c r="M9" s="30">
        <f>M8+'Втрати ЗСУ'!$C9</f>
        <v>10041</v>
      </c>
      <c r="N9" s="30">
        <f>N8+'Втрати ЗСУ'!$D9</f>
        <v>11032</v>
      </c>
      <c r="O9" s="30">
        <f>O8+'Втрати ЗСУ'!$E9</f>
        <v>9036</v>
      </c>
      <c r="P9" s="30">
        <f>P8+'Втрати ЗСУ'!$F9</f>
        <v>8041</v>
      </c>
      <c r="Q9" s="63">
        <f>SUM('Втрати ЗСУ'!$M9:$P9)</f>
        <v>38150</v>
      </c>
    </row>
    <row r="10">
      <c r="A10" s="24">
        <v>46030.0</v>
      </c>
      <c r="B10" s="24" t="s">
        <v>72</v>
      </c>
      <c r="C10" s="30">
        <f t="shared" ref="C10:F10" si="9">RANDBETWEEN(1,10)</f>
        <v>9</v>
      </c>
      <c r="D10" s="30">
        <f t="shared" si="9"/>
        <v>8</v>
      </c>
      <c r="E10" s="30">
        <f t="shared" si="9"/>
        <v>8</v>
      </c>
      <c r="F10" s="30">
        <f t="shared" si="9"/>
        <v>4</v>
      </c>
      <c r="G10" s="63">
        <f>SUM('Втрати ЗСУ'!$C10:$F10)</f>
        <v>29</v>
      </c>
      <c r="H10" s="63">
        <f>H9+'Втрати ЗСУ'!$C10</f>
        <v>50</v>
      </c>
      <c r="I10" s="63">
        <f>I9+'Втрати ЗСУ'!$D10</f>
        <v>40</v>
      </c>
      <c r="J10" s="63">
        <f>J9+'Втрати ЗСУ'!$E10</f>
        <v>44</v>
      </c>
      <c r="K10" s="63">
        <f>K9+'Втрати ЗСУ'!$F10</f>
        <v>45</v>
      </c>
      <c r="L10" s="63">
        <f>SUM('Втрати ЗСУ'!$H10:$K10)</f>
        <v>179</v>
      </c>
      <c r="M10" s="30">
        <f>M9+'Втрати ЗСУ'!$C10</f>
        <v>10050</v>
      </c>
      <c r="N10" s="30">
        <f>N9+'Втрати ЗСУ'!$D10</f>
        <v>11040</v>
      </c>
      <c r="O10" s="30">
        <f>O9+'Втрати ЗСУ'!$E10</f>
        <v>9044</v>
      </c>
      <c r="P10" s="30">
        <f>P9+'Втрати ЗСУ'!$F10</f>
        <v>8045</v>
      </c>
      <c r="Q10" s="63">
        <f>SUM('Втрати ЗСУ'!$M10:$P10)</f>
        <v>38179</v>
      </c>
    </row>
    <row r="11">
      <c r="A11" s="24">
        <v>46031.0</v>
      </c>
      <c r="B11" s="24" t="s">
        <v>72</v>
      </c>
      <c r="C11" s="30">
        <f t="shared" ref="C11:F11" si="10">RANDBETWEEN(1,10)</f>
        <v>7</v>
      </c>
      <c r="D11" s="30">
        <f t="shared" si="10"/>
        <v>1</v>
      </c>
      <c r="E11" s="30">
        <f t="shared" si="10"/>
        <v>10</v>
      </c>
      <c r="F11" s="30">
        <f t="shared" si="10"/>
        <v>1</v>
      </c>
      <c r="G11" s="63">
        <f>SUM('Втрати ЗСУ'!$C11:$F11)</f>
        <v>19</v>
      </c>
      <c r="H11" s="63">
        <f>H10+'Втрати ЗСУ'!$C11</f>
        <v>57</v>
      </c>
      <c r="I11" s="63">
        <f>I10+'Втрати ЗСУ'!$D11</f>
        <v>41</v>
      </c>
      <c r="J11" s="63">
        <f>J10+'Втрати ЗСУ'!$E11</f>
        <v>54</v>
      </c>
      <c r="K11" s="63">
        <f>K10+'Втрати ЗСУ'!$F11</f>
        <v>46</v>
      </c>
      <c r="L11" s="63">
        <f>SUM('Втрати ЗСУ'!$H11:$K11)</f>
        <v>198</v>
      </c>
      <c r="M11" s="30">
        <f>M10+'Втрати ЗСУ'!$C11</f>
        <v>10057</v>
      </c>
      <c r="N11" s="30">
        <f>N10+'Втрати ЗСУ'!$D11</f>
        <v>11041</v>
      </c>
      <c r="O11" s="30">
        <f>O10+'Втрати ЗСУ'!$E11</f>
        <v>9054</v>
      </c>
      <c r="P11" s="30">
        <f>P10+'Втрати ЗСУ'!$F11</f>
        <v>8046</v>
      </c>
      <c r="Q11" s="63">
        <f>SUM('Втрати ЗСУ'!$M11:$P11)</f>
        <v>38198</v>
      </c>
    </row>
    <row r="12">
      <c r="A12" s="24">
        <v>46032.0</v>
      </c>
      <c r="B12" s="24" t="s">
        <v>72</v>
      </c>
      <c r="C12" s="30">
        <f t="shared" ref="C12:F12" si="11">RANDBETWEEN(1,10)</f>
        <v>7</v>
      </c>
      <c r="D12" s="30">
        <f t="shared" si="11"/>
        <v>9</v>
      </c>
      <c r="E12" s="30">
        <f t="shared" si="11"/>
        <v>10</v>
      </c>
      <c r="F12" s="30">
        <f t="shared" si="11"/>
        <v>5</v>
      </c>
      <c r="G12" s="63">
        <f>SUM('Втрати ЗСУ'!$C12:$F12)</f>
        <v>31</v>
      </c>
      <c r="H12" s="63">
        <f>H11+'Втрати ЗСУ'!$C12</f>
        <v>64</v>
      </c>
      <c r="I12" s="63">
        <f>I11+'Втрати ЗСУ'!$D12</f>
        <v>50</v>
      </c>
      <c r="J12" s="63">
        <f>J11+'Втрати ЗСУ'!$E12</f>
        <v>64</v>
      </c>
      <c r="K12" s="63">
        <f>K11+'Втрати ЗСУ'!$F12</f>
        <v>51</v>
      </c>
      <c r="L12" s="63">
        <f>SUM('Втрати ЗСУ'!$H12:$K12)</f>
        <v>229</v>
      </c>
      <c r="M12" s="30">
        <f>M11+'Втрати ЗСУ'!$C12</f>
        <v>10064</v>
      </c>
      <c r="N12" s="30">
        <f>N11+'Втрати ЗСУ'!$D12</f>
        <v>11050</v>
      </c>
      <c r="O12" s="30">
        <f>O11+'Втрати ЗСУ'!$E12</f>
        <v>9064</v>
      </c>
      <c r="P12" s="30">
        <f>P11+'Втрати ЗСУ'!$F12</f>
        <v>8051</v>
      </c>
      <c r="Q12" s="63">
        <f>SUM('Втрати ЗСУ'!$M12:$P12)</f>
        <v>38229</v>
      </c>
    </row>
    <row r="13">
      <c r="A13" s="24">
        <v>46033.0</v>
      </c>
      <c r="B13" s="24" t="s">
        <v>72</v>
      </c>
      <c r="C13" s="30">
        <f t="shared" ref="C13:F13" si="12">RANDBETWEEN(1,10)</f>
        <v>5</v>
      </c>
      <c r="D13" s="30">
        <f t="shared" si="12"/>
        <v>8</v>
      </c>
      <c r="E13" s="30">
        <f t="shared" si="12"/>
        <v>7</v>
      </c>
      <c r="F13" s="30">
        <f t="shared" si="12"/>
        <v>9</v>
      </c>
      <c r="G13" s="63">
        <f>SUM('Втрати ЗСУ'!$C13:$F13)</f>
        <v>29</v>
      </c>
      <c r="H13" s="63">
        <f>H12+'Втрати ЗСУ'!$C13</f>
        <v>69</v>
      </c>
      <c r="I13" s="63">
        <f>I12+'Втрати ЗСУ'!$D13</f>
        <v>58</v>
      </c>
      <c r="J13" s="63">
        <f>J12+'Втрати ЗСУ'!$E13</f>
        <v>71</v>
      </c>
      <c r="K13" s="63">
        <f>K12+'Втрати ЗСУ'!$F13</f>
        <v>60</v>
      </c>
      <c r="L13" s="63">
        <f>SUM('Втрати ЗСУ'!$H13:$K13)</f>
        <v>258</v>
      </c>
      <c r="M13" s="30">
        <f>M12+'Втрати ЗСУ'!$C13</f>
        <v>10069</v>
      </c>
      <c r="N13" s="30">
        <f>N12+'Втрати ЗСУ'!$D13</f>
        <v>11058</v>
      </c>
      <c r="O13" s="30">
        <f>O12+'Втрати ЗСУ'!$E13</f>
        <v>9071</v>
      </c>
      <c r="P13" s="30">
        <f>P12+'Втрати ЗСУ'!$F13</f>
        <v>8060</v>
      </c>
      <c r="Q13" s="63">
        <f>SUM('Втрати ЗСУ'!$M13:$P13)</f>
        <v>38258</v>
      </c>
    </row>
    <row r="14">
      <c r="A14" s="24">
        <v>46034.0</v>
      </c>
      <c r="B14" s="24" t="s">
        <v>72</v>
      </c>
      <c r="C14" s="30">
        <f t="shared" ref="C14:F14" si="13">RANDBETWEEN(1,10)</f>
        <v>9</v>
      </c>
      <c r="D14" s="30">
        <f t="shared" si="13"/>
        <v>7</v>
      </c>
      <c r="E14" s="30">
        <f t="shared" si="13"/>
        <v>5</v>
      </c>
      <c r="F14" s="30">
        <f t="shared" si="13"/>
        <v>3</v>
      </c>
      <c r="G14" s="63">
        <f>SUM('Втрати ЗСУ'!$C14:$F14)</f>
        <v>24</v>
      </c>
      <c r="H14" s="63">
        <f>H13+'Втрати ЗСУ'!$C14</f>
        <v>78</v>
      </c>
      <c r="I14" s="63">
        <f>I13+'Втрати ЗСУ'!$D14</f>
        <v>65</v>
      </c>
      <c r="J14" s="63">
        <f>J13+'Втрати ЗСУ'!$E14</f>
        <v>76</v>
      </c>
      <c r="K14" s="63">
        <f>K13+'Втрати ЗСУ'!$F14</f>
        <v>63</v>
      </c>
      <c r="L14" s="63">
        <f>SUM('Втрати ЗСУ'!$H14:$K14)</f>
        <v>282</v>
      </c>
      <c r="M14" s="30">
        <f>M13+'Втрати ЗСУ'!$C14</f>
        <v>10078</v>
      </c>
      <c r="N14" s="30">
        <f>N13+'Втрати ЗСУ'!$D14</f>
        <v>11065</v>
      </c>
      <c r="O14" s="30">
        <f>O13+'Втрати ЗСУ'!$E14</f>
        <v>9076</v>
      </c>
      <c r="P14" s="30">
        <f>P13+'Втрати ЗСУ'!$F14</f>
        <v>8063</v>
      </c>
      <c r="Q14" s="63">
        <f>SUM('Втрати ЗСУ'!$M14:$P14)</f>
        <v>38282</v>
      </c>
    </row>
    <row r="15">
      <c r="A15" s="24">
        <v>46035.0</v>
      </c>
      <c r="B15" s="24" t="s">
        <v>72</v>
      </c>
      <c r="C15" s="30">
        <f t="shared" ref="C15:F15" si="14">RANDBETWEEN(1,10)</f>
        <v>5</v>
      </c>
      <c r="D15" s="30">
        <f t="shared" si="14"/>
        <v>6</v>
      </c>
      <c r="E15" s="30">
        <f t="shared" si="14"/>
        <v>5</v>
      </c>
      <c r="F15" s="30">
        <f t="shared" si="14"/>
        <v>4</v>
      </c>
      <c r="G15" s="63">
        <f>SUM('Втрати ЗСУ'!$C15:$F15)</f>
        <v>20</v>
      </c>
      <c r="H15" s="63">
        <f>H14+'Втрати ЗСУ'!$C15</f>
        <v>83</v>
      </c>
      <c r="I15" s="63">
        <f>I14+'Втрати ЗСУ'!$D15</f>
        <v>71</v>
      </c>
      <c r="J15" s="63">
        <f>J14+'Втрати ЗСУ'!$E15</f>
        <v>81</v>
      </c>
      <c r="K15" s="63">
        <f>K14+'Втрати ЗСУ'!$F15</f>
        <v>67</v>
      </c>
      <c r="L15" s="63">
        <f>SUM('Втрати ЗСУ'!$H15:$K15)</f>
        <v>302</v>
      </c>
      <c r="M15" s="30">
        <f>M14+'Втрати ЗСУ'!$C15</f>
        <v>10083</v>
      </c>
      <c r="N15" s="30">
        <f>N14+'Втрати ЗСУ'!$D15</f>
        <v>11071</v>
      </c>
      <c r="O15" s="30">
        <f>O14+'Втрати ЗСУ'!$E15</f>
        <v>9081</v>
      </c>
      <c r="P15" s="30">
        <f>P14+'Втрати ЗСУ'!$F15</f>
        <v>8067</v>
      </c>
      <c r="Q15" s="63">
        <f>SUM('Втрати ЗСУ'!$M15:$P15)</f>
        <v>38302</v>
      </c>
    </row>
    <row r="16">
      <c r="A16" s="24">
        <v>46036.0</v>
      </c>
      <c r="B16" s="24" t="s">
        <v>72</v>
      </c>
      <c r="C16" s="30">
        <f t="shared" ref="C16:F16" si="15">RANDBETWEEN(1,10)</f>
        <v>10</v>
      </c>
      <c r="D16" s="30">
        <f t="shared" si="15"/>
        <v>5</v>
      </c>
      <c r="E16" s="30">
        <f t="shared" si="15"/>
        <v>7</v>
      </c>
      <c r="F16" s="30">
        <f t="shared" si="15"/>
        <v>3</v>
      </c>
      <c r="G16" s="63">
        <f>SUM('Втрати ЗСУ'!$C16:$F16)</f>
        <v>25</v>
      </c>
      <c r="H16" s="63">
        <f>H15+'Втрати ЗСУ'!$C16</f>
        <v>93</v>
      </c>
      <c r="I16" s="63">
        <f>I15+'Втрати ЗСУ'!$D16</f>
        <v>76</v>
      </c>
      <c r="J16" s="63">
        <f>J15+'Втрати ЗСУ'!$E16</f>
        <v>88</v>
      </c>
      <c r="K16" s="63">
        <f>K15+'Втрати ЗСУ'!$F16</f>
        <v>70</v>
      </c>
      <c r="L16" s="63">
        <f>SUM('Втрати ЗСУ'!$H16:$K16)</f>
        <v>327</v>
      </c>
      <c r="M16" s="30">
        <f>M15+'Втрати ЗСУ'!$C16</f>
        <v>10093</v>
      </c>
      <c r="N16" s="30">
        <f>N15+'Втрати ЗСУ'!$D16</f>
        <v>11076</v>
      </c>
      <c r="O16" s="30">
        <f>O15+'Втрати ЗСУ'!$E16</f>
        <v>9088</v>
      </c>
      <c r="P16" s="30">
        <f>P15+'Втрати ЗСУ'!$F16</f>
        <v>8070</v>
      </c>
      <c r="Q16" s="63">
        <f>SUM('Втрати ЗСУ'!$M16:$P16)</f>
        <v>38327</v>
      </c>
    </row>
    <row r="17">
      <c r="A17" s="24">
        <v>46037.0</v>
      </c>
      <c r="B17" s="24" t="s">
        <v>72</v>
      </c>
      <c r="C17" s="30">
        <f t="shared" ref="C17:F17" si="16">RANDBETWEEN(1,10)</f>
        <v>4</v>
      </c>
      <c r="D17" s="30">
        <f t="shared" si="16"/>
        <v>5</v>
      </c>
      <c r="E17" s="30">
        <f t="shared" si="16"/>
        <v>10</v>
      </c>
      <c r="F17" s="30">
        <f t="shared" si="16"/>
        <v>2</v>
      </c>
      <c r="G17" s="63">
        <f>SUM('Втрати ЗСУ'!$C17:$F17)</f>
        <v>21</v>
      </c>
      <c r="H17" s="63">
        <f>H16+'Втрати ЗСУ'!$C17</f>
        <v>97</v>
      </c>
      <c r="I17" s="63">
        <f>I16+'Втрати ЗСУ'!$D17</f>
        <v>81</v>
      </c>
      <c r="J17" s="63">
        <f>J16+'Втрати ЗСУ'!$E17</f>
        <v>98</v>
      </c>
      <c r="K17" s="63">
        <f>K16+'Втрати ЗСУ'!$F17</f>
        <v>72</v>
      </c>
      <c r="L17" s="63">
        <f>SUM('Втрати ЗСУ'!$H17:$K17)</f>
        <v>348</v>
      </c>
      <c r="M17" s="30">
        <f>M16+'Втрати ЗСУ'!$C17</f>
        <v>10097</v>
      </c>
      <c r="N17" s="30">
        <f>N16+'Втрати ЗСУ'!$D17</f>
        <v>11081</v>
      </c>
      <c r="O17" s="30">
        <f>O16+'Втрати ЗСУ'!$E17</f>
        <v>9098</v>
      </c>
      <c r="P17" s="30">
        <f>P16+'Втрати ЗСУ'!$F17</f>
        <v>8072</v>
      </c>
      <c r="Q17" s="63">
        <f>SUM('Втрати ЗСУ'!$M17:$P17)</f>
        <v>38348</v>
      </c>
    </row>
    <row r="18">
      <c r="A18" s="24">
        <v>46038.0</v>
      </c>
      <c r="B18" s="24" t="s">
        <v>72</v>
      </c>
      <c r="C18" s="30">
        <f t="shared" ref="C18:F18" si="17">RANDBETWEEN(1,10)</f>
        <v>1</v>
      </c>
      <c r="D18" s="30">
        <f t="shared" si="17"/>
        <v>4</v>
      </c>
      <c r="E18" s="30">
        <f t="shared" si="17"/>
        <v>8</v>
      </c>
      <c r="F18" s="30">
        <f t="shared" si="17"/>
        <v>2</v>
      </c>
      <c r="G18" s="63">
        <f>SUM('Втрати ЗСУ'!$C18:$F18)</f>
        <v>15</v>
      </c>
      <c r="H18" s="63">
        <f>H17+'Втрати ЗСУ'!$C18</f>
        <v>98</v>
      </c>
      <c r="I18" s="63">
        <f>I17+'Втрати ЗСУ'!$D18</f>
        <v>85</v>
      </c>
      <c r="J18" s="63">
        <f>J17+'Втрати ЗСУ'!$E18</f>
        <v>106</v>
      </c>
      <c r="K18" s="63">
        <f>K17+'Втрати ЗСУ'!$F18</f>
        <v>74</v>
      </c>
      <c r="L18" s="63">
        <f>SUM('Втрати ЗСУ'!$H18:$K18)</f>
        <v>363</v>
      </c>
      <c r="M18" s="30">
        <f>M17+'Втрати ЗСУ'!$C18</f>
        <v>10098</v>
      </c>
      <c r="N18" s="30">
        <f>N17+'Втрати ЗСУ'!$D18</f>
        <v>11085</v>
      </c>
      <c r="O18" s="30">
        <f>O17+'Втрати ЗСУ'!$E18</f>
        <v>9106</v>
      </c>
      <c r="P18" s="30">
        <f>P17+'Втрати ЗСУ'!$F18</f>
        <v>8074</v>
      </c>
      <c r="Q18" s="63">
        <f>SUM('Втрати ЗСУ'!$M18:$P18)</f>
        <v>38363</v>
      </c>
    </row>
    <row r="19">
      <c r="A19" s="24">
        <v>46039.0</v>
      </c>
      <c r="B19" s="24" t="s">
        <v>72</v>
      </c>
      <c r="C19" s="30">
        <f t="shared" ref="C19:F19" si="18">RANDBETWEEN(1,10)</f>
        <v>10</v>
      </c>
      <c r="D19" s="30">
        <f t="shared" si="18"/>
        <v>3</v>
      </c>
      <c r="E19" s="30">
        <f t="shared" si="18"/>
        <v>4</v>
      </c>
      <c r="F19" s="30">
        <f t="shared" si="18"/>
        <v>2</v>
      </c>
      <c r="G19" s="63">
        <f>SUM('Втрати ЗСУ'!$C19:$F19)</f>
        <v>19</v>
      </c>
      <c r="H19" s="63">
        <f>H18+'Втрати ЗСУ'!$C19</f>
        <v>108</v>
      </c>
      <c r="I19" s="63">
        <f>I18+'Втрати ЗСУ'!$D19</f>
        <v>88</v>
      </c>
      <c r="J19" s="63">
        <f>J18+'Втрати ЗСУ'!$E19</f>
        <v>110</v>
      </c>
      <c r="K19" s="63">
        <f>K18+'Втрати ЗСУ'!$F19</f>
        <v>76</v>
      </c>
      <c r="L19" s="63">
        <f>SUM('Втрати ЗСУ'!$H19:$K19)</f>
        <v>382</v>
      </c>
      <c r="M19" s="30">
        <f>M18+'Втрати ЗСУ'!$C19</f>
        <v>10108</v>
      </c>
      <c r="N19" s="30">
        <f>N18+'Втрати ЗСУ'!$D19</f>
        <v>11088</v>
      </c>
      <c r="O19" s="30">
        <f>O18+'Втрати ЗСУ'!$E19</f>
        <v>9110</v>
      </c>
      <c r="P19" s="30">
        <f>P18+'Втрати ЗСУ'!$F19</f>
        <v>8076</v>
      </c>
      <c r="Q19" s="63">
        <f>SUM('Втрати ЗСУ'!$M19:$P19)</f>
        <v>38382</v>
      </c>
    </row>
    <row r="20">
      <c r="A20" s="24">
        <v>46040.0</v>
      </c>
      <c r="B20" s="24" t="s">
        <v>72</v>
      </c>
      <c r="C20" s="30">
        <f t="shared" ref="C20:F20" si="19">RANDBETWEEN(1,10)</f>
        <v>7</v>
      </c>
      <c r="D20" s="30">
        <f t="shared" si="19"/>
        <v>6</v>
      </c>
      <c r="E20" s="30">
        <f t="shared" si="19"/>
        <v>7</v>
      </c>
      <c r="F20" s="30">
        <f t="shared" si="19"/>
        <v>10</v>
      </c>
      <c r="G20" s="63">
        <f>SUM('Втрати ЗСУ'!$C20:$F20)</f>
        <v>30</v>
      </c>
      <c r="H20" s="63">
        <f>H19+'Втрати ЗСУ'!$C20</f>
        <v>115</v>
      </c>
      <c r="I20" s="63">
        <f>I19+'Втрати ЗСУ'!$D20</f>
        <v>94</v>
      </c>
      <c r="J20" s="63">
        <f>J19+'Втрати ЗСУ'!$E20</f>
        <v>117</v>
      </c>
      <c r="K20" s="63">
        <f>K19+'Втрати ЗСУ'!$F20</f>
        <v>86</v>
      </c>
      <c r="L20" s="63">
        <f>SUM('Втрати ЗСУ'!$H20:$K20)</f>
        <v>412</v>
      </c>
      <c r="M20" s="30">
        <f>M19+'Втрати ЗСУ'!$C20</f>
        <v>10115</v>
      </c>
      <c r="N20" s="30">
        <f>N19+'Втрати ЗСУ'!$D20</f>
        <v>11094</v>
      </c>
      <c r="O20" s="30">
        <f>O19+'Втрати ЗСУ'!$E20</f>
        <v>9117</v>
      </c>
      <c r="P20" s="30">
        <f>P19+'Втрати ЗСУ'!$F20</f>
        <v>8086</v>
      </c>
      <c r="Q20" s="63">
        <f>SUM('Втрати ЗСУ'!$M20:$P20)</f>
        <v>38412</v>
      </c>
    </row>
    <row r="21" ht="15.75" customHeight="1">
      <c r="A21" s="24">
        <v>46041.0</v>
      </c>
      <c r="B21" s="24" t="s">
        <v>72</v>
      </c>
      <c r="C21" s="30">
        <f t="shared" ref="C21:F21" si="20">RANDBETWEEN(1,10)</f>
        <v>4</v>
      </c>
      <c r="D21" s="30">
        <f t="shared" si="20"/>
        <v>8</v>
      </c>
      <c r="E21" s="30">
        <f t="shared" si="20"/>
        <v>10</v>
      </c>
      <c r="F21" s="30">
        <f t="shared" si="20"/>
        <v>8</v>
      </c>
      <c r="G21" s="63">
        <f>SUM('Втрати ЗСУ'!$C21:$F21)</f>
        <v>30</v>
      </c>
      <c r="H21" s="63">
        <f>H20+'Втрати ЗСУ'!$C21</f>
        <v>119</v>
      </c>
      <c r="I21" s="63">
        <f>I20+'Втрати ЗСУ'!$D21</f>
        <v>102</v>
      </c>
      <c r="J21" s="63">
        <f>J20+'Втрати ЗСУ'!$E21</f>
        <v>127</v>
      </c>
      <c r="K21" s="63">
        <f>K20+'Втрати ЗСУ'!$F21</f>
        <v>94</v>
      </c>
      <c r="L21" s="63">
        <f>SUM('Втрати ЗСУ'!$H21:$K21)</f>
        <v>442</v>
      </c>
      <c r="M21" s="30">
        <f>M20+'Втрати ЗСУ'!$C21</f>
        <v>10119</v>
      </c>
      <c r="N21" s="30">
        <f>N20+'Втрати ЗСУ'!$D21</f>
        <v>11102</v>
      </c>
      <c r="O21" s="30">
        <f>O20+'Втрати ЗСУ'!$E21</f>
        <v>9127</v>
      </c>
      <c r="P21" s="30">
        <f>P20+'Втрати ЗСУ'!$F21</f>
        <v>8094</v>
      </c>
      <c r="Q21" s="63">
        <f>SUM('Втрати ЗСУ'!$M21:$P21)</f>
        <v>38442</v>
      </c>
    </row>
    <row r="22" ht="15.75" customHeight="1">
      <c r="A22" s="24">
        <v>46042.0</v>
      </c>
      <c r="B22" s="24" t="s">
        <v>72</v>
      </c>
      <c r="C22" s="30">
        <f t="shared" ref="C22:F22" si="21">RANDBETWEEN(1,10)</f>
        <v>10</v>
      </c>
      <c r="D22" s="30">
        <f t="shared" si="21"/>
        <v>6</v>
      </c>
      <c r="E22" s="30">
        <f t="shared" si="21"/>
        <v>7</v>
      </c>
      <c r="F22" s="30">
        <f t="shared" si="21"/>
        <v>5</v>
      </c>
      <c r="G22" s="63">
        <f>SUM('Втрати ЗСУ'!$C22:$F22)</f>
        <v>28</v>
      </c>
      <c r="H22" s="63">
        <f>H21+'Втрати ЗСУ'!$C22</f>
        <v>129</v>
      </c>
      <c r="I22" s="63">
        <f>I21+'Втрати ЗСУ'!$D22</f>
        <v>108</v>
      </c>
      <c r="J22" s="63">
        <f>J21+'Втрати ЗСУ'!$E22</f>
        <v>134</v>
      </c>
      <c r="K22" s="63">
        <f>K21+'Втрати ЗСУ'!$F22</f>
        <v>99</v>
      </c>
      <c r="L22" s="63">
        <f>SUM('Втрати ЗСУ'!$H22:$K22)</f>
        <v>470</v>
      </c>
      <c r="M22" s="30">
        <f>M21+'Втрати ЗСУ'!$C22</f>
        <v>10129</v>
      </c>
      <c r="N22" s="30">
        <f>N21+'Втрати ЗСУ'!$D22</f>
        <v>11108</v>
      </c>
      <c r="O22" s="30">
        <f>O21+'Втрати ЗСУ'!$E22</f>
        <v>9134</v>
      </c>
      <c r="P22" s="30">
        <f>P21+'Втрати ЗСУ'!$F22</f>
        <v>8099</v>
      </c>
      <c r="Q22" s="63">
        <f>SUM('Втрати ЗСУ'!$M22:$P22)</f>
        <v>38470</v>
      </c>
    </row>
    <row r="23" ht="15.75" customHeight="1">
      <c r="A23" s="24">
        <v>46043.0</v>
      </c>
      <c r="B23" s="24" t="s">
        <v>72</v>
      </c>
      <c r="C23" s="30">
        <f t="shared" ref="C23:F23" si="22">RANDBETWEEN(1,10)</f>
        <v>1</v>
      </c>
      <c r="D23" s="30">
        <f t="shared" si="22"/>
        <v>1</v>
      </c>
      <c r="E23" s="30">
        <f t="shared" si="22"/>
        <v>3</v>
      </c>
      <c r="F23" s="30">
        <f t="shared" si="22"/>
        <v>8</v>
      </c>
      <c r="G23" s="63">
        <f>SUM('Втрати ЗСУ'!$C23:$F23)</f>
        <v>13</v>
      </c>
      <c r="H23" s="63">
        <f>H22+'Втрати ЗСУ'!$C23</f>
        <v>130</v>
      </c>
      <c r="I23" s="63">
        <f>I22+'Втрати ЗСУ'!$D23</f>
        <v>109</v>
      </c>
      <c r="J23" s="63">
        <f>J22+'Втрати ЗСУ'!$E23</f>
        <v>137</v>
      </c>
      <c r="K23" s="63">
        <f>K22+'Втрати ЗСУ'!$F23</f>
        <v>107</v>
      </c>
      <c r="L23" s="63">
        <f>SUM('Втрати ЗСУ'!$H23:$K23)</f>
        <v>483</v>
      </c>
      <c r="M23" s="30">
        <f>M22+'Втрати ЗСУ'!$C23</f>
        <v>10130</v>
      </c>
      <c r="N23" s="30">
        <f>N22+'Втрати ЗСУ'!$D23</f>
        <v>11109</v>
      </c>
      <c r="O23" s="30">
        <f>O22+'Втрати ЗСУ'!$E23</f>
        <v>9137</v>
      </c>
      <c r="P23" s="30">
        <f>P22+'Втрати ЗСУ'!$F23</f>
        <v>8107</v>
      </c>
      <c r="Q23" s="63">
        <f>SUM('Втрати ЗСУ'!$M23:$P23)</f>
        <v>38483</v>
      </c>
    </row>
    <row r="24" ht="15.75" customHeight="1">
      <c r="A24" s="24">
        <v>46044.0</v>
      </c>
      <c r="B24" s="24" t="s">
        <v>72</v>
      </c>
      <c r="C24" s="30">
        <f t="shared" ref="C24:F24" si="23">RANDBETWEEN(1,10)</f>
        <v>6</v>
      </c>
      <c r="D24" s="30">
        <f t="shared" si="23"/>
        <v>6</v>
      </c>
      <c r="E24" s="30">
        <f t="shared" si="23"/>
        <v>7</v>
      </c>
      <c r="F24" s="30">
        <f t="shared" si="23"/>
        <v>7</v>
      </c>
      <c r="G24" s="63">
        <f>SUM('Втрати ЗСУ'!$C24:$F24)</f>
        <v>26</v>
      </c>
      <c r="H24" s="63">
        <f>H23+'Втрати ЗСУ'!$C24</f>
        <v>136</v>
      </c>
      <c r="I24" s="63">
        <f>I23+'Втрати ЗСУ'!$D24</f>
        <v>115</v>
      </c>
      <c r="J24" s="63">
        <f>J23+'Втрати ЗСУ'!$E24</f>
        <v>144</v>
      </c>
      <c r="K24" s="63">
        <f>K23+'Втрати ЗСУ'!$F24</f>
        <v>114</v>
      </c>
      <c r="L24" s="63">
        <f>SUM('Втрати ЗСУ'!$H24:$K24)</f>
        <v>509</v>
      </c>
      <c r="M24" s="30">
        <f>M23+'Втрати ЗСУ'!$C24</f>
        <v>10136</v>
      </c>
      <c r="N24" s="30">
        <f>N23+'Втрати ЗСУ'!$D24</f>
        <v>11115</v>
      </c>
      <c r="O24" s="30">
        <f>O23+'Втрати ЗСУ'!$E24</f>
        <v>9144</v>
      </c>
      <c r="P24" s="30">
        <f>P23+'Втрати ЗСУ'!$F24</f>
        <v>8114</v>
      </c>
      <c r="Q24" s="63">
        <f>SUM('Втрати ЗСУ'!$M24:$P24)</f>
        <v>38509</v>
      </c>
    </row>
    <row r="25" ht="15.75" customHeight="1">
      <c r="A25" s="24">
        <v>46045.0</v>
      </c>
      <c r="B25" s="24" t="s">
        <v>72</v>
      </c>
      <c r="C25" s="30">
        <f t="shared" ref="C25:F25" si="24">RANDBETWEEN(1,10)</f>
        <v>2</v>
      </c>
      <c r="D25" s="30">
        <f t="shared" si="24"/>
        <v>8</v>
      </c>
      <c r="E25" s="30">
        <f t="shared" si="24"/>
        <v>2</v>
      </c>
      <c r="F25" s="30">
        <f t="shared" si="24"/>
        <v>2</v>
      </c>
      <c r="G25" s="63">
        <f>SUM('Втрати ЗСУ'!$C25:$F25)</f>
        <v>14</v>
      </c>
      <c r="H25" s="63">
        <f>H24+'Втрати ЗСУ'!$C25</f>
        <v>138</v>
      </c>
      <c r="I25" s="63">
        <f>I24+'Втрати ЗСУ'!$D25</f>
        <v>123</v>
      </c>
      <c r="J25" s="63">
        <f>J24+'Втрати ЗСУ'!$E25</f>
        <v>146</v>
      </c>
      <c r="K25" s="63">
        <f>K24+'Втрати ЗСУ'!$F25</f>
        <v>116</v>
      </c>
      <c r="L25" s="63">
        <f>SUM('Втрати ЗСУ'!$H25:$K25)</f>
        <v>523</v>
      </c>
      <c r="M25" s="30">
        <f>M24+'Втрати ЗСУ'!$C25</f>
        <v>10138</v>
      </c>
      <c r="N25" s="30">
        <f>N24+'Втрати ЗСУ'!$D25</f>
        <v>11123</v>
      </c>
      <c r="O25" s="30">
        <f>O24+'Втрати ЗСУ'!$E25</f>
        <v>9146</v>
      </c>
      <c r="P25" s="30">
        <f>P24+'Втрати ЗСУ'!$F25</f>
        <v>8116</v>
      </c>
      <c r="Q25" s="63">
        <f>SUM('Втрати ЗСУ'!$M25:$P25)</f>
        <v>38523</v>
      </c>
    </row>
    <row r="26" ht="15.75" customHeight="1">
      <c r="A26" s="24">
        <v>46046.0</v>
      </c>
      <c r="B26" s="24" t="s">
        <v>72</v>
      </c>
      <c r="C26" s="30">
        <f t="shared" ref="C26:F26" si="25">RANDBETWEEN(1,10)</f>
        <v>9</v>
      </c>
      <c r="D26" s="30">
        <f t="shared" si="25"/>
        <v>9</v>
      </c>
      <c r="E26" s="30">
        <f t="shared" si="25"/>
        <v>2</v>
      </c>
      <c r="F26" s="30">
        <f t="shared" si="25"/>
        <v>8</v>
      </c>
      <c r="G26" s="63">
        <f>SUM('Втрати ЗСУ'!$C26:$F26)</f>
        <v>28</v>
      </c>
      <c r="H26" s="63">
        <f>H25+'Втрати ЗСУ'!$C26</f>
        <v>147</v>
      </c>
      <c r="I26" s="63">
        <f>I25+'Втрати ЗСУ'!$D26</f>
        <v>132</v>
      </c>
      <c r="J26" s="63">
        <f>J25+'Втрати ЗСУ'!$E26</f>
        <v>148</v>
      </c>
      <c r="K26" s="63">
        <f>K25+'Втрати ЗСУ'!$F26</f>
        <v>124</v>
      </c>
      <c r="L26" s="63">
        <f>SUM('Втрати ЗСУ'!$H26:$K26)</f>
        <v>551</v>
      </c>
      <c r="M26" s="30">
        <f>M25+'Втрати ЗСУ'!$C26</f>
        <v>10147</v>
      </c>
      <c r="N26" s="30">
        <f>N25+'Втрати ЗСУ'!$D26</f>
        <v>11132</v>
      </c>
      <c r="O26" s="30">
        <f>O25+'Втрати ЗСУ'!$E26</f>
        <v>9148</v>
      </c>
      <c r="P26" s="30">
        <f>P25+'Втрати ЗСУ'!$F26</f>
        <v>8124</v>
      </c>
      <c r="Q26" s="63">
        <f>SUM('Втрати ЗСУ'!$M26:$P26)</f>
        <v>38551</v>
      </c>
    </row>
    <row r="27" ht="15.75" customHeight="1">
      <c r="A27" s="24">
        <v>46047.0</v>
      </c>
      <c r="B27" s="24" t="s">
        <v>72</v>
      </c>
      <c r="C27" s="30">
        <f t="shared" ref="C27:F27" si="26">RANDBETWEEN(1,10)</f>
        <v>8</v>
      </c>
      <c r="D27" s="30">
        <f t="shared" si="26"/>
        <v>9</v>
      </c>
      <c r="E27" s="30">
        <f t="shared" si="26"/>
        <v>6</v>
      </c>
      <c r="F27" s="30">
        <f t="shared" si="26"/>
        <v>1</v>
      </c>
      <c r="G27" s="63">
        <f>SUM('Втрати ЗСУ'!$C27:$F27)</f>
        <v>24</v>
      </c>
      <c r="H27" s="63">
        <f>H26+'Втрати ЗСУ'!$C27</f>
        <v>155</v>
      </c>
      <c r="I27" s="63">
        <f>I26+'Втрати ЗСУ'!$D27</f>
        <v>141</v>
      </c>
      <c r="J27" s="63">
        <f>J26+'Втрати ЗСУ'!$E27</f>
        <v>154</v>
      </c>
      <c r="K27" s="63">
        <f>K26+'Втрати ЗСУ'!$F27</f>
        <v>125</v>
      </c>
      <c r="L27" s="63">
        <f>SUM('Втрати ЗСУ'!$H27:$K27)</f>
        <v>575</v>
      </c>
      <c r="M27" s="30">
        <f>M26+'Втрати ЗСУ'!$C27</f>
        <v>10155</v>
      </c>
      <c r="N27" s="30">
        <f>N26+'Втрати ЗСУ'!$D27</f>
        <v>11141</v>
      </c>
      <c r="O27" s="30">
        <f>O26+'Втрати ЗСУ'!$E27</f>
        <v>9154</v>
      </c>
      <c r="P27" s="30">
        <f>P26+'Втрати ЗСУ'!$F27</f>
        <v>8125</v>
      </c>
      <c r="Q27" s="63">
        <f>SUM('Втрати ЗСУ'!$M27:$P27)</f>
        <v>38575</v>
      </c>
    </row>
    <row r="28" ht="15.75" customHeight="1">
      <c r="A28" s="24">
        <v>46048.0</v>
      </c>
      <c r="B28" s="24" t="s">
        <v>72</v>
      </c>
      <c r="C28" s="30">
        <f t="shared" ref="C28:F28" si="27">RANDBETWEEN(1,10)</f>
        <v>7</v>
      </c>
      <c r="D28" s="30">
        <f t="shared" si="27"/>
        <v>8</v>
      </c>
      <c r="E28" s="30">
        <f t="shared" si="27"/>
        <v>1</v>
      </c>
      <c r="F28" s="30">
        <f t="shared" si="27"/>
        <v>5</v>
      </c>
      <c r="G28" s="63">
        <f>SUM('Втрати ЗСУ'!$C28:$F28)</f>
        <v>21</v>
      </c>
      <c r="H28" s="63">
        <f>H27+'Втрати ЗСУ'!$C28</f>
        <v>162</v>
      </c>
      <c r="I28" s="63">
        <f>I27+'Втрати ЗСУ'!$D28</f>
        <v>149</v>
      </c>
      <c r="J28" s="63">
        <f>J27+'Втрати ЗСУ'!$E28</f>
        <v>155</v>
      </c>
      <c r="K28" s="63">
        <f>K27+'Втрати ЗСУ'!$F28</f>
        <v>130</v>
      </c>
      <c r="L28" s="63">
        <f>SUM('Втрати ЗСУ'!$H28:$K28)</f>
        <v>596</v>
      </c>
      <c r="M28" s="30">
        <f>M27+'Втрати ЗСУ'!$C28</f>
        <v>10162</v>
      </c>
      <c r="N28" s="30">
        <f>N27+'Втрати ЗСУ'!$D28</f>
        <v>11149</v>
      </c>
      <c r="O28" s="30">
        <f>O27+'Втрати ЗСУ'!$E28</f>
        <v>9155</v>
      </c>
      <c r="P28" s="30">
        <f>P27+'Втрати ЗСУ'!$F28</f>
        <v>8130</v>
      </c>
      <c r="Q28" s="63">
        <f>SUM('Втрати ЗСУ'!$M28:$P28)</f>
        <v>38596</v>
      </c>
    </row>
    <row r="29" ht="15.75" customHeight="1">
      <c r="A29" s="24">
        <v>46049.0</v>
      </c>
      <c r="B29" s="24" t="s">
        <v>72</v>
      </c>
      <c r="C29" s="30">
        <f t="shared" ref="C29:F29" si="28">RANDBETWEEN(1,10)</f>
        <v>10</v>
      </c>
      <c r="D29" s="30">
        <f t="shared" si="28"/>
        <v>1</v>
      </c>
      <c r="E29" s="30">
        <f t="shared" si="28"/>
        <v>8</v>
      </c>
      <c r="F29" s="30">
        <f t="shared" si="28"/>
        <v>2</v>
      </c>
      <c r="G29" s="63">
        <f>SUM('Втрати ЗСУ'!$C29:$F29)</f>
        <v>21</v>
      </c>
      <c r="H29" s="63">
        <f>H28+'Втрати ЗСУ'!$C29</f>
        <v>172</v>
      </c>
      <c r="I29" s="63">
        <f>I28+'Втрати ЗСУ'!$D29</f>
        <v>150</v>
      </c>
      <c r="J29" s="63">
        <f>J28+'Втрати ЗСУ'!$E29</f>
        <v>163</v>
      </c>
      <c r="K29" s="63">
        <f>K28+'Втрати ЗСУ'!$F29</f>
        <v>132</v>
      </c>
      <c r="L29" s="63">
        <f>SUM('Втрати ЗСУ'!$H29:$K29)</f>
        <v>617</v>
      </c>
      <c r="M29" s="30">
        <f>M28+'Втрати ЗСУ'!$C29</f>
        <v>10172</v>
      </c>
      <c r="N29" s="30">
        <f>N28+'Втрати ЗСУ'!$D29</f>
        <v>11150</v>
      </c>
      <c r="O29" s="30">
        <f>O28+'Втрати ЗСУ'!$E29</f>
        <v>9163</v>
      </c>
      <c r="P29" s="30">
        <f>P28+'Втрати ЗСУ'!$F29</f>
        <v>8132</v>
      </c>
      <c r="Q29" s="63">
        <f>SUM('Втрати ЗСУ'!$M29:$P29)</f>
        <v>38617</v>
      </c>
    </row>
    <row r="30" ht="15.75" customHeight="1">
      <c r="A30" s="24">
        <v>46050.0</v>
      </c>
      <c r="B30" s="24" t="s">
        <v>72</v>
      </c>
      <c r="C30" s="30">
        <f t="shared" ref="C30:F30" si="29">RANDBETWEEN(1,10)</f>
        <v>8</v>
      </c>
      <c r="D30" s="30">
        <f t="shared" si="29"/>
        <v>3</v>
      </c>
      <c r="E30" s="30">
        <f t="shared" si="29"/>
        <v>1</v>
      </c>
      <c r="F30" s="30">
        <f t="shared" si="29"/>
        <v>10</v>
      </c>
      <c r="G30" s="63">
        <f>SUM('Втрати ЗСУ'!$C30:$F30)</f>
        <v>22</v>
      </c>
      <c r="H30" s="63">
        <f>H29+'Втрати ЗСУ'!$C30</f>
        <v>180</v>
      </c>
      <c r="I30" s="63">
        <f>I29+'Втрати ЗСУ'!$D30</f>
        <v>153</v>
      </c>
      <c r="J30" s="63">
        <f>J29+'Втрати ЗСУ'!$E30</f>
        <v>164</v>
      </c>
      <c r="K30" s="63">
        <f>K29+'Втрати ЗСУ'!$F30</f>
        <v>142</v>
      </c>
      <c r="L30" s="63">
        <f>SUM('Втрати ЗСУ'!$H30:$K30)</f>
        <v>639</v>
      </c>
      <c r="M30" s="30">
        <f>M29+'Втрати ЗСУ'!$C30</f>
        <v>10180</v>
      </c>
      <c r="N30" s="30">
        <f>N29+'Втрати ЗСУ'!$D30</f>
        <v>11153</v>
      </c>
      <c r="O30" s="30">
        <f>O29+'Втрати ЗСУ'!$E30</f>
        <v>9164</v>
      </c>
      <c r="P30" s="30">
        <f>P29+'Втрати ЗСУ'!$F30</f>
        <v>8142</v>
      </c>
      <c r="Q30" s="63">
        <f>SUM('Втрати ЗСУ'!$M30:$P30)</f>
        <v>38639</v>
      </c>
    </row>
    <row r="31" ht="15.75" customHeight="1">
      <c r="A31" s="24">
        <v>46051.0</v>
      </c>
      <c r="B31" s="24" t="s">
        <v>72</v>
      </c>
      <c r="C31" s="30">
        <f t="shared" ref="C31:F31" si="30">RANDBETWEEN(1,10)</f>
        <v>8</v>
      </c>
      <c r="D31" s="30">
        <f t="shared" si="30"/>
        <v>2</v>
      </c>
      <c r="E31" s="30">
        <f t="shared" si="30"/>
        <v>5</v>
      </c>
      <c r="F31" s="30">
        <f t="shared" si="30"/>
        <v>9</v>
      </c>
      <c r="G31" s="63">
        <f>SUM('Втрати ЗСУ'!$C31:$F31)</f>
        <v>24</v>
      </c>
      <c r="H31" s="63">
        <f>H30+'Втрати ЗСУ'!$C31</f>
        <v>188</v>
      </c>
      <c r="I31" s="63">
        <f>I30+'Втрати ЗСУ'!$D31</f>
        <v>155</v>
      </c>
      <c r="J31" s="63">
        <f>J30+'Втрати ЗСУ'!$E31</f>
        <v>169</v>
      </c>
      <c r="K31" s="63">
        <f>K30+'Втрати ЗСУ'!$F31</f>
        <v>151</v>
      </c>
      <c r="L31" s="63">
        <f>SUM('Втрати ЗСУ'!$H31:$K31)</f>
        <v>663</v>
      </c>
      <c r="M31" s="30">
        <f>M30+'Втрати ЗСУ'!$C31</f>
        <v>10188</v>
      </c>
      <c r="N31" s="30">
        <f>N30+'Втрати ЗСУ'!$D31</f>
        <v>11155</v>
      </c>
      <c r="O31" s="30">
        <f>O30+'Втрати ЗСУ'!$E31</f>
        <v>9169</v>
      </c>
      <c r="P31" s="30">
        <f>P30+'Втрати ЗСУ'!$F31</f>
        <v>8151</v>
      </c>
      <c r="Q31" s="63">
        <f>SUM('Втрати ЗСУ'!$M31:$P31)</f>
        <v>38663</v>
      </c>
    </row>
    <row r="32" ht="15.75" customHeight="1">
      <c r="A32" s="24">
        <v>46052.0</v>
      </c>
      <c r="B32" s="24" t="s">
        <v>72</v>
      </c>
      <c r="C32" s="30">
        <f t="shared" ref="C32:F32" si="31">RANDBETWEEN(1,10)</f>
        <v>10</v>
      </c>
      <c r="D32" s="30">
        <f t="shared" si="31"/>
        <v>10</v>
      </c>
      <c r="E32" s="30">
        <f t="shared" si="31"/>
        <v>7</v>
      </c>
      <c r="F32" s="30">
        <f t="shared" si="31"/>
        <v>1</v>
      </c>
      <c r="G32" s="63">
        <f>SUM('Втрати ЗСУ'!$C32:$F32)</f>
        <v>28</v>
      </c>
      <c r="H32" s="63">
        <f>H31+'Втрати ЗСУ'!$C32</f>
        <v>198</v>
      </c>
      <c r="I32" s="63">
        <f>I31+'Втрати ЗСУ'!$D32</f>
        <v>165</v>
      </c>
      <c r="J32" s="63">
        <f>J31+'Втрати ЗСУ'!$E32</f>
        <v>176</v>
      </c>
      <c r="K32" s="63">
        <f>K31+'Втрати ЗСУ'!$F32</f>
        <v>152</v>
      </c>
      <c r="L32" s="63">
        <f>SUM('Втрати ЗСУ'!$H32:$K32)</f>
        <v>691</v>
      </c>
      <c r="M32" s="30">
        <f>M31+'Втрати ЗСУ'!$C32</f>
        <v>10198</v>
      </c>
      <c r="N32" s="30">
        <f>N31+'Втрати ЗСУ'!$D32</f>
        <v>11165</v>
      </c>
      <c r="O32" s="30">
        <f>O31+'Втрати ЗСУ'!$E32</f>
        <v>9176</v>
      </c>
      <c r="P32" s="30">
        <f>P31+'Втрати ЗСУ'!$F32</f>
        <v>8152</v>
      </c>
      <c r="Q32" s="63">
        <f>SUM('Втрати ЗСУ'!$M32:$P32)</f>
        <v>38691</v>
      </c>
    </row>
    <row r="33" ht="15.75" customHeight="1">
      <c r="A33" s="24">
        <v>46053.0</v>
      </c>
      <c r="B33" s="24" t="s">
        <v>72</v>
      </c>
      <c r="C33" s="30">
        <f t="shared" ref="C33:F33" si="32">RANDBETWEEN(1,10)</f>
        <v>7</v>
      </c>
      <c r="D33" s="30">
        <f t="shared" si="32"/>
        <v>10</v>
      </c>
      <c r="E33" s="30">
        <f t="shared" si="32"/>
        <v>5</v>
      </c>
      <c r="F33" s="30">
        <f t="shared" si="32"/>
        <v>4</v>
      </c>
      <c r="G33" s="63">
        <f>SUM('Втрати ЗСУ'!$C33:$F33)</f>
        <v>26</v>
      </c>
      <c r="H33" s="63">
        <f>H32+'Втрати ЗСУ'!$C33</f>
        <v>205</v>
      </c>
      <c r="I33" s="63">
        <f>I32+'Втрати ЗСУ'!$D33</f>
        <v>175</v>
      </c>
      <c r="J33" s="63">
        <f>J32+'Втрати ЗСУ'!$E33</f>
        <v>181</v>
      </c>
      <c r="K33" s="63">
        <f>K32+'Втрати ЗСУ'!$F33</f>
        <v>156</v>
      </c>
      <c r="L33" s="63">
        <f>SUM('Втрати ЗСУ'!$H33:$K33)</f>
        <v>717</v>
      </c>
      <c r="M33" s="30">
        <f>M32+'Втрати ЗСУ'!$C33</f>
        <v>10205</v>
      </c>
      <c r="N33" s="30">
        <f>N32+'Втрати ЗСУ'!$D33</f>
        <v>11175</v>
      </c>
      <c r="O33" s="30">
        <f>O32+'Втрати ЗСУ'!$E33</f>
        <v>9181</v>
      </c>
      <c r="P33" s="30">
        <f>P32+'Втрати ЗСУ'!$F33</f>
        <v>8156</v>
      </c>
      <c r="Q33" s="63">
        <f>SUM('Втрати ЗСУ'!$M33:$P33)</f>
        <v>38717</v>
      </c>
    </row>
    <row r="34" ht="15.75" customHeight="1">
      <c r="A34" s="24">
        <v>46235.0</v>
      </c>
      <c r="B34" s="24" t="s">
        <v>72</v>
      </c>
      <c r="C34" s="30">
        <f t="shared" ref="C34:F34" si="33">RANDBETWEEN(1,10)</f>
        <v>8</v>
      </c>
      <c r="D34" s="30">
        <f t="shared" si="33"/>
        <v>10</v>
      </c>
      <c r="E34" s="30">
        <f t="shared" si="33"/>
        <v>9</v>
      </c>
      <c r="F34" s="30">
        <f t="shared" si="33"/>
        <v>9</v>
      </c>
      <c r="G34" s="63">
        <f>SUM('Втрати ЗСУ'!$C34:$F34)</f>
        <v>36</v>
      </c>
      <c r="H34" s="63">
        <f>H33+'Втрати ЗСУ'!$C34</f>
        <v>213</v>
      </c>
      <c r="I34" s="63">
        <f>I33+'Втрати ЗСУ'!$D34</f>
        <v>185</v>
      </c>
      <c r="J34" s="63">
        <f>J33+'Втрати ЗСУ'!$E34</f>
        <v>190</v>
      </c>
      <c r="K34" s="63">
        <f>K33+'Втрати ЗСУ'!$F34</f>
        <v>165</v>
      </c>
      <c r="L34" s="63">
        <f>SUM('Втрати ЗСУ'!$H34:$K34)</f>
        <v>753</v>
      </c>
      <c r="M34" s="30">
        <f>M33+'Втрати ЗСУ'!$C34</f>
        <v>10213</v>
      </c>
      <c r="N34" s="30">
        <f>N33+'Втрати ЗСУ'!$D34</f>
        <v>11185</v>
      </c>
      <c r="O34" s="30">
        <f>O33+'Втрати ЗСУ'!$E34</f>
        <v>9190</v>
      </c>
      <c r="P34" s="30">
        <f>P33+'Втрати ЗСУ'!$F34</f>
        <v>8165</v>
      </c>
      <c r="Q34" s="63">
        <f>SUM('Втрати ЗСУ'!$M34:$P34)</f>
        <v>38753</v>
      </c>
    </row>
    <row r="35" ht="15.75" customHeight="1">
      <c r="A35" s="24">
        <v>46236.0</v>
      </c>
      <c r="B35" s="24" t="s">
        <v>72</v>
      </c>
      <c r="C35" s="30">
        <f t="shared" ref="C35:F35" si="34">RANDBETWEEN(1,10)</f>
        <v>3</v>
      </c>
      <c r="D35" s="30">
        <f t="shared" si="34"/>
        <v>3</v>
      </c>
      <c r="E35" s="30">
        <f t="shared" si="34"/>
        <v>9</v>
      </c>
      <c r="F35" s="30">
        <f t="shared" si="34"/>
        <v>5</v>
      </c>
      <c r="G35" s="63">
        <f>SUM('Втрати ЗСУ'!$C35:$F35)</f>
        <v>20</v>
      </c>
      <c r="H35" s="63">
        <f>H34+'Втрати ЗСУ'!$C35</f>
        <v>216</v>
      </c>
      <c r="I35" s="63">
        <f>I34+'Втрати ЗСУ'!$D35</f>
        <v>188</v>
      </c>
      <c r="J35" s="63">
        <f>J34+'Втрати ЗСУ'!$E35</f>
        <v>199</v>
      </c>
      <c r="K35" s="63">
        <f>K34+'Втрати ЗСУ'!$F35</f>
        <v>170</v>
      </c>
      <c r="L35" s="63">
        <f>SUM('Втрати ЗСУ'!$H35:$K35)</f>
        <v>773</v>
      </c>
      <c r="M35" s="30">
        <f>M34+'Втрати ЗСУ'!$C35</f>
        <v>10216</v>
      </c>
      <c r="N35" s="30">
        <f>N34+'Втрати ЗСУ'!$D35</f>
        <v>11188</v>
      </c>
      <c r="O35" s="30">
        <f>O34+'Втрати ЗСУ'!$E35</f>
        <v>9199</v>
      </c>
      <c r="P35" s="30">
        <f>P34+'Втрати ЗСУ'!$F35</f>
        <v>8170</v>
      </c>
      <c r="Q35" s="63">
        <f>SUM('Втрати ЗСУ'!$M35:$P35)</f>
        <v>38773</v>
      </c>
    </row>
    <row r="36" ht="15.75" customHeight="1">
      <c r="A36" s="24">
        <v>46237.0</v>
      </c>
      <c r="B36" s="24" t="s">
        <v>72</v>
      </c>
      <c r="C36" s="30">
        <f t="shared" ref="C36:F36" si="35">RANDBETWEEN(1,10)</f>
        <v>6</v>
      </c>
      <c r="D36" s="30">
        <f t="shared" si="35"/>
        <v>7</v>
      </c>
      <c r="E36" s="30">
        <f t="shared" si="35"/>
        <v>7</v>
      </c>
      <c r="F36" s="30">
        <f t="shared" si="35"/>
        <v>3</v>
      </c>
      <c r="G36" s="63">
        <f>SUM('Втрати ЗСУ'!$C36:$F36)</f>
        <v>23</v>
      </c>
      <c r="H36" s="63">
        <f>H35+'Втрати ЗСУ'!$C36</f>
        <v>222</v>
      </c>
      <c r="I36" s="63">
        <f>I35+'Втрати ЗСУ'!$D36</f>
        <v>195</v>
      </c>
      <c r="J36" s="63">
        <f>J35+'Втрати ЗСУ'!$E36</f>
        <v>206</v>
      </c>
      <c r="K36" s="63">
        <f>K35+'Втрати ЗСУ'!$F36</f>
        <v>173</v>
      </c>
      <c r="L36" s="63">
        <f>SUM('Втрати ЗСУ'!$H36:$K36)</f>
        <v>796</v>
      </c>
      <c r="M36" s="30">
        <f>M35+'Втрати ЗСУ'!$C36</f>
        <v>10222</v>
      </c>
      <c r="N36" s="30">
        <f>N35+'Втрати ЗСУ'!$D36</f>
        <v>11195</v>
      </c>
      <c r="O36" s="30">
        <f>O35+'Втрати ЗСУ'!$E36</f>
        <v>9206</v>
      </c>
      <c r="P36" s="30">
        <f>P35+'Втрати ЗСУ'!$F36</f>
        <v>8173</v>
      </c>
      <c r="Q36" s="63">
        <f>SUM('Втрати ЗСУ'!$M36:$P36)</f>
        <v>38796</v>
      </c>
    </row>
    <row r="37" ht="15.75" customHeight="1">
      <c r="A37" s="24">
        <v>46238.0</v>
      </c>
      <c r="B37" s="24" t="s">
        <v>72</v>
      </c>
      <c r="C37" s="30">
        <f t="shared" ref="C37:F37" si="36">RANDBETWEEN(1,10)</f>
        <v>6</v>
      </c>
      <c r="D37" s="30">
        <f t="shared" si="36"/>
        <v>10</v>
      </c>
      <c r="E37" s="30">
        <f t="shared" si="36"/>
        <v>2</v>
      </c>
      <c r="F37" s="30">
        <f t="shared" si="36"/>
        <v>3</v>
      </c>
      <c r="G37" s="63">
        <f>SUM('Втрати ЗСУ'!$C37:$F37)</f>
        <v>21</v>
      </c>
      <c r="H37" s="63">
        <f>H36+'Втрати ЗСУ'!$C37</f>
        <v>228</v>
      </c>
      <c r="I37" s="63">
        <f>I36+'Втрати ЗСУ'!$D37</f>
        <v>205</v>
      </c>
      <c r="J37" s="63">
        <f>J36+'Втрати ЗСУ'!$E37</f>
        <v>208</v>
      </c>
      <c r="K37" s="63">
        <f>K36+'Втрати ЗСУ'!$F37</f>
        <v>176</v>
      </c>
      <c r="L37" s="63">
        <f>SUM('Втрати ЗСУ'!$H37:$K37)</f>
        <v>817</v>
      </c>
      <c r="M37" s="30">
        <f>M36+'Втрати ЗСУ'!$C37</f>
        <v>10228</v>
      </c>
      <c r="N37" s="30">
        <f>N36+'Втрати ЗСУ'!$D37</f>
        <v>11205</v>
      </c>
      <c r="O37" s="30">
        <f>O36+'Втрати ЗСУ'!$E37</f>
        <v>9208</v>
      </c>
      <c r="P37" s="30">
        <f>P36+'Втрати ЗСУ'!$F37</f>
        <v>8176</v>
      </c>
      <c r="Q37" s="63">
        <f>SUM('Втрати ЗСУ'!$M37:$P37)</f>
        <v>38817</v>
      </c>
    </row>
    <row r="38" ht="15.75" customHeight="1">
      <c r="A38" s="24">
        <v>46239.0</v>
      </c>
      <c r="B38" s="24" t="s">
        <v>72</v>
      </c>
      <c r="C38" s="30">
        <f t="shared" ref="C38:F38" si="37">RANDBETWEEN(1,10)</f>
        <v>9</v>
      </c>
      <c r="D38" s="30">
        <f t="shared" si="37"/>
        <v>6</v>
      </c>
      <c r="E38" s="30">
        <f t="shared" si="37"/>
        <v>5</v>
      </c>
      <c r="F38" s="30">
        <f t="shared" si="37"/>
        <v>7</v>
      </c>
      <c r="G38" s="63">
        <f>SUM('Втрати ЗСУ'!$C38:$F38)</f>
        <v>27</v>
      </c>
      <c r="H38" s="63">
        <f>H37+'Втрати ЗСУ'!$C38</f>
        <v>237</v>
      </c>
      <c r="I38" s="63">
        <f>I37+'Втрати ЗСУ'!$D38</f>
        <v>211</v>
      </c>
      <c r="J38" s="63">
        <f>J37+'Втрати ЗСУ'!$E38</f>
        <v>213</v>
      </c>
      <c r="K38" s="63">
        <f>K37+'Втрати ЗСУ'!$F38</f>
        <v>183</v>
      </c>
      <c r="L38" s="63">
        <f>SUM('Втрати ЗСУ'!$H38:$K38)</f>
        <v>844</v>
      </c>
      <c r="M38" s="30">
        <f>M37+'Втрати ЗСУ'!$C38</f>
        <v>10237</v>
      </c>
      <c r="N38" s="30">
        <f>N37+'Втрати ЗСУ'!$D38</f>
        <v>11211</v>
      </c>
      <c r="O38" s="30">
        <f>O37+'Втрати ЗСУ'!$E38</f>
        <v>9213</v>
      </c>
      <c r="P38" s="30">
        <f>P37+'Втрати ЗСУ'!$F38</f>
        <v>8183</v>
      </c>
      <c r="Q38" s="63">
        <f>SUM('Втрати ЗСУ'!$M38:$P38)</f>
        <v>38844</v>
      </c>
    </row>
    <row r="39" ht="15.75" customHeight="1">
      <c r="A39" s="24">
        <v>46240.0</v>
      </c>
      <c r="B39" s="24" t="s">
        <v>72</v>
      </c>
      <c r="C39" s="30">
        <f t="shared" ref="C39:F39" si="38">RANDBETWEEN(1,10)</f>
        <v>10</v>
      </c>
      <c r="D39" s="30">
        <f t="shared" si="38"/>
        <v>8</v>
      </c>
      <c r="E39" s="30">
        <f t="shared" si="38"/>
        <v>10</v>
      </c>
      <c r="F39" s="30">
        <f t="shared" si="38"/>
        <v>6</v>
      </c>
      <c r="G39" s="63">
        <f>SUM('Втрати ЗСУ'!$C39:$F39)</f>
        <v>34</v>
      </c>
      <c r="H39" s="63">
        <f>H38+'Втрати ЗСУ'!$C39</f>
        <v>247</v>
      </c>
      <c r="I39" s="63">
        <f>I38+'Втрати ЗСУ'!$D39</f>
        <v>219</v>
      </c>
      <c r="J39" s="63">
        <f>J38+'Втрати ЗСУ'!$E39</f>
        <v>223</v>
      </c>
      <c r="K39" s="63">
        <f>K38+'Втрати ЗСУ'!$F39</f>
        <v>189</v>
      </c>
      <c r="L39" s="63">
        <f>SUM('Втрати ЗСУ'!$H39:$K39)</f>
        <v>878</v>
      </c>
      <c r="M39" s="30">
        <f>M38+'Втрати ЗСУ'!$C39</f>
        <v>10247</v>
      </c>
      <c r="N39" s="30">
        <f>N38+'Втрати ЗСУ'!$D39</f>
        <v>11219</v>
      </c>
      <c r="O39" s="30">
        <f>O38+'Втрати ЗСУ'!$E39</f>
        <v>9223</v>
      </c>
      <c r="P39" s="30">
        <f>P38+'Втрати ЗСУ'!$F39</f>
        <v>8189</v>
      </c>
      <c r="Q39" s="63">
        <f>SUM('Втрати ЗСУ'!$M39:$P39)</f>
        <v>38878</v>
      </c>
    </row>
    <row r="40" ht="15.75" customHeight="1">
      <c r="A40" s="24">
        <v>46241.0</v>
      </c>
      <c r="B40" s="24" t="s">
        <v>72</v>
      </c>
      <c r="C40" s="30">
        <f t="shared" ref="C40:F40" si="39">RANDBETWEEN(1,10)</f>
        <v>10</v>
      </c>
      <c r="D40" s="30">
        <f t="shared" si="39"/>
        <v>1</v>
      </c>
      <c r="E40" s="30">
        <f t="shared" si="39"/>
        <v>3</v>
      </c>
      <c r="F40" s="30">
        <f t="shared" si="39"/>
        <v>2</v>
      </c>
      <c r="G40" s="63">
        <f>SUM('Втрати ЗСУ'!$C40:$F40)</f>
        <v>16</v>
      </c>
      <c r="H40" s="63">
        <f>H39+'Втрати ЗСУ'!$C40</f>
        <v>257</v>
      </c>
      <c r="I40" s="63">
        <f>I39+'Втрати ЗСУ'!$D40</f>
        <v>220</v>
      </c>
      <c r="J40" s="63">
        <f>J39+'Втрати ЗСУ'!$E40</f>
        <v>226</v>
      </c>
      <c r="K40" s="63">
        <f>K39+'Втрати ЗСУ'!$F40</f>
        <v>191</v>
      </c>
      <c r="L40" s="63">
        <f>SUM('Втрати ЗСУ'!$H40:$K40)</f>
        <v>894</v>
      </c>
      <c r="M40" s="30">
        <f>M39+'Втрати ЗСУ'!$C40</f>
        <v>10257</v>
      </c>
      <c r="N40" s="30">
        <f>N39+'Втрати ЗСУ'!$D40</f>
        <v>11220</v>
      </c>
      <c r="O40" s="30">
        <f>O39+'Втрати ЗСУ'!$E40</f>
        <v>9226</v>
      </c>
      <c r="P40" s="30">
        <f>P39+'Втрати ЗСУ'!$F40</f>
        <v>8191</v>
      </c>
      <c r="Q40" s="63">
        <f>SUM('Втрати ЗСУ'!$M40:$P40)</f>
        <v>38894</v>
      </c>
    </row>
    <row r="41" ht="15.75" customHeight="1">
      <c r="A41" s="24">
        <v>46242.0</v>
      </c>
      <c r="B41" s="24" t="s">
        <v>72</v>
      </c>
      <c r="C41" s="30">
        <f t="shared" ref="C41:F41" si="40">RANDBETWEEN(1,10)</f>
        <v>9</v>
      </c>
      <c r="D41" s="30">
        <f t="shared" si="40"/>
        <v>6</v>
      </c>
      <c r="E41" s="30">
        <f t="shared" si="40"/>
        <v>3</v>
      </c>
      <c r="F41" s="30">
        <f t="shared" si="40"/>
        <v>8</v>
      </c>
      <c r="G41" s="63">
        <f>SUM('Втрати ЗСУ'!$C41:$F41)</f>
        <v>26</v>
      </c>
      <c r="H41" s="63">
        <f>H40+'Втрати ЗСУ'!$C41</f>
        <v>266</v>
      </c>
      <c r="I41" s="63">
        <f>I40+'Втрати ЗСУ'!$D41</f>
        <v>226</v>
      </c>
      <c r="J41" s="63">
        <f>J40+'Втрати ЗСУ'!$E41</f>
        <v>229</v>
      </c>
      <c r="K41" s="63">
        <f>K40+'Втрати ЗСУ'!$F41</f>
        <v>199</v>
      </c>
      <c r="L41" s="63">
        <f>SUM('Втрати ЗСУ'!$H41:$K41)</f>
        <v>920</v>
      </c>
      <c r="M41" s="30">
        <f>M40+'Втрати ЗСУ'!$C41</f>
        <v>10266</v>
      </c>
      <c r="N41" s="30">
        <f>N40+'Втрати ЗСУ'!$D41</f>
        <v>11226</v>
      </c>
      <c r="O41" s="30">
        <f>O40+'Втрати ЗСУ'!$E41</f>
        <v>9229</v>
      </c>
      <c r="P41" s="30">
        <f>P40+'Втрати ЗСУ'!$F41</f>
        <v>8199</v>
      </c>
      <c r="Q41" s="63">
        <f>SUM('Втрати ЗСУ'!$M41:$P41)</f>
        <v>38920</v>
      </c>
    </row>
    <row r="42" ht="15.75" customHeight="1">
      <c r="A42" s="24">
        <v>46243.0</v>
      </c>
      <c r="B42" s="24" t="s">
        <v>72</v>
      </c>
      <c r="C42" s="30">
        <f t="shared" ref="C42:F42" si="41">RANDBETWEEN(1,10)</f>
        <v>7</v>
      </c>
      <c r="D42" s="30">
        <f t="shared" si="41"/>
        <v>2</v>
      </c>
      <c r="E42" s="30">
        <f t="shared" si="41"/>
        <v>3</v>
      </c>
      <c r="F42" s="30">
        <f t="shared" si="41"/>
        <v>8</v>
      </c>
      <c r="G42" s="63">
        <f>SUM('Втрати ЗСУ'!$C42:$F42)</f>
        <v>20</v>
      </c>
      <c r="H42" s="63">
        <f>H41+'Втрати ЗСУ'!$C42</f>
        <v>273</v>
      </c>
      <c r="I42" s="63">
        <f>I41+'Втрати ЗСУ'!$D42</f>
        <v>228</v>
      </c>
      <c r="J42" s="63">
        <f>J41+'Втрати ЗСУ'!$E42</f>
        <v>232</v>
      </c>
      <c r="K42" s="63">
        <f>K41+'Втрати ЗСУ'!$F42</f>
        <v>207</v>
      </c>
      <c r="L42" s="63">
        <f>SUM('Втрати ЗСУ'!$H42:$K42)</f>
        <v>940</v>
      </c>
      <c r="M42" s="30">
        <f>M41+'Втрати ЗСУ'!$C42</f>
        <v>10273</v>
      </c>
      <c r="N42" s="30">
        <f>N41+'Втрати ЗСУ'!$D42</f>
        <v>11228</v>
      </c>
      <c r="O42" s="30">
        <f>O41+'Втрати ЗСУ'!$E42</f>
        <v>9232</v>
      </c>
      <c r="P42" s="30">
        <f>P41+'Втрати ЗСУ'!$F42</f>
        <v>8207</v>
      </c>
      <c r="Q42" s="63">
        <f>SUM('Втрати ЗСУ'!$M42:$P42)</f>
        <v>38940</v>
      </c>
    </row>
    <row r="43" ht="15.75" customHeight="1">
      <c r="A43" s="24">
        <v>46244.0</v>
      </c>
      <c r="B43" s="24" t="s">
        <v>72</v>
      </c>
      <c r="C43" s="30">
        <f t="shared" ref="C43:F43" si="42">RANDBETWEEN(1,10)</f>
        <v>10</v>
      </c>
      <c r="D43" s="30">
        <f t="shared" si="42"/>
        <v>8</v>
      </c>
      <c r="E43" s="30">
        <f t="shared" si="42"/>
        <v>1</v>
      </c>
      <c r="F43" s="30">
        <f t="shared" si="42"/>
        <v>9</v>
      </c>
      <c r="G43" s="63">
        <f>SUM('Втрати ЗСУ'!$C43:$F43)</f>
        <v>28</v>
      </c>
      <c r="H43" s="63">
        <f>H42+'Втрати ЗСУ'!$C43</f>
        <v>283</v>
      </c>
      <c r="I43" s="63">
        <f>I42+'Втрати ЗСУ'!$D43</f>
        <v>236</v>
      </c>
      <c r="J43" s="63">
        <f>J42+'Втрати ЗСУ'!$E43</f>
        <v>233</v>
      </c>
      <c r="K43" s="63">
        <f>K42+'Втрати ЗСУ'!$F43</f>
        <v>216</v>
      </c>
      <c r="L43" s="63">
        <f>SUM('Втрати ЗСУ'!$H43:$K43)</f>
        <v>968</v>
      </c>
      <c r="M43" s="30">
        <f>M42+'Втрати ЗСУ'!$C43</f>
        <v>10283</v>
      </c>
      <c r="N43" s="30">
        <f>N42+'Втрати ЗСУ'!$D43</f>
        <v>11236</v>
      </c>
      <c r="O43" s="30">
        <f>O42+'Втрати ЗСУ'!$E43</f>
        <v>9233</v>
      </c>
      <c r="P43" s="30">
        <f>P42+'Втрати ЗСУ'!$F43</f>
        <v>8216</v>
      </c>
      <c r="Q43" s="63">
        <f>SUM('Втрати ЗСУ'!$M43:$P43)</f>
        <v>38968</v>
      </c>
    </row>
    <row r="44" ht="15.75" customHeight="1">
      <c r="A44" s="24">
        <v>46245.0</v>
      </c>
      <c r="B44" s="24" t="s">
        <v>72</v>
      </c>
      <c r="C44" s="30">
        <f t="shared" ref="C44:F44" si="43">RANDBETWEEN(1,10)</f>
        <v>5</v>
      </c>
      <c r="D44" s="30">
        <f t="shared" si="43"/>
        <v>4</v>
      </c>
      <c r="E44" s="30">
        <f t="shared" si="43"/>
        <v>7</v>
      </c>
      <c r="F44" s="30">
        <f t="shared" si="43"/>
        <v>8</v>
      </c>
      <c r="G44" s="63">
        <f>SUM('Втрати ЗСУ'!$C44:$F44)</f>
        <v>24</v>
      </c>
      <c r="H44" s="63">
        <f>H43+'Втрати ЗСУ'!$C44</f>
        <v>288</v>
      </c>
      <c r="I44" s="63">
        <f>I43+'Втрати ЗСУ'!$D44</f>
        <v>240</v>
      </c>
      <c r="J44" s="63">
        <f>J43+'Втрати ЗСУ'!$E44</f>
        <v>240</v>
      </c>
      <c r="K44" s="63">
        <f>K43+'Втрати ЗСУ'!$F44</f>
        <v>224</v>
      </c>
      <c r="L44" s="63">
        <f>SUM('Втрати ЗСУ'!$H44:$K44)</f>
        <v>992</v>
      </c>
      <c r="M44" s="30">
        <f>M43+'Втрати ЗСУ'!$C44</f>
        <v>10288</v>
      </c>
      <c r="N44" s="30">
        <f>N43+'Втрати ЗСУ'!$D44</f>
        <v>11240</v>
      </c>
      <c r="O44" s="30">
        <f>O43+'Втрати ЗСУ'!$E44</f>
        <v>9240</v>
      </c>
      <c r="P44" s="30">
        <f>P43+'Втрати ЗСУ'!$F44</f>
        <v>8224</v>
      </c>
      <c r="Q44" s="63">
        <f>SUM('Втрати ЗСУ'!$M44:$P44)</f>
        <v>38992</v>
      </c>
    </row>
    <row r="45" ht="15.75" customHeight="1">
      <c r="A45" s="24">
        <v>46246.0</v>
      </c>
      <c r="B45" s="24" t="s">
        <v>72</v>
      </c>
      <c r="C45" s="30">
        <f t="shared" ref="C45:F45" si="44">RANDBETWEEN(1,10)</f>
        <v>7</v>
      </c>
      <c r="D45" s="30">
        <f t="shared" si="44"/>
        <v>6</v>
      </c>
      <c r="E45" s="30">
        <f t="shared" si="44"/>
        <v>4</v>
      </c>
      <c r="F45" s="30">
        <f t="shared" si="44"/>
        <v>9</v>
      </c>
      <c r="G45" s="63">
        <f>SUM('Втрати ЗСУ'!$C45:$F45)</f>
        <v>26</v>
      </c>
      <c r="H45" s="63">
        <f>H44+'Втрати ЗСУ'!$C45</f>
        <v>295</v>
      </c>
      <c r="I45" s="63">
        <f>I44+'Втрати ЗСУ'!$D45</f>
        <v>246</v>
      </c>
      <c r="J45" s="63">
        <f>J44+'Втрати ЗСУ'!$E45</f>
        <v>244</v>
      </c>
      <c r="K45" s="63">
        <f>K44+'Втрати ЗСУ'!$F45</f>
        <v>233</v>
      </c>
      <c r="L45" s="63">
        <f>SUM('Втрати ЗСУ'!$H45:$K45)</f>
        <v>1018</v>
      </c>
      <c r="M45" s="30">
        <f>M44+'Втрати ЗСУ'!$C45</f>
        <v>10295</v>
      </c>
      <c r="N45" s="30">
        <f>N44+'Втрати ЗСУ'!$D45</f>
        <v>11246</v>
      </c>
      <c r="O45" s="30">
        <f>O44+'Втрати ЗСУ'!$E45</f>
        <v>9244</v>
      </c>
      <c r="P45" s="30">
        <f>P44+'Втрати ЗСУ'!$F45</f>
        <v>8233</v>
      </c>
      <c r="Q45" s="63">
        <f>SUM('Втрати ЗСУ'!$M45:$P45)</f>
        <v>39018</v>
      </c>
    </row>
    <row r="46" ht="15.75" customHeight="1">
      <c r="A46" s="24">
        <v>46247.0</v>
      </c>
      <c r="B46" s="24" t="s">
        <v>72</v>
      </c>
      <c r="C46" s="30">
        <f t="shared" ref="C46:F46" si="45">RANDBETWEEN(1,10)</f>
        <v>1</v>
      </c>
      <c r="D46" s="30">
        <f t="shared" si="45"/>
        <v>4</v>
      </c>
      <c r="E46" s="30">
        <f t="shared" si="45"/>
        <v>8</v>
      </c>
      <c r="F46" s="30">
        <f t="shared" si="45"/>
        <v>1</v>
      </c>
      <c r="G46" s="63">
        <f>SUM('Втрати ЗСУ'!$C46:$F46)</f>
        <v>14</v>
      </c>
      <c r="H46" s="63">
        <f>H45+'Втрати ЗСУ'!$C46</f>
        <v>296</v>
      </c>
      <c r="I46" s="63">
        <f>I45+'Втрати ЗСУ'!$D46</f>
        <v>250</v>
      </c>
      <c r="J46" s="63">
        <f>J45+'Втрати ЗСУ'!$E46</f>
        <v>252</v>
      </c>
      <c r="K46" s="63">
        <f>K45+'Втрати ЗСУ'!$F46</f>
        <v>234</v>
      </c>
      <c r="L46" s="63">
        <f>SUM('Втрати ЗСУ'!$H46:$K46)</f>
        <v>1032</v>
      </c>
      <c r="M46" s="30">
        <f>M45+'Втрати ЗСУ'!$C46</f>
        <v>10296</v>
      </c>
      <c r="N46" s="30">
        <f>N45+'Втрати ЗСУ'!$D46</f>
        <v>11250</v>
      </c>
      <c r="O46" s="30">
        <f>O45+'Втрати ЗСУ'!$E46</f>
        <v>9252</v>
      </c>
      <c r="P46" s="30">
        <f>P45+'Втрати ЗСУ'!$F46</f>
        <v>8234</v>
      </c>
      <c r="Q46" s="63">
        <f>SUM('Втрати ЗСУ'!$M46:$P46)</f>
        <v>39032</v>
      </c>
    </row>
    <row r="47" ht="15.75" customHeight="1">
      <c r="A47" s="24">
        <v>46248.0</v>
      </c>
      <c r="B47" s="24" t="s">
        <v>72</v>
      </c>
      <c r="C47" s="30">
        <f t="shared" ref="C47:F47" si="46">RANDBETWEEN(1,10)</f>
        <v>5</v>
      </c>
      <c r="D47" s="30">
        <f t="shared" si="46"/>
        <v>10</v>
      </c>
      <c r="E47" s="30">
        <f t="shared" si="46"/>
        <v>8</v>
      </c>
      <c r="F47" s="30">
        <f t="shared" si="46"/>
        <v>8</v>
      </c>
      <c r="G47" s="63">
        <f>SUM('Втрати ЗСУ'!$C47:$F47)</f>
        <v>31</v>
      </c>
      <c r="H47" s="63">
        <f>H46+'Втрати ЗСУ'!$C47</f>
        <v>301</v>
      </c>
      <c r="I47" s="63">
        <f>I46+'Втрати ЗСУ'!$D47</f>
        <v>260</v>
      </c>
      <c r="J47" s="63">
        <f>J46+'Втрати ЗСУ'!$E47</f>
        <v>260</v>
      </c>
      <c r="K47" s="63">
        <f>K46+'Втрати ЗСУ'!$F47</f>
        <v>242</v>
      </c>
      <c r="L47" s="63">
        <f>SUM('Втрати ЗСУ'!$H47:$K47)</f>
        <v>1063</v>
      </c>
      <c r="M47" s="30">
        <f>M46+'Втрати ЗСУ'!$C47</f>
        <v>10301</v>
      </c>
      <c r="N47" s="30">
        <f>N46+'Втрати ЗСУ'!$D47</f>
        <v>11260</v>
      </c>
      <c r="O47" s="30">
        <f>O46+'Втрати ЗСУ'!$E47</f>
        <v>9260</v>
      </c>
      <c r="P47" s="30">
        <f>P46+'Втрати ЗСУ'!$F47</f>
        <v>8242</v>
      </c>
      <c r="Q47" s="63">
        <f>SUM('Втрати ЗСУ'!$M47:$P47)</f>
        <v>39063</v>
      </c>
    </row>
    <row r="48" ht="15.75" customHeight="1">
      <c r="A48" s="24">
        <v>46249.0</v>
      </c>
      <c r="B48" s="24" t="s">
        <v>72</v>
      </c>
      <c r="C48" s="30">
        <f t="shared" ref="C48:F48" si="47">RANDBETWEEN(1,10)</f>
        <v>8</v>
      </c>
      <c r="D48" s="30">
        <f t="shared" si="47"/>
        <v>10</v>
      </c>
      <c r="E48" s="30">
        <f t="shared" si="47"/>
        <v>6</v>
      </c>
      <c r="F48" s="30">
        <f t="shared" si="47"/>
        <v>5</v>
      </c>
      <c r="G48" s="63">
        <f>SUM('Втрати ЗСУ'!$C48:$F48)</f>
        <v>29</v>
      </c>
      <c r="H48" s="63">
        <f>H47+'Втрати ЗСУ'!$C48</f>
        <v>309</v>
      </c>
      <c r="I48" s="63">
        <f>I47+'Втрати ЗСУ'!$D48</f>
        <v>270</v>
      </c>
      <c r="J48" s="63">
        <f>J47+'Втрати ЗСУ'!$E48</f>
        <v>266</v>
      </c>
      <c r="K48" s="63">
        <f>K47+'Втрати ЗСУ'!$F48</f>
        <v>247</v>
      </c>
      <c r="L48" s="63">
        <f>SUM('Втрати ЗСУ'!$H48:$K48)</f>
        <v>1092</v>
      </c>
      <c r="M48" s="30">
        <f>M47+'Втрати ЗСУ'!$C48</f>
        <v>10309</v>
      </c>
      <c r="N48" s="30">
        <f>N47+'Втрати ЗСУ'!$D48</f>
        <v>11270</v>
      </c>
      <c r="O48" s="30">
        <f>O47+'Втрати ЗСУ'!$E48</f>
        <v>9266</v>
      </c>
      <c r="P48" s="30">
        <f>P47+'Втрати ЗСУ'!$F48</f>
        <v>8247</v>
      </c>
      <c r="Q48" s="63">
        <f>SUM('Втрати ЗСУ'!$M48:$P48)</f>
        <v>39092</v>
      </c>
    </row>
    <row r="49" ht="15.75" customHeight="1">
      <c r="A49" s="24">
        <v>46250.0</v>
      </c>
      <c r="B49" s="24" t="s">
        <v>72</v>
      </c>
      <c r="C49" s="30">
        <f t="shared" ref="C49:F49" si="48">RANDBETWEEN(1,10)</f>
        <v>10</v>
      </c>
      <c r="D49" s="30">
        <f t="shared" si="48"/>
        <v>10</v>
      </c>
      <c r="E49" s="30">
        <f t="shared" si="48"/>
        <v>1</v>
      </c>
      <c r="F49" s="30">
        <f t="shared" si="48"/>
        <v>5</v>
      </c>
      <c r="G49" s="63">
        <f>SUM('Втрати ЗСУ'!$C49:$F49)</f>
        <v>26</v>
      </c>
      <c r="H49" s="63">
        <f>H48+'Втрати ЗСУ'!$C49</f>
        <v>319</v>
      </c>
      <c r="I49" s="63">
        <f>I48+'Втрати ЗСУ'!$D49</f>
        <v>280</v>
      </c>
      <c r="J49" s="63">
        <f>J48+'Втрати ЗСУ'!$E49</f>
        <v>267</v>
      </c>
      <c r="K49" s="63">
        <f>K48+'Втрати ЗСУ'!$F49</f>
        <v>252</v>
      </c>
      <c r="L49" s="63">
        <f>SUM('Втрати ЗСУ'!$H49:$K49)</f>
        <v>1118</v>
      </c>
      <c r="M49" s="30">
        <f>M48+'Втрати ЗСУ'!$C49</f>
        <v>10319</v>
      </c>
      <c r="N49" s="30">
        <f>N48+'Втрати ЗСУ'!$D49</f>
        <v>11280</v>
      </c>
      <c r="O49" s="30">
        <f>O48+'Втрати ЗСУ'!$E49</f>
        <v>9267</v>
      </c>
      <c r="P49" s="30">
        <f>P48+'Втрати ЗСУ'!$F49</f>
        <v>8252</v>
      </c>
      <c r="Q49" s="63">
        <f>SUM('Втрати ЗСУ'!$M49:$P49)</f>
        <v>39118</v>
      </c>
    </row>
    <row r="50" ht="15.75" customHeight="1">
      <c r="A50" s="24">
        <v>46251.0</v>
      </c>
      <c r="B50" s="24" t="s">
        <v>72</v>
      </c>
      <c r="C50" s="30">
        <f t="shared" ref="C50:F50" si="49">RANDBETWEEN(1,10)</f>
        <v>3</v>
      </c>
      <c r="D50" s="30">
        <f t="shared" si="49"/>
        <v>7</v>
      </c>
      <c r="E50" s="30">
        <f t="shared" si="49"/>
        <v>1</v>
      </c>
      <c r="F50" s="30">
        <f t="shared" si="49"/>
        <v>5</v>
      </c>
      <c r="G50" s="63">
        <f>SUM('Втрати ЗСУ'!$C50:$F50)</f>
        <v>16</v>
      </c>
      <c r="H50" s="63">
        <f>H49+'Втрати ЗСУ'!$C50</f>
        <v>322</v>
      </c>
      <c r="I50" s="63">
        <f>I49+'Втрати ЗСУ'!$D50</f>
        <v>287</v>
      </c>
      <c r="J50" s="63">
        <f>J49+'Втрати ЗСУ'!$E50</f>
        <v>268</v>
      </c>
      <c r="K50" s="63">
        <f>K49+'Втрати ЗСУ'!$F50</f>
        <v>257</v>
      </c>
      <c r="L50" s="63">
        <f>SUM('Втрати ЗСУ'!$H50:$K50)</f>
        <v>1134</v>
      </c>
      <c r="M50" s="30">
        <f>M49+'Втрати ЗСУ'!$C50</f>
        <v>10322</v>
      </c>
      <c r="N50" s="30">
        <f>N49+'Втрати ЗСУ'!$D50</f>
        <v>11287</v>
      </c>
      <c r="O50" s="30">
        <f>O49+'Втрати ЗСУ'!$E50</f>
        <v>9268</v>
      </c>
      <c r="P50" s="30">
        <f>P49+'Втрати ЗСУ'!$F50</f>
        <v>8257</v>
      </c>
      <c r="Q50" s="63">
        <f>SUM('Втрати ЗСУ'!$M50:$P50)</f>
        <v>39134</v>
      </c>
    </row>
    <row r="51" ht="15.75" customHeight="1">
      <c r="A51" s="24">
        <v>46252.0</v>
      </c>
      <c r="B51" s="24" t="s">
        <v>72</v>
      </c>
      <c r="C51" s="30">
        <f t="shared" ref="C51:F51" si="50">RANDBETWEEN(1,10)</f>
        <v>6</v>
      </c>
      <c r="D51" s="30">
        <f t="shared" si="50"/>
        <v>7</v>
      </c>
      <c r="E51" s="30">
        <f t="shared" si="50"/>
        <v>6</v>
      </c>
      <c r="F51" s="30">
        <f t="shared" si="50"/>
        <v>9</v>
      </c>
      <c r="G51" s="63">
        <f>SUM('Втрати ЗСУ'!$C51:$F51)</f>
        <v>28</v>
      </c>
      <c r="H51" s="63">
        <f>H50+'Втрати ЗСУ'!$C51</f>
        <v>328</v>
      </c>
      <c r="I51" s="63">
        <f>I50+'Втрати ЗСУ'!$D51</f>
        <v>294</v>
      </c>
      <c r="J51" s="63">
        <f>J50+'Втрати ЗСУ'!$E51</f>
        <v>274</v>
      </c>
      <c r="K51" s="63">
        <f>K50+'Втрати ЗСУ'!$F51</f>
        <v>266</v>
      </c>
      <c r="L51" s="63">
        <f>SUM('Втрати ЗСУ'!$H51:$K51)</f>
        <v>1162</v>
      </c>
      <c r="M51" s="30">
        <f>M50+'Втрати ЗСУ'!$C51</f>
        <v>10328</v>
      </c>
      <c r="N51" s="30">
        <f>N50+'Втрати ЗСУ'!$D51</f>
        <v>11294</v>
      </c>
      <c r="O51" s="30">
        <f>O50+'Втрати ЗСУ'!$E51</f>
        <v>9274</v>
      </c>
      <c r="P51" s="30">
        <f>P50+'Втрати ЗСУ'!$F51</f>
        <v>8266</v>
      </c>
      <c r="Q51" s="63">
        <f>SUM('Втрати ЗСУ'!$M51:$P51)</f>
        <v>39162</v>
      </c>
    </row>
    <row r="52" ht="15.75" customHeight="1">
      <c r="A52" s="24">
        <v>46253.0</v>
      </c>
      <c r="B52" s="24" t="s">
        <v>72</v>
      </c>
      <c r="C52" s="30">
        <f t="shared" ref="C52:F52" si="51">RANDBETWEEN(1,10)</f>
        <v>2</v>
      </c>
      <c r="D52" s="30">
        <f t="shared" si="51"/>
        <v>6</v>
      </c>
      <c r="E52" s="30">
        <f t="shared" si="51"/>
        <v>5</v>
      </c>
      <c r="F52" s="30">
        <f t="shared" si="51"/>
        <v>2</v>
      </c>
      <c r="G52" s="63">
        <f>SUM('Втрати ЗСУ'!$C52:$F52)</f>
        <v>15</v>
      </c>
      <c r="H52" s="63">
        <f>H51+'Втрати ЗСУ'!$C52</f>
        <v>330</v>
      </c>
      <c r="I52" s="63">
        <f>I51+'Втрати ЗСУ'!$D52</f>
        <v>300</v>
      </c>
      <c r="J52" s="63">
        <f>J51+'Втрати ЗСУ'!$E52</f>
        <v>279</v>
      </c>
      <c r="K52" s="63">
        <f>K51+'Втрати ЗСУ'!$F52</f>
        <v>268</v>
      </c>
      <c r="L52" s="63">
        <f>SUM('Втрати ЗСУ'!$H52:$K52)</f>
        <v>1177</v>
      </c>
      <c r="M52" s="30">
        <f>M51+'Втрати ЗСУ'!$C52</f>
        <v>10330</v>
      </c>
      <c r="N52" s="30">
        <f>N51+'Втрати ЗСУ'!$D52</f>
        <v>11300</v>
      </c>
      <c r="O52" s="30">
        <f>O51+'Втрати ЗСУ'!$E52</f>
        <v>9279</v>
      </c>
      <c r="P52" s="30">
        <f>P51+'Втрати ЗСУ'!$F52</f>
        <v>8268</v>
      </c>
      <c r="Q52" s="63">
        <f>SUM('Втрати ЗСУ'!$M52:$P52)</f>
        <v>39177</v>
      </c>
    </row>
    <row r="53" ht="15.75" customHeight="1">
      <c r="A53" s="24">
        <v>46254.0</v>
      </c>
      <c r="B53" s="24" t="s">
        <v>72</v>
      </c>
      <c r="C53" s="30">
        <f t="shared" ref="C53:F53" si="52">RANDBETWEEN(1,10)</f>
        <v>4</v>
      </c>
      <c r="D53" s="30">
        <f t="shared" si="52"/>
        <v>1</v>
      </c>
      <c r="E53" s="30">
        <f t="shared" si="52"/>
        <v>3</v>
      </c>
      <c r="F53" s="30">
        <f t="shared" si="52"/>
        <v>8</v>
      </c>
      <c r="G53" s="63">
        <f>SUM('Втрати ЗСУ'!$C53:$F53)</f>
        <v>16</v>
      </c>
      <c r="H53" s="63">
        <f>H52+'Втрати ЗСУ'!$C53</f>
        <v>334</v>
      </c>
      <c r="I53" s="63">
        <f>I52+'Втрати ЗСУ'!$D53</f>
        <v>301</v>
      </c>
      <c r="J53" s="63">
        <f>J52+'Втрати ЗСУ'!$E53</f>
        <v>282</v>
      </c>
      <c r="K53" s="63">
        <f>K52+'Втрати ЗСУ'!$F53</f>
        <v>276</v>
      </c>
      <c r="L53" s="63">
        <f>SUM('Втрати ЗСУ'!$H53:$K53)</f>
        <v>1193</v>
      </c>
      <c r="M53" s="30">
        <f>M52+'Втрати ЗСУ'!$C53</f>
        <v>10334</v>
      </c>
      <c r="N53" s="30">
        <f>N52+'Втрати ЗСУ'!$D53</f>
        <v>11301</v>
      </c>
      <c r="O53" s="30">
        <f>O52+'Втрати ЗСУ'!$E53</f>
        <v>9282</v>
      </c>
      <c r="P53" s="30">
        <f>P52+'Втрати ЗСУ'!$F53</f>
        <v>8276</v>
      </c>
      <c r="Q53" s="63">
        <f>SUM('Втрати ЗСУ'!$M53:$P53)</f>
        <v>39193</v>
      </c>
    </row>
    <row r="54" ht="15.75" customHeight="1">
      <c r="A54" s="24">
        <v>46255.0</v>
      </c>
      <c r="B54" s="24" t="s">
        <v>72</v>
      </c>
      <c r="C54" s="30">
        <f t="shared" ref="C54:F54" si="53">RANDBETWEEN(1,10)</f>
        <v>7</v>
      </c>
      <c r="D54" s="30">
        <f t="shared" si="53"/>
        <v>10</v>
      </c>
      <c r="E54" s="30">
        <f t="shared" si="53"/>
        <v>9</v>
      </c>
      <c r="F54" s="30">
        <f t="shared" si="53"/>
        <v>7</v>
      </c>
      <c r="G54" s="63">
        <f>SUM('Втрати ЗСУ'!$C54:$F54)</f>
        <v>33</v>
      </c>
      <c r="H54" s="63">
        <f>H53+'Втрати ЗСУ'!$C54</f>
        <v>341</v>
      </c>
      <c r="I54" s="63">
        <f>I53+'Втрати ЗСУ'!$D54</f>
        <v>311</v>
      </c>
      <c r="J54" s="63">
        <f>J53+'Втрати ЗСУ'!$E54</f>
        <v>291</v>
      </c>
      <c r="K54" s="63">
        <f>K53+'Втрати ЗСУ'!$F54</f>
        <v>283</v>
      </c>
      <c r="L54" s="63">
        <f>SUM('Втрати ЗСУ'!$H54:$K54)</f>
        <v>1226</v>
      </c>
      <c r="M54" s="30">
        <f>M53+'Втрати ЗСУ'!$C54</f>
        <v>10341</v>
      </c>
      <c r="N54" s="30">
        <f>N53+'Втрати ЗСУ'!$D54</f>
        <v>11311</v>
      </c>
      <c r="O54" s="30">
        <f>O53+'Втрати ЗСУ'!$E54</f>
        <v>9291</v>
      </c>
      <c r="P54" s="30">
        <f>P53+'Втрати ЗСУ'!$F54</f>
        <v>8283</v>
      </c>
      <c r="Q54" s="63">
        <f>SUM('Втрати ЗСУ'!$M54:$P54)</f>
        <v>39226</v>
      </c>
    </row>
    <row r="55" ht="15.75" customHeight="1">
      <c r="A55" s="24">
        <v>46256.0</v>
      </c>
      <c r="B55" s="24" t="s">
        <v>72</v>
      </c>
      <c r="C55" s="30">
        <f t="shared" ref="C55:F55" si="54">RANDBETWEEN(1,10)</f>
        <v>9</v>
      </c>
      <c r="D55" s="30">
        <f t="shared" si="54"/>
        <v>4</v>
      </c>
      <c r="E55" s="30">
        <f t="shared" si="54"/>
        <v>7</v>
      </c>
      <c r="F55" s="30">
        <f t="shared" si="54"/>
        <v>5</v>
      </c>
      <c r="G55" s="63">
        <f>SUM('Втрати ЗСУ'!$C55:$F55)</f>
        <v>25</v>
      </c>
      <c r="H55" s="63">
        <f>H54+'Втрати ЗСУ'!$C55</f>
        <v>350</v>
      </c>
      <c r="I55" s="63">
        <f>I54+'Втрати ЗСУ'!$D55</f>
        <v>315</v>
      </c>
      <c r="J55" s="63">
        <f>J54+'Втрати ЗСУ'!$E55</f>
        <v>298</v>
      </c>
      <c r="K55" s="63">
        <f>K54+'Втрати ЗСУ'!$F55</f>
        <v>288</v>
      </c>
      <c r="L55" s="63">
        <f>SUM('Втрати ЗСУ'!$H55:$K55)</f>
        <v>1251</v>
      </c>
      <c r="M55" s="30">
        <f>M54+'Втрати ЗСУ'!$C55</f>
        <v>10350</v>
      </c>
      <c r="N55" s="30">
        <f>N54+'Втрати ЗСУ'!$D55</f>
        <v>11315</v>
      </c>
      <c r="O55" s="30">
        <f>O54+'Втрати ЗСУ'!$E55</f>
        <v>9298</v>
      </c>
      <c r="P55" s="30">
        <f>P54+'Втрати ЗСУ'!$F55</f>
        <v>8288</v>
      </c>
      <c r="Q55" s="63">
        <f>SUM('Втрати ЗСУ'!$M55:$P55)</f>
        <v>39251</v>
      </c>
    </row>
    <row r="56" ht="15.75" customHeight="1">
      <c r="A56" s="24">
        <v>46257.0</v>
      </c>
      <c r="B56" s="24" t="s">
        <v>72</v>
      </c>
      <c r="C56" s="30">
        <f t="shared" ref="C56:F56" si="55">RANDBETWEEN(1,10)</f>
        <v>3</v>
      </c>
      <c r="D56" s="30">
        <f t="shared" si="55"/>
        <v>10</v>
      </c>
      <c r="E56" s="30">
        <f t="shared" si="55"/>
        <v>3</v>
      </c>
      <c r="F56" s="30">
        <f t="shared" si="55"/>
        <v>4</v>
      </c>
      <c r="G56" s="63">
        <f>SUM('Втрати ЗСУ'!$C56:$F56)</f>
        <v>20</v>
      </c>
      <c r="H56" s="63">
        <f>H55+'Втрати ЗСУ'!$C56</f>
        <v>353</v>
      </c>
      <c r="I56" s="63">
        <f>I55+'Втрати ЗСУ'!$D56</f>
        <v>325</v>
      </c>
      <c r="J56" s="63">
        <f>J55+'Втрати ЗСУ'!$E56</f>
        <v>301</v>
      </c>
      <c r="K56" s="63">
        <f>K55+'Втрати ЗСУ'!$F56</f>
        <v>292</v>
      </c>
      <c r="L56" s="63">
        <f>SUM('Втрати ЗСУ'!$H56:$K56)</f>
        <v>1271</v>
      </c>
      <c r="M56" s="30">
        <f>M55+'Втрати ЗСУ'!$C56</f>
        <v>10353</v>
      </c>
      <c r="N56" s="30">
        <f>N55+'Втрати ЗСУ'!$D56</f>
        <v>11325</v>
      </c>
      <c r="O56" s="30">
        <f>O55+'Втрати ЗСУ'!$E56</f>
        <v>9301</v>
      </c>
      <c r="P56" s="30">
        <f>P55+'Втрати ЗСУ'!$F56</f>
        <v>8292</v>
      </c>
      <c r="Q56" s="63">
        <f>SUM('Втрати ЗСУ'!$M56:$P56)</f>
        <v>39271</v>
      </c>
    </row>
    <row r="57" ht="15.75" customHeight="1">
      <c r="A57" s="24">
        <v>46258.0</v>
      </c>
      <c r="B57" s="24" t="s">
        <v>72</v>
      </c>
      <c r="C57" s="30">
        <f t="shared" ref="C57:F57" si="56">RANDBETWEEN(1,10)</f>
        <v>5</v>
      </c>
      <c r="D57" s="30">
        <f t="shared" si="56"/>
        <v>1</v>
      </c>
      <c r="E57" s="30">
        <f t="shared" si="56"/>
        <v>4</v>
      </c>
      <c r="F57" s="30">
        <f t="shared" si="56"/>
        <v>10</v>
      </c>
      <c r="G57" s="63">
        <f>SUM('Втрати ЗСУ'!$C57:$F57)</f>
        <v>20</v>
      </c>
      <c r="H57" s="63">
        <f>H56+'Втрати ЗСУ'!$C57</f>
        <v>358</v>
      </c>
      <c r="I57" s="63">
        <f>I56+'Втрати ЗСУ'!$D57</f>
        <v>326</v>
      </c>
      <c r="J57" s="63">
        <f>J56+'Втрати ЗСУ'!$E57</f>
        <v>305</v>
      </c>
      <c r="K57" s="63">
        <f>K56+'Втрати ЗСУ'!$F57</f>
        <v>302</v>
      </c>
      <c r="L57" s="63">
        <f>SUM('Втрати ЗСУ'!$H57:$K57)</f>
        <v>1291</v>
      </c>
      <c r="M57" s="30">
        <f>M56+'Втрати ЗСУ'!$C57</f>
        <v>10358</v>
      </c>
      <c r="N57" s="30">
        <f>N56+'Втрати ЗСУ'!$D57</f>
        <v>11326</v>
      </c>
      <c r="O57" s="30">
        <f>O56+'Втрати ЗСУ'!$E57</f>
        <v>9305</v>
      </c>
      <c r="P57" s="30">
        <f>P56+'Втрати ЗСУ'!$F57</f>
        <v>8302</v>
      </c>
      <c r="Q57" s="63">
        <f>SUM('Втрати ЗСУ'!$M57:$P57)</f>
        <v>39291</v>
      </c>
    </row>
    <row r="58" ht="15.75" customHeight="1">
      <c r="A58" s="24">
        <v>46259.0</v>
      </c>
      <c r="B58" s="24" t="s">
        <v>72</v>
      </c>
      <c r="C58" s="30">
        <f t="shared" ref="C58:F58" si="57">RANDBETWEEN(1,10)</f>
        <v>8</v>
      </c>
      <c r="D58" s="30">
        <f t="shared" si="57"/>
        <v>2</v>
      </c>
      <c r="E58" s="30">
        <f t="shared" si="57"/>
        <v>4</v>
      </c>
      <c r="F58" s="30">
        <f t="shared" si="57"/>
        <v>2</v>
      </c>
      <c r="G58" s="63">
        <f>SUM('Втрати ЗСУ'!$C58:$F58)</f>
        <v>16</v>
      </c>
      <c r="H58" s="63">
        <f>H57+'Втрати ЗСУ'!$C58</f>
        <v>366</v>
      </c>
      <c r="I58" s="63">
        <f>I57+'Втрати ЗСУ'!$D58</f>
        <v>328</v>
      </c>
      <c r="J58" s="63">
        <f>J57+'Втрати ЗСУ'!$E58</f>
        <v>309</v>
      </c>
      <c r="K58" s="63">
        <f>K57+'Втрати ЗСУ'!$F58</f>
        <v>304</v>
      </c>
      <c r="L58" s="63">
        <f>SUM('Втрати ЗСУ'!$H58:$K58)</f>
        <v>1307</v>
      </c>
      <c r="M58" s="30">
        <f>M57+'Втрати ЗСУ'!$C58</f>
        <v>10366</v>
      </c>
      <c r="N58" s="30">
        <f>N57+'Втрати ЗСУ'!$D58</f>
        <v>11328</v>
      </c>
      <c r="O58" s="30">
        <f>O57+'Втрати ЗСУ'!$E58</f>
        <v>9309</v>
      </c>
      <c r="P58" s="30">
        <f>P57+'Втрати ЗСУ'!$F58</f>
        <v>8304</v>
      </c>
      <c r="Q58" s="63">
        <f>SUM('Втрати ЗСУ'!$M58:$P58)</f>
        <v>39307</v>
      </c>
    </row>
    <row r="59" ht="15.75" customHeight="1">
      <c r="A59" s="24">
        <v>46260.0</v>
      </c>
      <c r="B59" s="24" t="s">
        <v>72</v>
      </c>
      <c r="C59" s="30">
        <f t="shared" ref="C59:F59" si="58">RANDBETWEEN(1,10)</f>
        <v>7</v>
      </c>
      <c r="D59" s="30">
        <f t="shared" si="58"/>
        <v>2</v>
      </c>
      <c r="E59" s="30">
        <f t="shared" si="58"/>
        <v>4</v>
      </c>
      <c r="F59" s="30">
        <f t="shared" si="58"/>
        <v>1</v>
      </c>
      <c r="G59" s="63">
        <f>SUM('Втрати ЗСУ'!$C59:$F59)</f>
        <v>14</v>
      </c>
      <c r="H59" s="63">
        <f>H58+'Втрати ЗСУ'!$C59</f>
        <v>373</v>
      </c>
      <c r="I59" s="63">
        <f>I58+'Втрати ЗСУ'!$D59</f>
        <v>330</v>
      </c>
      <c r="J59" s="63">
        <f>J58+'Втрати ЗСУ'!$E59</f>
        <v>313</v>
      </c>
      <c r="K59" s="63">
        <f>K58+'Втрати ЗСУ'!$F59</f>
        <v>305</v>
      </c>
      <c r="L59" s="63">
        <f>SUM('Втрати ЗСУ'!$H59:$K59)</f>
        <v>1321</v>
      </c>
      <c r="M59" s="30">
        <f>M58+'Втрати ЗСУ'!$C59</f>
        <v>10373</v>
      </c>
      <c r="N59" s="30">
        <f>N58+'Втрати ЗСУ'!$D59</f>
        <v>11330</v>
      </c>
      <c r="O59" s="30">
        <f>O58+'Втрати ЗСУ'!$E59</f>
        <v>9313</v>
      </c>
      <c r="P59" s="30">
        <f>P58+'Втрати ЗСУ'!$F59</f>
        <v>8305</v>
      </c>
      <c r="Q59" s="63">
        <f>SUM('Втрати ЗСУ'!$M59:$P59)</f>
        <v>39321</v>
      </c>
    </row>
    <row r="60" ht="15.75" customHeight="1">
      <c r="A60" s="24">
        <v>46261.0</v>
      </c>
      <c r="B60" s="24" t="s">
        <v>72</v>
      </c>
      <c r="C60" s="30">
        <f t="shared" ref="C60:F60" si="59">RANDBETWEEN(1,10)</f>
        <v>10</v>
      </c>
      <c r="D60" s="30">
        <f t="shared" si="59"/>
        <v>4</v>
      </c>
      <c r="E60" s="30">
        <f t="shared" si="59"/>
        <v>10</v>
      </c>
      <c r="F60" s="30">
        <f t="shared" si="59"/>
        <v>10</v>
      </c>
      <c r="G60" s="63">
        <f>SUM('Втрати ЗСУ'!$C60:$F60)</f>
        <v>34</v>
      </c>
      <c r="H60" s="63">
        <f>H59+'Втрати ЗСУ'!$C60</f>
        <v>383</v>
      </c>
      <c r="I60" s="63">
        <f>I59+'Втрати ЗСУ'!$D60</f>
        <v>334</v>
      </c>
      <c r="J60" s="63">
        <f>J59+'Втрати ЗСУ'!$E60</f>
        <v>323</v>
      </c>
      <c r="K60" s="63">
        <f>K59+'Втрати ЗСУ'!$F60</f>
        <v>315</v>
      </c>
      <c r="L60" s="63">
        <f>SUM('Втрати ЗСУ'!$H60:$K60)</f>
        <v>1355</v>
      </c>
      <c r="M60" s="30">
        <f>M59+'Втрати ЗСУ'!$C60</f>
        <v>10383</v>
      </c>
      <c r="N60" s="30">
        <f>N59+'Втрати ЗСУ'!$D60</f>
        <v>11334</v>
      </c>
      <c r="O60" s="30">
        <f>O59+'Втрати ЗСУ'!$E60</f>
        <v>9323</v>
      </c>
      <c r="P60" s="30">
        <f>P59+'Втрати ЗСУ'!$F60</f>
        <v>8315</v>
      </c>
      <c r="Q60" s="63">
        <f>SUM('Втрати ЗСУ'!$M60:$P60)</f>
        <v>39355</v>
      </c>
    </row>
    <row r="61" ht="15.75" customHeight="1">
      <c r="A61" s="24">
        <v>46262.0</v>
      </c>
      <c r="B61" s="24" t="s">
        <v>72</v>
      </c>
      <c r="C61" s="30">
        <f t="shared" ref="C61:F61" si="60">RANDBETWEEN(1,10)</f>
        <v>5</v>
      </c>
      <c r="D61" s="30">
        <f t="shared" si="60"/>
        <v>9</v>
      </c>
      <c r="E61" s="30">
        <f t="shared" si="60"/>
        <v>4</v>
      </c>
      <c r="F61" s="30">
        <f t="shared" si="60"/>
        <v>10</v>
      </c>
      <c r="G61" s="63">
        <f>SUM('Втрати ЗСУ'!$C61:$F61)</f>
        <v>28</v>
      </c>
      <c r="H61" s="63">
        <f>H60+'Втрати ЗСУ'!$C61</f>
        <v>388</v>
      </c>
      <c r="I61" s="63">
        <f>I60+'Втрати ЗСУ'!$D61</f>
        <v>343</v>
      </c>
      <c r="J61" s="63">
        <f>J60+'Втрати ЗСУ'!$E61</f>
        <v>327</v>
      </c>
      <c r="K61" s="63">
        <f>K60+'Втрати ЗСУ'!$F61</f>
        <v>325</v>
      </c>
      <c r="L61" s="63">
        <f>SUM('Втрати ЗСУ'!$H61:$K61)</f>
        <v>1383</v>
      </c>
      <c r="M61" s="30">
        <f>M60+'Втрати ЗСУ'!$C61</f>
        <v>10388</v>
      </c>
      <c r="N61" s="30">
        <f>N60+'Втрати ЗСУ'!$D61</f>
        <v>11343</v>
      </c>
      <c r="O61" s="30">
        <f>O60+'Втрати ЗСУ'!$E61</f>
        <v>9327</v>
      </c>
      <c r="P61" s="30">
        <f>P60+'Втрати ЗСУ'!$F61</f>
        <v>8325</v>
      </c>
      <c r="Q61" s="63">
        <f>SUM('Втрати ЗСУ'!$M61:$P61)</f>
        <v>39383</v>
      </c>
    </row>
    <row r="62" ht="15.75" customHeight="1">
      <c r="A62" s="24">
        <v>46263.0</v>
      </c>
      <c r="B62" s="24" t="s">
        <v>72</v>
      </c>
      <c r="C62" s="30">
        <f t="shared" ref="C62:F62" si="61">RANDBETWEEN(1,10)</f>
        <v>10</v>
      </c>
      <c r="D62" s="30">
        <f t="shared" si="61"/>
        <v>9</v>
      </c>
      <c r="E62" s="30">
        <f t="shared" si="61"/>
        <v>5</v>
      </c>
      <c r="F62" s="30">
        <f t="shared" si="61"/>
        <v>3</v>
      </c>
      <c r="G62" s="63">
        <f>SUM('Втрати ЗСУ'!$C62:$F62)</f>
        <v>27</v>
      </c>
      <c r="H62" s="63">
        <f>H61+'Втрати ЗСУ'!$C62</f>
        <v>398</v>
      </c>
      <c r="I62" s="63">
        <f>I61+'Втрати ЗСУ'!$D62</f>
        <v>352</v>
      </c>
      <c r="J62" s="63">
        <f>J61+'Втрати ЗСУ'!$E62</f>
        <v>332</v>
      </c>
      <c r="K62" s="63">
        <f>K61+'Втрати ЗСУ'!$F62</f>
        <v>328</v>
      </c>
      <c r="L62" s="63">
        <f>SUM('Втрати ЗСУ'!$H62:$K62)</f>
        <v>1410</v>
      </c>
      <c r="M62" s="30">
        <f>M61+'Втрати ЗСУ'!$C62</f>
        <v>10398</v>
      </c>
      <c r="N62" s="30">
        <f>N61+'Втрати ЗСУ'!$D62</f>
        <v>11352</v>
      </c>
      <c r="O62" s="30">
        <f>O61+'Втрати ЗСУ'!$E62</f>
        <v>9332</v>
      </c>
      <c r="P62" s="30">
        <f>P61+'Втрати ЗСУ'!$F62</f>
        <v>8328</v>
      </c>
      <c r="Q62" s="63">
        <f>SUM('Втрати ЗСУ'!$M62:$P62)</f>
        <v>39410</v>
      </c>
    </row>
    <row r="63" ht="15.75" customHeight="1">
      <c r="A63" s="24">
        <v>46264.0</v>
      </c>
      <c r="B63" s="24" t="s">
        <v>72</v>
      </c>
      <c r="C63" s="30">
        <f t="shared" ref="C63:F63" si="62">RANDBETWEEN(1,10)</f>
        <v>6</v>
      </c>
      <c r="D63" s="30">
        <f t="shared" si="62"/>
        <v>3</v>
      </c>
      <c r="E63" s="30">
        <f t="shared" si="62"/>
        <v>9</v>
      </c>
      <c r="F63" s="30">
        <f t="shared" si="62"/>
        <v>3</v>
      </c>
      <c r="G63" s="63">
        <f>SUM('Втрати ЗСУ'!$C63:$F63)</f>
        <v>21</v>
      </c>
      <c r="H63" s="63">
        <f>H62+'Втрати ЗСУ'!$C63</f>
        <v>404</v>
      </c>
      <c r="I63" s="63">
        <f>I62+'Втрати ЗСУ'!$D63</f>
        <v>355</v>
      </c>
      <c r="J63" s="63">
        <f>J62+'Втрати ЗСУ'!$E63</f>
        <v>341</v>
      </c>
      <c r="K63" s="63">
        <f>K62+'Втрати ЗСУ'!$F63</f>
        <v>331</v>
      </c>
      <c r="L63" s="63">
        <f>SUM('Втрати ЗСУ'!$H63:$K63)</f>
        <v>1431</v>
      </c>
      <c r="M63" s="30">
        <f>M62+'Втрати ЗСУ'!$C63</f>
        <v>10404</v>
      </c>
      <c r="N63" s="30">
        <f>N62+'Втрати ЗСУ'!$D63</f>
        <v>11355</v>
      </c>
      <c r="O63" s="30">
        <f>O62+'Втрати ЗСУ'!$E63</f>
        <v>9341</v>
      </c>
      <c r="P63" s="30">
        <f>P62+'Втрати ЗСУ'!$F63</f>
        <v>8331</v>
      </c>
      <c r="Q63" s="63">
        <f>SUM('Втрати ЗСУ'!$M63:$P63)</f>
        <v>39431</v>
      </c>
    </row>
    <row r="64" ht="15.75" customHeight="1">
      <c r="A64" s="24">
        <v>46265.0</v>
      </c>
      <c r="B64" s="24" t="s">
        <v>72</v>
      </c>
      <c r="C64" s="30">
        <f t="shared" ref="C64:F64" si="63">RANDBETWEEN(1,10)</f>
        <v>3</v>
      </c>
      <c r="D64" s="30">
        <f t="shared" si="63"/>
        <v>10</v>
      </c>
      <c r="E64" s="30">
        <f t="shared" si="63"/>
        <v>3</v>
      </c>
      <c r="F64" s="30">
        <f t="shared" si="63"/>
        <v>7</v>
      </c>
      <c r="G64" s="63">
        <f>SUM('Втрати ЗСУ'!$C64:$F64)</f>
        <v>23</v>
      </c>
      <c r="H64" s="63">
        <f>H63+'Втрати ЗСУ'!$C64</f>
        <v>407</v>
      </c>
      <c r="I64" s="63">
        <f>I63+'Втрати ЗСУ'!$D64</f>
        <v>365</v>
      </c>
      <c r="J64" s="63">
        <f>J63+'Втрати ЗСУ'!$E64</f>
        <v>344</v>
      </c>
      <c r="K64" s="63">
        <f>K63+'Втрати ЗСУ'!$F64</f>
        <v>338</v>
      </c>
      <c r="L64" s="63">
        <f>SUM('Втрати ЗСУ'!$H64:$K64)</f>
        <v>1454</v>
      </c>
      <c r="M64" s="30">
        <f>M63+'Втрати ЗСУ'!$C64</f>
        <v>10407</v>
      </c>
      <c r="N64" s="30">
        <f>N63+'Втрати ЗСУ'!$D64</f>
        <v>11365</v>
      </c>
      <c r="O64" s="30">
        <f>O63+'Втрати ЗСУ'!$E64</f>
        <v>9344</v>
      </c>
      <c r="P64" s="30">
        <f>P63+'Втрати ЗСУ'!$F64</f>
        <v>8338</v>
      </c>
      <c r="Q64" s="63">
        <f>SUM('Втрати ЗСУ'!$M64:$P64)</f>
        <v>39454</v>
      </c>
    </row>
    <row r="65" ht="15.75" customHeight="1">
      <c r="A65" s="24">
        <v>46266.0</v>
      </c>
      <c r="B65" s="24" t="s">
        <v>72</v>
      </c>
      <c r="C65" s="30">
        <f t="shared" ref="C65:F65" si="64">RANDBETWEEN(1,10)</f>
        <v>8</v>
      </c>
      <c r="D65" s="30">
        <f t="shared" si="64"/>
        <v>5</v>
      </c>
      <c r="E65" s="30">
        <f t="shared" si="64"/>
        <v>6</v>
      </c>
      <c r="F65" s="30">
        <f t="shared" si="64"/>
        <v>5</v>
      </c>
      <c r="G65" s="63">
        <f>SUM('Втрати ЗСУ'!$C65:$F65)</f>
        <v>24</v>
      </c>
      <c r="H65" s="63">
        <f>H64+'Втрати ЗСУ'!$C65</f>
        <v>415</v>
      </c>
      <c r="I65" s="63">
        <f>I64+'Втрати ЗСУ'!$D65</f>
        <v>370</v>
      </c>
      <c r="J65" s="63">
        <f>J64+'Втрати ЗСУ'!$E65</f>
        <v>350</v>
      </c>
      <c r="K65" s="63">
        <f>K64+'Втрати ЗСУ'!$F65</f>
        <v>343</v>
      </c>
      <c r="L65" s="63">
        <f>SUM('Втрати ЗСУ'!$H65:$K65)</f>
        <v>1478</v>
      </c>
      <c r="M65" s="30">
        <f>M64+'Втрати ЗСУ'!$C65</f>
        <v>10415</v>
      </c>
      <c r="N65" s="30">
        <f>N64+'Втрати ЗСУ'!$D65</f>
        <v>11370</v>
      </c>
      <c r="O65" s="30">
        <f>O64+'Втрати ЗСУ'!$E65</f>
        <v>9350</v>
      </c>
      <c r="P65" s="30">
        <f>P64+'Втрати ЗСУ'!$F65</f>
        <v>8343</v>
      </c>
      <c r="Q65" s="63">
        <f>SUM('Втрати ЗСУ'!$M65:$P65)</f>
        <v>39478</v>
      </c>
    </row>
    <row r="66" ht="15.75" customHeight="1">
      <c r="A66" s="24">
        <v>46267.0</v>
      </c>
      <c r="B66" s="24" t="s">
        <v>72</v>
      </c>
      <c r="C66" s="30">
        <f t="shared" ref="C66:F66" si="65">RANDBETWEEN(1,10)</f>
        <v>9</v>
      </c>
      <c r="D66" s="30">
        <f t="shared" si="65"/>
        <v>6</v>
      </c>
      <c r="E66" s="30">
        <f t="shared" si="65"/>
        <v>4</v>
      </c>
      <c r="F66" s="30">
        <f t="shared" si="65"/>
        <v>5</v>
      </c>
      <c r="G66" s="63">
        <f>SUM('Втрати ЗСУ'!$C66:$F66)</f>
        <v>24</v>
      </c>
      <c r="H66" s="63">
        <f>H65+'Втрати ЗСУ'!$C66</f>
        <v>424</v>
      </c>
      <c r="I66" s="63">
        <f>I65+'Втрати ЗСУ'!$D66</f>
        <v>376</v>
      </c>
      <c r="J66" s="63">
        <f>J65+'Втрати ЗСУ'!$E66</f>
        <v>354</v>
      </c>
      <c r="K66" s="63">
        <f>K65+'Втрати ЗСУ'!$F66</f>
        <v>348</v>
      </c>
      <c r="L66" s="63">
        <f>SUM('Втрати ЗСУ'!$H66:$K66)</f>
        <v>1502</v>
      </c>
      <c r="M66" s="30">
        <f>M65+'Втрати ЗСУ'!$C66</f>
        <v>10424</v>
      </c>
      <c r="N66" s="30">
        <f>N65+'Втрати ЗСУ'!$D66</f>
        <v>11376</v>
      </c>
      <c r="O66" s="30">
        <f>O65+'Втрати ЗСУ'!$E66</f>
        <v>9354</v>
      </c>
      <c r="P66" s="30">
        <f>P65+'Втрати ЗСУ'!$F66</f>
        <v>8348</v>
      </c>
      <c r="Q66" s="63">
        <f>SUM('Втрати ЗСУ'!$M66:$P66)</f>
        <v>39502</v>
      </c>
    </row>
    <row r="67" ht="15.75" customHeight="1">
      <c r="A67" s="24">
        <v>46268.0</v>
      </c>
      <c r="B67" s="24" t="s">
        <v>72</v>
      </c>
      <c r="C67" s="30">
        <f t="shared" ref="C67:F67" si="66">RANDBETWEEN(1,10)</f>
        <v>1</v>
      </c>
      <c r="D67" s="30">
        <f t="shared" si="66"/>
        <v>10</v>
      </c>
      <c r="E67" s="30">
        <f t="shared" si="66"/>
        <v>10</v>
      </c>
      <c r="F67" s="30">
        <f t="shared" si="66"/>
        <v>3</v>
      </c>
      <c r="G67" s="63">
        <f>SUM('Втрати ЗСУ'!$C67:$F67)</f>
        <v>24</v>
      </c>
      <c r="H67" s="63">
        <f>H66+'Втрати ЗСУ'!$C67</f>
        <v>425</v>
      </c>
      <c r="I67" s="63">
        <f>I66+'Втрати ЗСУ'!$D67</f>
        <v>386</v>
      </c>
      <c r="J67" s="63">
        <f>J66+'Втрати ЗСУ'!$E67</f>
        <v>364</v>
      </c>
      <c r="K67" s="63">
        <f>K66+'Втрати ЗСУ'!$F67</f>
        <v>351</v>
      </c>
      <c r="L67" s="63">
        <f>SUM('Втрати ЗСУ'!$H67:$K67)</f>
        <v>1526</v>
      </c>
      <c r="M67" s="30">
        <f>M66+'Втрати ЗСУ'!$C67</f>
        <v>10425</v>
      </c>
      <c r="N67" s="30">
        <f>N66+'Втрати ЗСУ'!$D67</f>
        <v>11386</v>
      </c>
      <c r="O67" s="30">
        <f>O66+'Втрати ЗСУ'!$E67</f>
        <v>9364</v>
      </c>
      <c r="P67" s="30">
        <f>P66+'Втрати ЗСУ'!$F67</f>
        <v>8351</v>
      </c>
      <c r="Q67" s="63">
        <f>SUM('Втрати ЗСУ'!$M67:$P67)</f>
        <v>39526</v>
      </c>
    </row>
    <row r="68" ht="15.75" customHeight="1">
      <c r="A68" s="24">
        <v>46269.0</v>
      </c>
      <c r="B68" s="24" t="s">
        <v>72</v>
      </c>
      <c r="C68" s="30">
        <f t="shared" ref="C68:F68" si="67">RANDBETWEEN(1,10)</f>
        <v>8</v>
      </c>
      <c r="D68" s="30">
        <f t="shared" si="67"/>
        <v>6</v>
      </c>
      <c r="E68" s="30">
        <f t="shared" si="67"/>
        <v>7</v>
      </c>
      <c r="F68" s="30">
        <f t="shared" si="67"/>
        <v>4</v>
      </c>
      <c r="G68" s="63">
        <f>SUM('Втрати ЗСУ'!$C68:$F68)</f>
        <v>25</v>
      </c>
      <c r="H68" s="63">
        <f>H67+'Втрати ЗСУ'!$C68</f>
        <v>433</v>
      </c>
      <c r="I68" s="63">
        <f>I67+'Втрати ЗСУ'!$D68</f>
        <v>392</v>
      </c>
      <c r="J68" s="63">
        <f>J67+'Втрати ЗСУ'!$E68</f>
        <v>371</v>
      </c>
      <c r="K68" s="63">
        <f>K67+'Втрати ЗСУ'!$F68</f>
        <v>355</v>
      </c>
      <c r="L68" s="63">
        <f>SUM('Втрати ЗСУ'!$H68:$K68)</f>
        <v>1551</v>
      </c>
      <c r="M68" s="30">
        <f>M67+'Втрати ЗСУ'!$C68</f>
        <v>10433</v>
      </c>
      <c r="N68" s="30">
        <f>N67+'Втрати ЗСУ'!$D68</f>
        <v>11392</v>
      </c>
      <c r="O68" s="30">
        <f>O67+'Втрати ЗСУ'!$E68</f>
        <v>9371</v>
      </c>
      <c r="P68" s="30">
        <f>P67+'Втрати ЗСУ'!$F68</f>
        <v>8355</v>
      </c>
      <c r="Q68" s="63">
        <f>SUM('Втрати ЗСУ'!$M68:$P68)</f>
        <v>39551</v>
      </c>
    </row>
    <row r="69" ht="15.75" customHeight="1">
      <c r="A69" s="24">
        <v>46270.0</v>
      </c>
      <c r="B69" s="24" t="s">
        <v>72</v>
      </c>
      <c r="C69" s="30">
        <f t="shared" ref="C69:F69" si="68">RANDBETWEEN(1,10)</f>
        <v>5</v>
      </c>
      <c r="D69" s="30">
        <f t="shared" si="68"/>
        <v>7</v>
      </c>
      <c r="E69" s="30">
        <f t="shared" si="68"/>
        <v>1</v>
      </c>
      <c r="F69" s="30">
        <f t="shared" si="68"/>
        <v>9</v>
      </c>
      <c r="G69" s="63">
        <f>SUM('Втрати ЗСУ'!$C69:$F69)</f>
        <v>22</v>
      </c>
      <c r="H69" s="63">
        <f>H68+'Втрати ЗСУ'!$C69</f>
        <v>438</v>
      </c>
      <c r="I69" s="63">
        <f>I68+'Втрати ЗСУ'!$D69</f>
        <v>399</v>
      </c>
      <c r="J69" s="63">
        <f>J68+'Втрати ЗСУ'!$E69</f>
        <v>372</v>
      </c>
      <c r="K69" s="63">
        <f>K68+'Втрати ЗСУ'!$F69</f>
        <v>364</v>
      </c>
      <c r="L69" s="63">
        <f>SUM('Втрати ЗСУ'!$H69:$K69)</f>
        <v>1573</v>
      </c>
      <c r="M69" s="30">
        <f>M68+'Втрати ЗСУ'!$C69</f>
        <v>10438</v>
      </c>
      <c r="N69" s="30">
        <f>N68+'Втрати ЗСУ'!$D69</f>
        <v>11399</v>
      </c>
      <c r="O69" s="30">
        <f>O68+'Втрати ЗСУ'!$E69</f>
        <v>9372</v>
      </c>
      <c r="P69" s="30">
        <f>P68+'Втрати ЗСУ'!$F69</f>
        <v>8364</v>
      </c>
      <c r="Q69" s="63">
        <f>SUM('Втрати ЗСУ'!$M69:$P69)</f>
        <v>39573</v>
      </c>
    </row>
    <row r="70" ht="15.75" customHeight="1">
      <c r="A70" s="24">
        <v>46271.0</v>
      </c>
      <c r="B70" s="24" t="s">
        <v>72</v>
      </c>
      <c r="C70" s="30">
        <f t="shared" ref="C70:F70" si="69">RANDBETWEEN(1,10)</f>
        <v>5</v>
      </c>
      <c r="D70" s="30">
        <f t="shared" si="69"/>
        <v>9</v>
      </c>
      <c r="E70" s="30">
        <f t="shared" si="69"/>
        <v>1</v>
      </c>
      <c r="F70" s="30">
        <f t="shared" si="69"/>
        <v>7</v>
      </c>
      <c r="G70" s="63">
        <f>SUM('Втрати ЗСУ'!$C70:$F70)</f>
        <v>22</v>
      </c>
      <c r="H70" s="63">
        <f>H69+'Втрати ЗСУ'!$C70</f>
        <v>443</v>
      </c>
      <c r="I70" s="63">
        <f>I69+'Втрати ЗСУ'!$D70</f>
        <v>408</v>
      </c>
      <c r="J70" s="63">
        <f>J69+'Втрати ЗСУ'!$E70</f>
        <v>373</v>
      </c>
      <c r="K70" s="63">
        <f>K69+'Втрати ЗСУ'!$F70</f>
        <v>371</v>
      </c>
      <c r="L70" s="63">
        <f>SUM('Втрати ЗСУ'!$H70:$K70)</f>
        <v>1595</v>
      </c>
      <c r="M70" s="30">
        <f>M69+'Втрати ЗСУ'!$C70</f>
        <v>10443</v>
      </c>
      <c r="N70" s="30">
        <f>N69+'Втрати ЗСУ'!$D70</f>
        <v>11408</v>
      </c>
      <c r="O70" s="30">
        <f>O69+'Втрати ЗСУ'!$E70</f>
        <v>9373</v>
      </c>
      <c r="P70" s="30">
        <f>P69+'Втрати ЗСУ'!$F70</f>
        <v>8371</v>
      </c>
      <c r="Q70" s="63">
        <f>SUM('Втрати ЗСУ'!$M70:$P70)</f>
        <v>39595</v>
      </c>
    </row>
    <row r="71" ht="15.75" customHeight="1">
      <c r="A71" s="24">
        <v>46272.0</v>
      </c>
      <c r="B71" s="24" t="s">
        <v>72</v>
      </c>
      <c r="C71" s="30">
        <f t="shared" ref="C71:F71" si="70">RANDBETWEEN(1,10)</f>
        <v>8</v>
      </c>
      <c r="D71" s="30">
        <f t="shared" si="70"/>
        <v>7</v>
      </c>
      <c r="E71" s="30">
        <f t="shared" si="70"/>
        <v>1</v>
      </c>
      <c r="F71" s="30">
        <f t="shared" si="70"/>
        <v>10</v>
      </c>
      <c r="G71" s="63">
        <f>SUM('Втрати ЗСУ'!$C71:$F71)</f>
        <v>26</v>
      </c>
      <c r="H71" s="63">
        <f>H70+'Втрати ЗСУ'!$C71</f>
        <v>451</v>
      </c>
      <c r="I71" s="63">
        <f>I70+'Втрати ЗСУ'!$D71</f>
        <v>415</v>
      </c>
      <c r="J71" s="63">
        <f>J70+'Втрати ЗСУ'!$E71</f>
        <v>374</v>
      </c>
      <c r="K71" s="63">
        <f>K70+'Втрати ЗСУ'!$F71</f>
        <v>381</v>
      </c>
      <c r="L71" s="63">
        <f>SUM('Втрати ЗСУ'!$H71:$K71)</f>
        <v>1621</v>
      </c>
      <c r="M71" s="30">
        <f>M70+'Втрати ЗСУ'!$C71</f>
        <v>10451</v>
      </c>
      <c r="N71" s="30">
        <f>N70+'Втрати ЗСУ'!$D71</f>
        <v>11415</v>
      </c>
      <c r="O71" s="30">
        <f>O70+'Втрати ЗСУ'!$E71</f>
        <v>9374</v>
      </c>
      <c r="P71" s="30">
        <f>P70+'Втрати ЗСУ'!$F71</f>
        <v>8381</v>
      </c>
      <c r="Q71" s="63">
        <f>SUM('Втрати ЗСУ'!$M71:$P71)</f>
        <v>39621</v>
      </c>
    </row>
    <row r="72" ht="15.75" customHeight="1">
      <c r="A72" s="24">
        <v>46273.0</v>
      </c>
      <c r="B72" s="24" t="s">
        <v>72</v>
      </c>
      <c r="C72" s="30">
        <f t="shared" ref="C72:F72" si="71">RANDBETWEEN(1,10)</f>
        <v>10</v>
      </c>
      <c r="D72" s="30">
        <f t="shared" si="71"/>
        <v>9</v>
      </c>
      <c r="E72" s="30">
        <f t="shared" si="71"/>
        <v>1</v>
      </c>
      <c r="F72" s="30">
        <f t="shared" si="71"/>
        <v>4</v>
      </c>
      <c r="G72" s="63">
        <f>SUM('Втрати ЗСУ'!$C72:$F72)</f>
        <v>24</v>
      </c>
      <c r="H72" s="63">
        <f>H71+'Втрати ЗСУ'!$C72</f>
        <v>461</v>
      </c>
      <c r="I72" s="63">
        <f>I71+'Втрати ЗСУ'!$D72</f>
        <v>424</v>
      </c>
      <c r="J72" s="63">
        <f>J71+'Втрати ЗСУ'!$E72</f>
        <v>375</v>
      </c>
      <c r="K72" s="63">
        <f>K71+'Втрати ЗСУ'!$F72</f>
        <v>385</v>
      </c>
      <c r="L72" s="63">
        <f>SUM('Втрати ЗСУ'!$H72:$K72)</f>
        <v>1645</v>
      </c>
      <c r="M72" s="30">
        <f>M71+'Втрати ЗСУ'!$C72</f>
        <v>10461</v>
      </c>
      <c r="N72" s="30">
        <f>N71+'Втрати ЗСУ'!$D72</f>
        <v>11424</v>
      </c>
      <c r="O72" s="30">
        <f>O71+'Втрати ЗСУ'!$E72</f>
        <v>9375</v>
      </c>
      <c r="P72" s="30">
        <f>P71+'Втрати ЗСУ'!$F72</f>
        <v>8385</v>
      </c>
      <c r="Q72" s="63">
        <f>SUM('Втрати ЗСУ'!$M72:$P72)</f>
        <v>39645</v>
      </c>
    </row>
    <row r="73" ht="15.75" customHeight="1">
      <c r="A73" s="24">
        <v>46274.0</v>
      </c>
      <c r="B73" s="24" t="s">
        <v>72</v>
      </c>
      <c r="C73" s="30">
        <f t="shared" ref="C73:F73" si="72">RANDBETWEEN(1,10)</f>
        <v>5</v>
      </c>
      <c r="D73" s="30">
        <f t="shared" si="72"/>
        <v>5</v>
      </c>
      <c r="E73" s="30">
        <f t="shared" si="72"/>
        <v>1</v>
      </c>
      <c r="F73" s="30">
        <f t="shared" si="72"/>
        <v>6</v>
      </c>
      <c r="G73" s="63">
        <f>SUM('Втрати ЗСУ'!$C73:$F73)</f>
        <v>17</v>
      </c>
      <c r="H73" s="63">
        <f>H72+'Втрати ЗСУ'!$C73</f>
        <v>466</v>
      </c>
      <c r="I73" s="63">
        <f>I72+'Втрати ЗСУ'!$D73</f>
        <v>429</v>
      </c>
      <c r="J73" s="63">
        <f>J72+'Втрати ЗСУ'!$E73</f>
        <v>376</v>
      </c>
      <c r="K73" s="63">
        <f>K72+'Втрати ЗСУ'!$F73</f>
        <v>391</v>
      </c>
      <c r="L73" s="63">
        <f>SUM('Втрати ЗСУ'!$H73:$K73)</f>
        <v>1662</v>
      </c>
      <c r="M73" s="30">
        <f>M72+'Втрати ЗСУ'!$C73</f>
        <v>10466</v>
      </c>
      <c r="N73" s="30">
        <f>N72+'Втрати ЗСУ'!$D73</f>
        <v>11429</v>
      </c>
      <c r="O73" s="30">
        <f>O72+'Втрати ЗСУ'!$E73</f>
        <v>9376</v>
      </c>
      <c r="P73" s="30">
        <f>P72+'Втрати ЗСУ'!$F73</f>
        <v>8391</v>
      </c>
      <c r="Q73" s="63">
        <f>SUM('Втрати ЗСУ'!$M73:$P73)</f>
        <v>39662</v>
      </c>
    </row>
    <row r="74" ht="15.75" customHeight="1">
      <c r="A74" s="24">
        <v>46275.0</v>
      </c>
      <c r="B74" s="24" t="s">
        <v>72</v>
      </c>
      <c r="C74" s="30">
        <f t="shared" ref="C74:F74" si="73">RANDBETWEEN(1,10)</f>
        <v>10</v>
      </c>
      <c r="D74" s="30">
        <f t="shared" si="73"/>
        <v>8</v>
      </c>
      <c r="E74" s="30">
        <f t="shared" si="73"/>
        <v>10</v>
      </c>
      <c r="F74" s="30">
        <f t="shared" si="73"/>
        <v>1</v>
      </c>
      <c r="G74" s="63">
        <f>SUM('Втрати ЗСУ'!$C74:$F74)</f>
        <v>29</v>
      </c>
      <c r="H74" s="63">
        <f>H73+'Втрати ЗСУ'!$C74</f>
        <v>476</v>
      </c>
      <c r="I74" s="63">
        <f>I73+'Втрати ЗСУ'!$D74</f>
        <v>437</v>
      </c>
      <c r="J74" s="63">
        <f>J73+'Втрати ЗСУ'!$E74</f>
        <v>386</v>
      </c>
      <c r="K74" s="63">
        <f>K73+'Втрати ЗСУ'!$F74</f>
        <v>392</v>
      </c>
      <c r="L74" s="63">
        <f>SUM('Втрати ЗСУ'!$H74:$K74)</f>
        <v>1691</v>
      </c>
      <c r="M74" s="30">
        <f>M73+'Втрати ЗСУ'!$C74</f>
        <v>10476</v>
      </c>
      <c r="N74" s="30">
        <f>N73+'Втрати ЗСУ'!$D74</f>
        <v>11437</v>
      </c>
      <c r="O74" s="30">
        <f>O73+'Втрати ЗСУ'!$E74</f>
        <v>9386</v>
      </c>
      <c r="P74" s="30">
        <f>P73+'Втрати ЗСУ'!$F74</f>
        <v>8392</v>
      </c>
      <c r="Q74" s="63">
        <f>SUM('Втрати ЗСУ'!$M74:$P74)</f>
        <v>39691</v>
      </c>
    </row>
    <row r="75" ht="15.75" customHeight="1">
      <c r="A75" s="24">
        <v>46276.0</v>
      </c>
      <c r="B75" s="24" t="s">
        <v>72</v>
      </c>
      <c r="C75" s="30">
        <f t="shared" ref="C75:F75" si="74">RANDBETWEEN(1,10)</f>
        <v>7</v>
      </c>
      <c r="D75" s="30">
        <f t="shared" si="74"/>
        <v>10</v>
      </c>
      <c r="E75" s="30">
        <f t="shared" si="74"/>
        <v>1</v>
      </c>
      <c r="F75" s="30">
        <f t="shared" si="74"/>
        <v>6</v>
      </c>
      <c r="G75" s="63">
        <f>SUM('Втрати ЗСУ'!$C75:$F75)</f>
        <v>24</v>
      </c>
      <c r="H75" s="63">
        <f>H74+'Втрати ЗСУ'!$C75</f>
        <v>483</v>
      </c>
      <c r="I75" s="63">
        <f>I74+'Втрати ЗСУ'!$D75</f>
        <v>447</v>
      </c>
      <c r="J75" s="63">
        <f>J74+'Втрати ЗСУ'!$E75</f>
        <v>387</v>
      </c>
      <c r="K75" s="63">
        <f>K74+'Втрати ЗСУ'!$F75</f>
        <v>398</v>
      </c>
      <c r="L75" s="63">
        <f>SUM('Втрати ЗСУ'!$H75:$K75)</f>
        <v>1715</v>
      </c>
      <c r="M75" s="30">
        <f>M74+'Втрати ЗСУ'!$C75</f>
        <v>10483</v>
      </c>
      <c r="N75" s="30">
        <f>N74+'Втрати ЗСУ'!$D75</f>
        <v>11447</v>
      </c>
      <c r="O75" s="30">
        <f>O74+'Втрати ЗСУ'!$E75</f>
        <v>9387</v>
      </c>
      <c r="P75" s="30">
        <f>P74+'Втрати ЗСУ'!$F75</f>
        <v>8398</v>
      </c>
      <c r="Q75" s="63">
        <f>SUM('Втрати ЗСУ'!$M75:$P75)</f>
        <v>39715</v>
      </c>
    </row>
    <row r="76" ht="15.75" customHeight="1">
      <c r="A76" s="24">
        <v>46277.0</v>
      </c>
      <c r="B76" s="24" t="s">
        <v>72</v>
      </c>
      <c r="C76" s="30">
        <f t="shared" ref="C76:F76" si="75">RANDBETWEEN(1,10)</f>
        <v>1</v>
      </c>
      <c r="D76" s="30">
        <f t="shared" si="75"/>
        <v>6</v>
      </c>
      <c r="E76" s="30">
        <f t="shared" si="75"/>
        <v>6</v>
      </c>
      <c r="F76" s="30">
        <f t="shared" si="75"/>
        <v>3</v>
      </c>
      <c r="G76" s="63">
        <f>SUM('Втрати ЗСУ'!$C76:$F76)</f>
        <v>16</v>
      </c>
      <c r="H76" s="63">
        <f>H75+'Втрати ЗСУ'!$C76</f>
        <v>484</v>
      </c>
      <c r="I76" s="63">
        <f>I75+'Втрати ЗСУ'!$D76</f>
        <v>453</v>
      </c>
      <c r="J76" s="63">
        <f>J75+'Втрати ЗСУ'!$E76</f>
        <v>393</v>
      </c>
      <c r="K76" s="63">
        <f>K75+'Втрати ЗСУ'!$F76</f>
        <v>401</v>
      </c>
      <c r="L76" s="63">
        <f>SUM('Втрати ЗСУ'!$H76:$K76)</f>
        <v>1731</v>
      </c>
      <c r="M76" s="30">
        <f>M75+'Втрати ЗСУ'!$C76</f>
        <v>10484</v>
      </c>
      <c r="N76" s="30">
        <f>N75+'Втрати ЗСУ'!$D76</f>
        <v>11453</v>
      </c>
      <c r="O76" s="30">
        <f>O75+'Втрати ЗСУ'!$E76</f>
        <v>9393</v>
      </c>
      <c r="P76" s="30">
        <f>P75+'Втрати ЗСУ'!$F76</f>
        <v>8401</v>
      </c>
      <c r="Q76" s="63">
        <f>SUM('Втрати ЗСУ'!$M76:$P76)</f>
        <v>39731</v>
      </c>
    </row>
    <row r="77" ht="15.75" customHeight="1">
      <c r="A77" s="24">
        <v>46278.0</v>
      </c>
      <c r="B77" s="24" t="s">
        <v>72</v>
      </c>
      <c r="C77" s="30">
        <f t="shared" ref="C77:F77" si="76">RANDBETWEEN(1,10)</f>
        <v>6</v>
      </c>
      <c r="D77" s="30">
        <f t="shared" si="76"/>
        <v>10</v>
      </c>
      <c r="E77" s="30">
        <f t="shared" si="76"/>
        <v>10</v>
      </c>
      <c r="F77" s="30">
        <f t="shared" si="76"/>
        <v>9</v>
      </c>
      <c r="G77" s="63">
        <f>SUM('Втрати ЗСУ'!$C77:$F77)</f>
        <v>35</v>
      </c>
      <c r="H77" s="63">
        <f>H76+'Втрати ЗСУ'!$C77</f>
        <v>490</v>
      </c>
      <c r="I77" s="63">
        <f>I76+'Втрати ЗСУ'!$D77</f>
        <v>463</v>
      </c>
      <c r="J77" s="63">
        <f>J76+'Втрати ЗСУ'!$E77</f>
        <v>403</v>
      </c>
      <c r="K77" s="63">
        <f>K76+'Втрати ЗСУ'!$F77</f>
        <v>410</v>
      </c>
      <c r="L77" s="63">
        <f>SUM('Втрати ЗСУ'!$H77:$K77)</f>
        <v>1766</v>
      </c>
      <c r="M77" s="30">
        <f>M76+'Втрати ЗСУ'!$C77</f>
        <v>10490</v>
      </c>
      <c r="N77" s="30">
        <f>N76+'Втрати ЗСУ'!$D77</f>
        <v>11463</v>
      </c>
      <c r="O77" s="30">
        <f>O76+'Втрати ЗСУ'!$E77</f>
        <v>9403</v>
      </c>
      <c r="P77" s="30">
        <f>P76+'Втрати ЗСУ'!$F77</f>
        <v>8410</v>
      </c>
      <c r="Q77" s="63">
        <f>SUM('Втрати ЗСУ'!$M77:$P77)</f>
        <v>39766</v>
      </c>
    </row>
    <row r="78" ht="15.75" customHeight="1">
      <c r="A78" s="24">
        <v>46279.0</v>
      </c>
      <c r="B78" s="24" t="s">
        <v>72</v>
      </c>
      <c r="C78" s="30">
        <f t="shared" ref="C78:F78" si="77">RANDBETWEEN(1,10)</f>
        <v>3</v>
      </c>
      <c r="D78" s="30">
        <f t="shared" si="77"/>
        <v>7</v>
      </c>
      <c r="E78" s="30">
        <f t="shared" si="77"/>
        <v>8</v>
      </c>
      <c r="F78" s="30">
        <f t="shared" si="77"/>
        <v>8</v>
      </c>
      <c r="G78" s="63">
        <f>SUM('Втрати ЗСУ'!$C78:$F78)</f>
        <v>26</v>
      </c>
      <c r="H78" s="63">
        <f>H77+'Втрати ЗСУ'!$C78</f>
        <v>493</v>
      </c>
      <c r="I78" s="63">
        <f>I77+'Втрати ЗСУ'!$D78</f>
        <v>470</v>
      </c>
      <c r="J78" s="63">
        <f>J77+'Втрати ЗСУ'!$E78</f>
        <v>411</v>
      </c>
      <c r="K78" s="63">
        <f>K77+'Втрати ЗСУ'!$F78</f>
        <v>418</v>
      </c>
      <c r="L78" s="63">
        <f>SUM('Втрати ЗСУ'!$H78:$K78)</f>
        <v>1792</v>
      </c>
      <c r="M78" s="30">
        <f>M77+'Втрати ЗСУ'!$C78</f>
        <v>10493</v>
      </c>
      <c r="N78" s="30">
        <f>N77+'Втрати ЗСУ'!$D78</f>
        <v>11470</v>
      </c>
      <c r="O78" s="30">
        <f>O77+'Втрати ЗСУ'!$E78</f>
        <v>9411</v>
      </c>
      <c r="P78" s="30">
        <f>P77+'Втрати ЗСУ'!$F78</f>
        <v>8418</v>
      </c>
      <c r="Q78" s="63">
        <f>SUM('Втрати ЗСУ'!$M78:$P78)</f>
        <v>39792</v>
      </c>
    </row>
    <row r="79" ht="15.75" customHeight="1">
      <c r="A79" s="24">
        <v>46280.0</v>
      </c>
      <c r="B79" s="24" t="s">
        <v>72</v>
      </c>
      <c r="C79" s="30">
        <f t="shared" ref="C79:F79" si="78">RANDBETWEEN(1,10)</f>
        <v>1</v>
      </c>
      <c r="D79" s="30">
        <f t="shared" si="78"/>
        <v>1</v>
      </c>
      <c r="E79" s="30">
        <f t="shared" si="78"/>
        <v>1</v>
      </c>
      <c r="F79" s="30">
        <f t="shared" si="78"/>
        <v>2</v>
      </c>
      <c r="G79" s="63">
        <f>SUM('Втрати ЗСУ'!$C79:$F79)</f>
        <v>5</v>
      </c>
      <c r="H79" s="63">
        <f>H78+'Втрати ЗСУ'!$C79</f>
        <v>494</v>
      </c>
      <c r="I79" s="63">
        <f>I78+'Втрати ЗСУ'!$D79</f>
        <v>471</v>
      </c>
      <c r="J79" s="63">
        <f>J78+'Втрати ЗСУ'!$E79</f>
        <v>412</v>
      </c>
      <c r="K79" s="63">
        <f>K78+'Втрати ЗСУ'!$F79</f>
        <v>420</v>
      </c>
      <c r="L79" s="63">
        <f>SUM('Втрати ЗСУ'!$H79:$K79)</f>
        <v>1797</v>
      </c>
      <c r="M79" s="30">
        <f>M78+'Втрати ЗСУ'!$C79</f>
        <v>10494</v>
      </c>
      <c r="N79" s="30">
        <f>N78+'Втрати ЗСУ'!$D79</f>
        <v>11471</v>
      </c>
      <c r="O79" s="30">
        <f>O78+'Втрати ЗСУ'!$E79</f>
        <v>9412</v>
      </c>
      <c r="P79" s="30">
        <f>P78+'Втрати ЗСУ'!$F79</f>
        <v>8420</v>
      </c>
      <c r="Q79" s="63">
        <f>SUM('Втрати ЗСУ'!$M79:$P79)</f>
        <v>39797</v>
      </c>
    </row>
    <row r="80" ht="15.75" customHeight="1">
      <c r="A80" s="24">
        <v>46281.0</v>
      </c>
      <c r="B80" s="24" t="s">
        <v>72</v>
      </c>
      <c r="C80" s="30">
        <f t="shared" ref="C80:F80" si="79">RANDBETWEEN(1,10)</f>
        <v>5</v>
      </c>
      <c r="D80" s="30">
        <f t="shared" si="79"/>
        <v>2</v>
      </c>
      <c r="E80" s="30">
        <f t="shared" si="79"/>
        <v>9</v>
      </c>
      <c r="F80" s="30">
        <f t="shared" si="79"/>
        <v>7</v>
      </c>
      <c r="G80" s="63">
        <f>SUM('Втрати ЗСУ'!$C80:$F80)</f>
        <v>23</v>
      </c>
      <c r="H80" s="63">
        <f>H79+'Втрати ЗСУ'!$C80</f>
        <v>499</v>
      </c>
      <c r="I80" s="63">
        <f>I79+'Втрати ЗСУ'!$D80</f>
        <v>473</v>
      </c>
      <c r="J80" s="63">
        <f>J79+'Втрати ЗСУ'!$E80</f>
        <v>421</v>
      </c>
      <c r="K80" s="63">
        <f>K79+'Втрати ЗСУ'!$F80</f>
        <v>427</v>
      </c>
      <c r="L80" s="63">
        <f>SUM('Втрати ЗСУ'!$H80:$K80)</f>
        <v>1820</v>
      </c>
      <c r="M80" s="30">
        <f>M79+'Втрати ЗСУ'!$C80</f>
        <v>10499</v>
      </c>
      <c r="N80" s="30">
        <f>N79+'Втрати ЗСУ'!$D80</f>
        <v>11473</v>
      </c>
      <c r="O80" s="30">
        <f>O79+'Втрати ЗСУ'!$E80</f>
        <v>9421</v>
      </c>
      <c r="P80" s="30">
        <f>P79+'Втрати ЗСУ'!$F80</f>
        <v>8427</v>
      </c>
      <c r="Q80" s="63">
        <f>SUM('Втрати ЗСУ'!$M80:$P80)</f>
        <v>39820</v>
      </c>
    </row>
    <row r="81" ht="15.75" customHeight="1">
      <c r="A81" s="24">
        <v>46282.0</v>
      </c>
      <c r="B81" s="24" t="s">
        <v>72</v>
      </c>
      <c r="C81" s="30">
        <f t="shared" ref="C81:F81" si="80">RANDBETWEEN(1,10)</f>
        <v>8</v>
      </c>
      <c r="D81" s="30">
        <f t="shared" si="80"/>
        <v>4</v>
      </c>
      <c r="E81" s="30">
        <f t="shared" si="80"/>
        <v>7</v>
      </c>
      <c r="F81" s="30">
        <f t="shared" si="80"/>
        <v>3</v>
      </c>
      <c r="G81" s="63">
        <f>SUM('Втрати ЗСУ'!$C81:$F81)</f>
        <v>22</v>
      </c>
      <c r="H81" s="63">
        <f>H80+'Втрати ЗСУ'!$C81</f>
        <v>507</v>
      </c>
      <c r="I81" s="63">
        <f>I80+'Втрати ЗСУ'!$D81</f>
        <v>477</v>
      </c>
      <c r="J81" s="63">
        <f>J80+'Втрати ЗСУ'!$E81</f>
        <v>428</v>
      </c>
      <c r="K81" s="63">
        <f>K80+'Втрати ЗСУ'!$F81</f>
        <v>430</v>
      </c>
      <c r="L81" s="63">
        <f>SUM('Втрати ЗСУ'!$H81:$K81)</f>
        <v>1842</v>
      </c>
      <c r="M81" s="30">
        <f>M80+'Втрати ЗСУ'!$C81</f>
        <v>10507</v>
      </c>
      <c r="N81" s="30">
        <f>N80+'Втрати ЗСУ'!$D81</f>
        <v>11477</v>
      </c>
      <c r="O81" s="30">
        <f>O80+'Втрати ЗСУ'!$E81</f>
        <v>9428</v>
      </c>
      <c r="P81" s="30">
        <f>P80+'Втрати ЗСУ'!$F81</f>
        <v>8430</v>
      </c>
      <c r="Q81" s="63">
        <f>SUM('Втрати ЗСУ'!$M81:$P81)</f>
        <v>39842</v>
      </c>
    </row>
    <row r="82" ht="15.75" customHeight="1">
      <c r="A82" s="24">
        <v>46283.0</v>
      </c>
      <c r="B82" s="24" t="s">
        <v>72</v>
      </c>
      <c r="C82" s="30">
        <f t="shared" ref="C82:F82" si="81">RANDBETWEEN(1,10)</f>
        <v>3</v>
      </c>
      <c r="D82" s="30">
        <f t="shared" si="81"/>
        <v>3</v>
      </c>
      <c r="E82" s="30">
        <f t="shared" si="81"/>
        <v>6</v>
      </c>
      <c r="F82" s="30">
        <f t="shared" si="81"/>
        <v>6</v>
      </c>
      <c r="G82" s="63">
        <f>SUM('Втрати ЗСУ'!$C82:$F82)</f>
        <v>18</v>
      </c>
      <c r="H82" s="63">
        <f>H81+'Втрати ЗСУ'!$C82</f>
        <v>510</v>
      </c>
      <c r="I82" s="63">
        <f>I81+'Втрати ЗСУ'!$D82</f>
        <v>480</v>
      </c>
      <c r="J82" s="63">
        <f>J81+'Втрати ЗСУ'!$E82</f>
        <v>434</v>
      </c>
      <c r="K82" s="63">
        <f>K81+'Втрати ЗСУ'!$F82</f>
        <v>436</v>
      </c>
      <c r="L82" s="63">
        <f>SUM('Втрати ЗСУ'!$H82:$K82)</f>
        <v>1860</v>
      </c>
      <c r="M82" s="30">
        <f>M81+'Втрати ЗСУ'!$C82</f>
        <v>10510</v>
      </c>
      <c r="N82" s="30">
        <f>N81+'Втрати ЗСУ'!$D82</f>
        <v>11480</v>
      </c>
      <c r="O82" s="30">
        <f>O81+'Втрати ЗСУ'!$E82</f>
        <v>9434</v>
      </c>
      <c r="P82" s="30">
        <f>P81+'Втрати ЗСУ'!$F82</f>
        <v>8436</v>
      </c>
      <c r="Q82" s="63">
        <f>SUM('Втрати ЗСУ'!$M82:$P82)</f>
        <v>39860</v>
      </c>
    </row>
    <row r="83" ht="15.75" customHeight="1">
      <c r="A83" s="24">
        <v>46284.0</v>
      </c>
      <c r="B83" s="24" t="s">
        <v>72</v>
      </c>
      <c r="C83" s="30">
        <f t="shared" ref="C83:F83" si="82">RANDBETWEEN(1,10)</f>
        <v>5</v>
      </c>
      <c r="D83" s="30">
        <f t="shared" si="82"/>
        <v>9</v>
      </c>
      <c r="E83" s="30">
        <f t="shared" si="82"/>
        <v>2</v>
      </c>
      <c r="F83" s="30">
        <f t="shared" si="82"/>
        <v>7</v>
      </c>
      <c r="G83" s="63">
        <f>SUM('Втрати ЗСУ'!$C83:$F83)</f>
        <v>23</v>
      </c>
      <c r="H83" s="63">
        <f>H82+'Втрати ЗСУ'!$C83</f>
        <v>515</v>
      </c>
      <c r="I83" s="63">
        <f>I82+'Втрати ЗСУ'!$D83</f>
        <v>489</v>
      </c>
      <c r="J83" s="63">
        <f>J82+'Втрати ЗСУ'!$E83</f>
        <v>436</v>
      </c>
      <c r="K83" s="63">
        <f>K82+'Втрати ЗСУ'!$F83</f>
        <v>443</v>
      </c>
      <c r="L83" s="63">
        <f>SUM('Втрати ЗСУ'!$H83:$K83)</f>
        <v>1883</v>
      </c>
      <c r="M83" s="30">
        <f>M82+'Втрати ЗСУ'!$C83</f>
        <v>10515</v>
      </c>
      <c r="N83" s="30">
        <f>N82+'Втрати ЗСУ'!$D83</f>
        <v>11489</v>
      </c>
      <c r="O83" s="30">
        <f>O82+'Втрати ЗСУ'!$E83</f>
        <v>9436</v>
      </c>
      <c r="P83" s="30">
        <f>P82+'Втрати ЗСУ'!$F83</f>
        <v>8443</v>
      </c>
      <c r="Q83" s="63">
        <f>SUM('Втрати ЗСУ'!$M83:$P83)</f>
        <v>39883</v>
      </c>
    </row>
    <row r="84" ht="15.75" customHeight="1">
      <c r="A84" s="24">
        <v>46285.0</v>
      </c>
      <c r="B84" s="24" t="s">
        <v>72</v>
      </c>
      <c r="C84" s="30">
        <f t="shared" ref="C84:F84" si="83">RANDBETWEEN(1,10)</f>
        <v>4</v>
      </c>
      <c r="D84" s="30">
        <f t="shared" si="83"/>
        <v>2</v>
      </c>
      <c r="E84" s="30">
        <f t="shared" si="83"/>
        <v>6</v>
      </c>
      <c r="F84" s="30">
        <f t="shared" si="83"/>
        <v>2</v>
      </c>
      <c r="G84" s="63">
        <f>SUM('Втрати ЗСУ'!$C84:$F84)</f>
        <v>14</v>
      </c>
      <c r="H84" s="63">
        <f>H83+'Втрати ЗСУ'!$C84</f>
        <v>519</v>
      </c>
      <c r="I84" s="63">
        <f>I83+'Втрати ЗСУ'!$D84</f>
        <v>491</v>
      </c>
      <c r="J84" s="63">
        <f>J83+'Втрати ЗСУ'!$E84</f>
        <v>442</v>
      </c>
      <c r="K84" s="63">
        <f>K83+'Втрати ЗСУ'!$F84</f>
        <v>445</v>
      </c>
      <c r="L84" s="63">
        <f>SUM('Втрати ЗСУ'!$H84:$K84)</f>
        <v>1897</v>
      </c>
      <c r="M84" s="30">
        <f>M83+'Втрати ЗСУ'!$C84</f>
        <v>10519</v>
      </c>
      <c r="N84" s="30">
        <f>N83+'Втрати ЗСУ'!$D84</f>
        <v>11491</v>
      </c>
      <c r="O84" s="30">
        <f>O83+'Втрати ЗСУ'!$E84</f>
        <v>9442</v>
      </c>
      <c r="P84" s="30">
        <f>P83+'Втрати ЗСУ'!$F84</f>
        <v>8445</v>
      </c>
      <c r="Q84" s="63">
        <f>SUM('Втрати ЗСУ'!$M84:$P84)</f>
        <v>39897</v>
      </c>
    </row>
    <row r="85" ht="15.75" customHeight="1">
      <c r="A85" s="24">
        <v>46286.0</v>
      </c>
      <c r="B85" s="24" t="s">
        <v>72</v>
      </c>
      <c r="C85" s="30">
        <f t="shared" ref="C85:F85" si="84">RANDBETWEEN(1,10)</f>
        <v>4</v>
      </c>
      <c r="D85" s="30">
        <f t="shared" si="84"/>
        <v>7</v>
      </c>
      <c r="E85" s="30">
        <f t="shared" si="84"/>
        <v>9</v>
      </c>
      <c r="F85" s="30">
        <f t="shared" si="84"/>
        <v>7</v>
      </c>
      <c r="G85" s="63">
        <f>SUM('Втрати ЗСУ'!$C85:$F85)</f>
        <v>27</v>
      </c>
      <c r="H85" s="63">
        <f>H84+'Втрати ЗСУ'!$C85</f>
        <v>523</v>
      </c>
      <c r="I85" s="63">
        <f>I84+'Втрати ЗСУ'!$D85</f>
        <v>498</v>
      </c>
      <c r="J85" s="63">
        <f>J84+'Втрати ЗСУ'!$E85</f>
        <v>451</v>
      </c>
      <c r="K85" s="63">
        <f>K84+'Втрати ЗСУ'!$F85</f>
        <v>452</v>
      </c>
      <c r="L85" s="63">
        <f>SUM('Втрати ЗСУ'!$H85:$K85)</f>
        <v>1924</v>
      </c>
      <c r="M85" s="30">
        <f>M84+'Втрати ЗСУ'!$C85</f>
        <v>10523</v>
      </c>
      <c r="N85" s="30">
        <f>N84+'Втрати ЗСУ'!$D85</f>
        <v>11498</v>
      </c>
      <c r="O85" s="30">
        <f>O84+'Втрати ЗСУ'!$E85</f>
        <v>9451</v>
      </c>
      <c r="P85" s="30">
        <f>P84+'Втрати ЗСУ'!$F85</f>
        <v>8452</v>
      </c>
      <c r="Q85" s="63">
        <f>SUM('Втрати ЗСУ'!$M85:$P85)</f>
        <v>39924</v>
      </c>
    </row>
    <row r="86" ht="15.75" customHeight="1">
      <c r="A86" s="24">
        <v>46287.0</v>
      </c>
      <c r="B86" s="24" t="s">
        <v>72</v>
      </c>
      <c r="C86" s="30">
        <f t="shared" ref="C86:F86" si="85">RANDBETWEEN(1,10)</f>
        <v>2</v>
      </c>
      <c r="D86" s="30">
        <f t="shared" si="85"/>
        <v>4</v>
      </c>
      <c r="E86" s="30">
        <f t="shared" si="85"/>
        <v>4</v>
      </c>
      <c r="F86" s="30">
        <f t="shared" si="85"/>
        <v>9</v>
      </c>
      <c r="G86" s="63">
        <f>SUM('Втрати ЗСУ'!$C86:$F86)</f>
        <v>19</v>
      </c>
      <c r="H86" s="63">
        <f>H85+'Втрати ЗСУ'!$C86</f>
        <v>525</v>
      </c>
      <c r="I86" s="63">
        <f>I85+'Втрати ЗСУ'!$D86</f>
        <v>502</v>
      </c>
      <c r="J86" s="63">
        <f>J85+'Втрати ЗСУ'!$E86</f>
        <v>455</v>
      </c>
      <c r="K86" s="63">
        <f>K85+'Втрати ЗСУ'!$F86</f>
        <v>461</v>
      </c>
      <c r="L86" s="63">
        <f>SUM('Втрати ЗСУ'!$H86:$K86)</f>
        <v>1943</v>
      </c>
      <c r="M86" s="30">
        <f>M85+'Втрати ЗСУ'!$C86</f>
        <v>10525</v>
      </c>
      <c r="N86" s="30">
        <f>N85+'Втрати ЗСУ'!$D86</f>
        <v>11502</v>
      </c>
      <c r="O86" s="30">
        <f>O85+'Втрати ЗСУ'!$E86</f>
        <v>9455</v>
      </c>
      <c r="P86" s="30">
        <f>P85+'Втрати ЗСУ'!$F86</f>
        <v>8461</v>
      </c>
      <c r="Q86" s="63">
        <f>SUM('Втрати ЗСУ'!$M86:$P86)</f>
        <v>39943</v>
      </c>
    </row>
    <row r="87" ht="15.75" customHeight="1">
      <c r="A87" s="24">
        <v>46288.0</v>
      </c>
      <c r="B87" s="24" t="s">
        <v>72</v>
      </c>
      <c r="C87" s="30">
        <f t="shared" ref="C87:F87" si="86">RANDBETWEEN(1,10)</f>
        <v>4</v>
      </c>
      <c r="D87" s="30">
        <f t="shared" si="86"/>
        <v>8</v>
      </c>
      <c r="E87" s="30">
        <f t="shared" si="86"/>
        <v>3</v>
      </c>
      <c r="F87" s="30">
        <f t="shared" si="86"/>
        <v>8</v>
      </c>
      <c r="G87" s="63">
        <f>SUM('Втрати ЗСУ'!$C87:$F87)</f>
        <v>23</v>
      </c>
      <c r="H87" s="63">
        <f>H86+'Втрати ЗСУ'!$C87</f>
        <v>529</v>
      </c>
      <c r="I87" s="63">
        <f>I86+'Втрати ЗСУ'!$D87</f>
        <v>510</v>
      </c>
      <c r="J87" s="63">
        <f>J86+'Втрати ЗСУ'!$E87</f>
        <v>458</v>
      </c>
      <c r="K87" s="63">
        <f>K86+'Втрати ЗСУ'!$F87</f>
        <v>469</v>
      </c>
      <c r="L87" s="63">
        <f>SUM('Втрати ЗСУ'!$H87:$K87)</f>
        <v>1966</v>
      </c>
      <c r="M87" s="30">
        <f>M86+'Втрати ЗСУ'!$C87</f>
        <v>10529</v>
      </c>
      <c r="N87" s="30">
        <f>N86+'Втрати ЗСУ'!$D87</f>
        <v>11510</v>
      </c>
      <c r="O87" s="30">
        <f>O86+'Втрати ЗСУ'!$E87</f>
        <v>9458</v>
      </c>
      <c r="P87" s="30">
        <f>P86+'Втрати ЗСУ'!$F87</f>
        <v>8469</v>
      </c>
      <c r="Q87" s="63">
        <f>SUM('Втрати ЗСУ'!$M87:$P87)</f>
        <v>39966</v>
      </c>
    </row>
    <row r="88" ht="15.75" customHeight="1">
      <c r="A88" s="24">
        <v>46289.0</v>
      </c>
      <c r="B88" s="24" t="s">
        <v>72</v>
      </c>
      <c r="C88" s="30">
        <f t="shared" ref="C88:F88" si="87">RANDBETWEEN(1,10)</f>
        <v>1</v>
      </c>
      <c r="D88" s="30">
        <f t="shared" si="87"/>
        <v>9</v>
      </c>
      <c r="E88" s="30">
        <f t="shared" si="87"/>
        <v>3</v>
      </c>
      <c r="F88" s="30">
        <f t="shared" si="87"/>
        <v>9</v>
      </c>
      <c r="G88" s="63">
        <f>SUM('Втрати ЗСУ'!$C88:$F88)</f>
        <v>22</v>
      </c>
      <c r="H88" s="63">
        <f>H87+'Втрати ЗСУ'!$C88</f>
        <v>530</v>
      </c>
      <c r="I88" s="63">
        <f>I87+'Втрати ЗСУ'!$D88</f>
        <v>519</v>
      </c>
      <c r="J88" s="63">
        <f>J87+'Втрати ЗСУ'!$E88</f>
        <v>461</v>
      </c>
      <c r="K88" s="63">
        <f>K87+'Втрати ЗСУ'!$F88</f>
        <v>478</v>
      </c>
      <c r="L88" s="63">
        <f>SUM('Втрати ЗСУ'!$H88:$K88)</f>
        <v>1988</v>
      </c>
      <c r="M88" s="30">
        <f>M87+'Втрати ЗСУ'!$C88</f>
        <v>10530</v>
      </c>
      <c r="N88" s="30">
        <f>N87+'Втрати ЗСУ'!$D88</f>
        <v>11519</v>
      </c>
      <c r="O88" s="30">
        <f>O87+'Втрати ЗСУ'!$E88</f>
        <v>9461</v>
      </c>
      <c r="P88" s="30">
        <f>P87+'Втрати ЗСУ'!$F88</f>
        <v>8478</v>
      </c>
      <c r="Q88" s="63">
        <f>SUM('Втрати ЗСУ'!$M88:$P88)</f>
        <v>39988</v>
      </c>
    </row>
    <row r="89" ht="15.75" customHeight="1">
      <c r="A89" s="24">
        <v>46290.0</v>
      </c>
      <c r="B89" s="24" t="s">
        <v>72</v>
      </c>
      <c r="C89" s="30">
        <f t="shared" ref="C89:F89" si="88">RANDBETWEEN(1,10)</f>
        <v>6</v>
      </c>
      <c r="D89" s="30">
        <f t="shared" si="88"/>
        <v>3</v>
      </c>
      <c r="E89" s="30">
        <f t="shared" si="88"/>
        <v>2</v>
      </c>
      <c r="F89" s="30">
        <f t="shared" si="88"/>
        <v>5</v>
      </c>
      <c r="G89" s="63">
        <f>SUM('Втрати ЗСУ'!$C89:$F89)</f>
        <v>16</v>
      </c>
      <c r="H89" s="63">
        <f>H88+'Втрати ЗСУ'!$C89</f>
        <v>536</v>
      </c>
      <c r="I89" s="63">
        <f>I88+'Втрати ЗСУ'!$D89</f>
        <v>522</v>
      </c>
      <c r="J89" s="63">
        <f>J88+'Втрати ЗСУ'!$E89</f>
        <v>463</v>
      </c>
      <c r="K89" s="63">
        <f>K88+'Втрати ЗСУ'!$F89</f>
        <v>483</v>
      </c>
      <c r="L89" s="63">
        <f>SUM('Втрати ЗСУ'!$H89:$K89)</f>
        <v>2004</v>
      </c>
      <c r="M89" s="30">
        <f>M88+'Втрати ЗСУ'!$C89</f>
        <v>10536</v>
      </c>
      <c r="N89" s="30">
        <f>N88+'Втрати ЗСУ'!$D89</f>
        <v>11522</v>
      </c>
      <c r="O89" s="30">
        <f>O88+'Втрати ЗСУ'!$E89</f>
        <v>9463</v>
      </c>
      <c r="P89" s="30">
        <f>P88+'Втрати ЗСУ'!$F89</f>
        <v>8483</v>
      </c>
      <c r="Q89" s="63">
        <f>SUM('Втрати ЗСУ'!$M89:$P89)</f>
        <v>40004</v>
      </c>
    </row>
    <row r="90" ht="15.75" customHeight="1">
      <c r="A90" s="24">
        <v>46291.0</v>
      </c>
      <c r="B90" s="24" t="s">
        <v>72</v>
      </c>
      <c r="C90" s="30">
        <f t="shared" ref="C90:F90" si="89">RANDBETWEEN(1,10)</f>
        <v>4</v>
      </c>
      <c r="D90" s="30">
        <f t="shared" si="89"/>
        <v>7</v>
      </c>
      <c r="E90" s="30">
        <f t="shared" si="89"/>
        <v>10</v>
      </c>
      <c r="F90" s="30">
        <f t="shared" si="89"/>
        <v>1</v>
      </c>
      <c r="G90" s="63">
        <f>SUM('Втрати ЗСУ'!$C90:$F90)</f>
        <v>22</v>
      </c>
      <c r="H90" s="63">
        <f>H89+'Втрати ЗСУ'!$C90</f>
        <v>540</v>
      </c>
      <c r="I90" s="63">
        <f>I89+'Втрати ЗСУ'!$D90</f>
        <v>529</v>
      </c>
      <c r="J90" s="63">
        <f>J89+'Втрати ЗСУ'!$E90</f>
        <v>473</v>
      </c>
      <c r="K90" s="63">
        <f>K89+'Втрати ЗСУ'!$F90</f>
        <v>484</v>
      </c>
      <c r="L90" s="63">
        <f>SUM('Втрати ЗСУ'!$H90:$K90)</f>
        <v>2026</v>
      </c>
      <c r="M90" s="30">
        <f>M89+'Втрати ЗСУ'!$C90</f>
        <v>10540</v>
      </c>
      <c r="N90" s="30">
        <f>N89+'Втрати ЗСУ'!$D90</f>
        <v>11529</v>
      </c>
      <c r="O90" s="30">
        <f>O89+'Втрати ЗСУ'!$E90</f>
        <v>9473</v>
      </c>
      <c r="P90" s="30">
        <f>P89+'Втрати ЗСУ'!$F90</f>
        <v>8484</v>
      </c>
      <c r="Q90" s="63">
        <f>SUM('Втрати ЗСУ'!$M90:$P90)</f>
        <v>40026</v>
      </c>
    </row>
    <row r="91" ht="15.75" customHeight="1">
      <c r="A91" s="24">
        <v>46292.0</v>
      </c>
      <c r="B91" s="24" t="s">
        <v>72</v>
      </c>
      <c r="C91" s="30">
        <f t="shared" ref="C91:F91" si="90">RANDBETWEEN(1,10)</f>
        <v>5</v>
      </c>
      <c r="D91" s="30">
        <f t="shared" si="90"/>
        <v>5</v>
      </c>
      <c r="E91" s="30">
        <f t="shared" si="90"/>
        <v>9</v>
      </c>
      <c r="F91" s="30">
        <f t="shared" si="90"/>
        <v>4</v>
      </c>
      <c r="G91" s="63">
        <f>SUM('Втрати ЗСУ'!$C91:$F91)</f>
        <v>23</v>
      </c>
      <c r="H91" s="63">
        <f>H90+'Втрати ЗСУ'!$C91</f>
        <v>545</v>
      </c>
      <c r="I91" s="63">
        <f>I90+'Втрати ЗСУ'!$D91</f>
        <v>534</v>
      </c>
      <c r="J91" s="63">
        <f>J90+'Втрати ЗСУ'!$E91</f>
        <v>482</v>
      </c>
      <c r="K91" s="63">
        <f>K90+'Втрати ЗСУ'!$F91</f>
        <v>488</v>
      </c>
      <c r="L91" s="63">
        <f>SUM('Втрати ЗСУ'!$H91:$K91)</f>
        <v>2049</v>
      </c>
      <c r="M91" s="30">
        <f>M90+'Втрати ЗСУ'!$C91</f>
        <v>10545</v>
      </c>
      <c r="N91" s="30">
        <f>N90+'Втрати ЗСУ'!$D91</f>
        <v>11534</v>
      </c>
      <c r="O91" s="30">
        <f>O90+'Втрати ЗСУ'!$E91</f>
        <v>9482</v>
      </c>
      <c r="P91" s="30">
        <f>P90+'Втрати ЗСУ'!$F91</f>
        <v>8488</v>
      </c>
      <c r="Q91" s="63">
        <f>SUM('Втрати ЗСУ'!$M91:$P91)</f>
        <v>40049</v>
      </c>
    </row>
    <row r="92" ht="15.75" customHeight="1">
      <c r="A92" s="24">
        <v>46293.0</v>
      </c>
      <c r="B92" s="24" t="s">
        <v>72</v>
      </c>
      <c r="C92" s="30">
        <f t="shared" ref="C92:F92" si="91">RANDBETWEEN(1,10)</f>
        <v>9</v>
      </c>
      <c r="D92" s="30">
        <f t="shared" si="91"/>
        <v>3</v>
      </c>
      <c r="E92" s="30">
        <f t="shared" si="91"/>
        <v>2</v>
      </c>
      <c r="F92" s="30">
        <f t="shared" si="91"/>
        <v>8</v>
      </c>
      <c r="G92" s="63">
        <f>SUM('Втрати ЗСУ'!$C92:$F92)</f>
        <v>22</v>
      </c>
      <c r="H92" s="63">
        <f>H91+'Втрати ЗСУ'!$C92</f>
        <v>554</v>
      </c>
      <c r="I92" s="63">
        <f>I91+'Втрати ЗСУ'!$D92</f>
        <v>537</v>
      </c>
      <c r="J92" s="63">
        <f>J91+'Втрати ЗСУ'!$E92</f>
        <v>484</v>
      </c>
      <c r="K92" s="63">
        <f>K91+'Втрати ЗСУ'!$F92</f>
        <v>496</v>
      </c>
      <c r="L92" s="63">
        <f>SUM('Втрати ЗСУ'!$H92:$K92)</f>
        <v>2071</v>
      </c>
      <c r="M92" s="30">
        <f>M91+'Втрати ЗСУ'!$C92</f>
        <v>10554</v>
      </c>
      <c r="N92" s="30">
        <f>N91+'Втрати ЗСУ'!$D92</f>
        <v>11537</v>
      </c>
      <c r="O92" s="30">
        <f>O91+'Втрати ЗСУ'!$E92</f>
        <v>9484</v>
      </c>
      <c r="P92" s="30">
        <f>P91+'Втрати ЗСУ'!$F92</f>
        <v>8496</v>
      </c>
      <c r="Q92" s="63">
        <f>SUM('Втрати ЗСУ'!$M92:$P92)</f>
        <v>40071</v>
      </c>
    </row>
    <row r="93" ht="15.75" customHeight="1">
      <c r="A93" s="24">
        <v>46294.0</v>
      </c>
      <c r="B93" s="24" t="s">
        <v>72</v>
      </c>
      <c r="C93" s="30">
        <f t="shared" ref="C93:F93" si="92">RANDBETWEEN(1,10)</f>
        <v>4</v>
      </c>
      <c r="D93" s="30">
        <f t="shared" si="92"/>
        <v>2</v>
      </c>
      <c r="E93" s="30">
        <f t="shared" si="92"/>
        <v>7</v>
      </c>
      <c r="F93" s="30">
        <f t="shared" si="92"/>
        <v>6</v>
      </c>
      <c r="G93" s="63">
        <f>SUM('Втрати ЗСУ'!$C93:$F93)</f>
        <v>19</v>
      </c>
      <c r="H93" s="63">
        <f>H92+'Втрати ЗСУ'!$C93</f>
        <v>558</v>
      </c>
      <c r="I93" s="63">
        <f>I92+'Втрати ЗСУ'!$D93</f>
        <v>539</v>
      </c>
      <c r="J93" s="63">
        <f>J92+'Втрати ЗСУ'!$E93</f>
        <v>491</v>
      </c>
      <c r="K93" s="63">
        <f>K92+'Втрати ЗСУ'!$F93</f>
        <v>502</v>
      </c>
      <c r="L93" s="63">
        <f>SUM('Втрати ЗСУ'!$H93:$K93)</f>
        <v>2090</v>
      </c>
      <c r="M93" s="30">
        <f>M92+'Втрати ЗСУ'!$C93</f>
        <v>10558</v>
      </c>
      <c r="N93" s="30">
        <f>N92+'Втрати ЗСУ'!$D93</f>
        <v>11539</v>
      </c>
      <c r="O93" s="30">
        <f>O92+'Втрати ЗСУ'!$E93</f>
        <v>9491</v>
      </c>
      <c r="P93" s="30">
        <f>P92+'Втрати ЗСУ'!$F93</f>
        <v>8502</v>
      </c>
      <c r="Q93" s="63">
        <f>SUM('Втрати ЗСУ'!$M93:$P93)</f>
        <v>40090</v>
      </c>
    </row>
    <row r="94" ht="15.75" customHeight="1">
      <c r="A94" s="24">
        <v>46295.0</v>
      </c>
      <c r="B94" s="24" t="s">
        <v>72</v>
      </c>
      <c r="C94" s="30">
        <f t="shared" ref="C94:F94" si="93">RANDBETWEEN(1,10)</f>
        <v>10</v>
      </c>
      <c r="D94" s="30">
        <f t="shared" si="93"/>
        <v>6</v>
      </c>
      <c r="E94" s="30">
        <f t="shared" si="93"/>
        <v>7</v>
      </c>
      <c r="F94" s="30">
        <f t="shared" si="93"/>
        <v>4</v>
      </c>
      <c r="G94" s="63">
        <f>SUM('Втрати ЗСУ'!$C94:$F94)</f>
        <v>27</v>
      </c>
      <c r="H94" s="63">
        <f>H93+'Втрати ЗСУ'!$C94</f>
        <v>568</v>
      </c>
      <c r="I94" s="63">
        <f>I93+'Втрати ЗСУ'!$D94</f>
        <v>545</v>
      </c>
      <c r="J94" s="63">
        <f>J93+'Втрати ЗСУ'!$E94</f>
        <v>498</v>
      </c>
      <c r="K94" s="63">
        <f>K93+'Втрати ЗСУ'!$F94</f>
        <v>506</v>
      </c>
      <c r="L94" s="63">
        <f>SUM('Втрати ЗСУ'!$H94:$K94)</f>
        <v>2117</v>
      </c>
      <c r="M94" s="30">
        <f>M93+'Втрати ЗСУ'!$C94</f>
        <v>10568</v>
      </c>
      <c r="N94" s="30">
        <f>N93+'Втрати ЗСУ'!$D94</f>
        <v>11545</v>
      </c>
      <c r="O94" s="30">
        <f>O93+'Втрати ЗСУ'!$E94</f>
        <v>9498</v>
      </c>
      <c r="P94" s="30">
        <f>P93+'Втрати ЗСУ'!$F94</f>
        <v>8506</v>
      </c>
      <c r="Q94" s="63">
        <f>SUM('Втрати ЗСУ'!$M94:$P94)</f>
        <v>40117</v>
      </c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BE554FAD-02A0-4E19-B525-FF55F723061C}" filter="1" showAutoFilter="1">
      <autoFilter ref="$A$1:$Q$94"/>
    </customSheetView>
  </customSheetViews>
  <printOptions/>
  <pageMargins bottom="0.75" footer="0.0" header="0.0" left="0.7" right="0.7" top="0.75"/>
  <pageSetup paperSize="9" scale="82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88"/>
    <col customWidth="1" min="2" max="2" width="25.38"/>
    <col customWidth="1" min="3" max="3" width="30.0"/>
    <col customWidth="1" min="4" max="4" width="27.25"/>
    <col customWidth="1" min="5" max="5" width="32.38"/>
    <col customWidth="1" min="6" max="26" width="7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4">
        <v>46204.0</v>
      </c>
      <c r="B2" s="10">
        <f t="shared" ref="B2:E2" si="1">RANDBETWEEN(500,5000)</f>
        <v>4083</v>
      </c>
      <c r="C2" s="10">
        <f t="shared" si="1"/>
        <v>1570</v>
      </c>
      <c r="D2" s="10">
        <f t="shared" si="1"/>
        <v>4210</v>
      </c>
      <c r="E2" s="10">
        <f t="shared" si="1"/>
        <v>2128</v>
      </c>
    </row>
    <row r="3">
      <c r="A3" s="4">
        <v>46205.0</v>
      </c>
      <c r="B3" s="10">
        <f t="shared" ref="B3:E3" si="2">RANDBETWEEN(500,5000)</f>
        <v>3578</v>
      </c>
      <c r="C3" s="10">
        <f t="shared" si="2"/>
        <v>4713</v>
      </c>
      <c r="D3" s="10">
        <f t="shared" si="2"/>
        <v>2298</v>
      </c>
      <c r="E3" s="10">
        <f t="shared" si="2"/>
        <v>790</v>
      </c>
    </row>
    <row r="4">
      <c r="A4" s="4">
        <v>46206.0</v>
      </c>
      <c r="B4" s="10">
        <f t="shared" ref="B4:E4" si="3">RANDBETWEEN(500,5000)</f>
        <v>2116</v>
      </c>
      <c r="C4" s="10">
        <f t="shared" si="3"/>
        <v>2971</v>
      </c>
      <c r="D4" s="10">
        <f t="shared" si="3"/>
        <v>1375</v>
      </c>
      <c r="E4" s="10">
        <f t="shared" si="3"/>
        <v>578</v>
      </c>
    </row>
    <row r="5">
      <c r="A5" s="4">
        <v>46207.0</v>
      </c>
      <c r="B5" s="10">
        <f t="shared" ref="B5:E5" si="4">RANDBETWEEN(500,5000)</f>
        <v>2982</v>
      </c>
      <c r="C5" s="10">
        <f t="shared" si="4"/>
        <v>4678</v>
      </c>
      <c r="D5" s="10">
        <f t="shared" si="4"/>
        <v>4450</v>
      </c>
      <c r="E5" s="10">
        <f t="shared" si="4"/>
        <v>2300</v>
      </c>
    </row>
    <row r="6">
      <c r="A6" s="4">
        <v>46208.0</v>
      </c>
      <c r="B6" s="10">
        <f t="shared" ref="B6:E6" si="5">RANDBETWEEN(500,5000)</f>
        <v>1344</v>
      </c>
      <c r="C6" s="10">
        <f t="shared" si="5"/>
        <v>4014</v>
      </c>
      <c r="D6" s="10">
        <f t="shared" si="5"/>
        <v>2817</v>
      </c>
      <c r="E6" s="10">
        <f t="shared" si="5"/>
        <v>2777</v>
      </c>
    </row>
    <row r="7">
      <c r="A7" s="4">
        <v>46209.0</v>
      </c>
      <c r="B7" s="10">
        <f t="shared" ref="B7:E7" si="6">RANDBETWEEN(500,5000)</f>
        <v>2715</v>
      </c>
      <c r="C7" s="10">
        <f t="shared" si="6"/>
        <v>1867</v>
      </c>
      <c r="D7" s="10">
        <f t="shared" si="6"/>
        <v>4819</v>
      </c>
      <c r="E7" s="10">
        <f t="shared" si="6"/>
        <v>2794</v>
      </c>
    </row>
    <row r="8">
      <c r="A8" s="4">
        <v>46210.0</v>
      </c>
      <c r="B8" s="10">
        <f t="shared" ref="B8:E8" si="7">RANDBETWEEN(500,5000)</f>
        <v>4885</v>
      </c>
      <c r="C8" s="10">
        <f t="shared" si="7"/>
        <v>1419</v>
      </c>
      <c r="D8" s="10">
        <f t="shared" si="7"/>
        <v>2106</v>
      </c>
      <c r="E8" s="10">
        <f t="shared" si="7"/>
        <v>4413</v>
      </c>
    </row>
    <row r="9">
      <c r="A9" s="4">
        <v>46211.0</v>
      </c>
      <c r="B9" s="10">
        <f t="shared" ref="B9:E9" si="8">RANDBETWEEN(500,5000)</f>
        <v>3250</v>
      </c>
      <c r="C9" s="10">
        <f t="shared" si="8"/>
        <v>3421</v>
      </c>
      <c r="D9" s="10">
        <f t="shared" si="8"/>
        <v>3202</v>
      </c>
      <c r="E9" s="10">
        <f t="shared" si="8"/>
        <v>4089</v>
      </c>
    </row>
    <row r="10">
      <c r="A10" s="4">
        <v>46212.0</v>
      </c>
      <c r="B10" s="10">
        <f t="shared" ref="B10:E10" si="9">RANDBETWEEN(500,5000)</f>
        <v>1706</v>
      </c>
      <c r="C10" s="10">
        <f t="shared" si="9"/>
        <v>4493</v>
      </c>
      <c r="D10" s="10">
        <f t="shared" si="9"/>
        <v>4216</v>
      </c>
      <c r="E10" s="10">
        <f t="shared" si="9"/>
        <v>1555</v>
      </c>
    </row>
    <row r="11">
      <c r="A11" s="4">
        <v>46213.0</v>
      </c>
      <c r="B11" s="10">
        <f t="shared" ref="B11:E11" si="10">RANDBETWEEN(500,5000)</f>
        <v>3178</v>
      </c>
      <c r="C11" s="10">
        <f t="shared" si="10"/>
        <v>2019</v>
      </c>
      <c r="D11" s="10">
        <f t="shared" si="10"/>
        <v>3521</v>
      </c>
      <c r="E11" s="10">
        <f t="shared" si="10"/>
        <v>1875</v>
      </c>
    </row>
    <row r="12">
      <c r="A12" s="4">
        <v>46214.0</v>
      </c>
      <c r="B12" s="10">
        <f t="shared" ref="B12:E12" si="11">RANDBETWEEN(500,5000)</f>
        <v>3289</v>
      </c>
      <c r="C12" s="10">
        <f t="shared" si="11"/>
        <v>1130</v>
      </c>
      <c r="D12" s="10">
        <f t="shared" si="11"/>
        <v>2388</v>
      </c>
      <c r="E12" s="10">
        <f t="shared" si="11"/>
        <v>4725</v>
      </c>
    </row>
    <row r="13">
      <c r="A13" s="4">
        <v>46215.0</v>
      </c>
      <c r="B13" s="10">
        <f t="shared" ref="B13:E13" si="12">RANDBETWEEN(500,5000)</f>
        <v>3347</v>
      </c>
      <c r="C13" s="10">
        <f t="shared" si="12"/>
        <v>2766</v>
      </c>
      <c r="D13" s="10">
        <f t="shared" si="12"/>
        <v>567</v>
      </c>
      <c r="E13" s="10">
        <f t="shared" si="12"/>
        <v>3641</v>
      </c>
    </row>
    <row r="14">
      <c r="A14" s="4">
        <v>46216.0</v>
      </c>
      <c r="B14" s="10">
        <f t="shared" ref="B14:E14" si="13">RANDBETWEEN(500,5000)</f>
        <v>1295</v>
      </c>
      <c r="C14" s="10">
        <f t="shared" si="13"/>
        <v>640</v>
      </c>
      <c r="D14" s="10">
        <f t="shared" si="13"/>
        <v>3431</v>
      </c>
      <c r="E14" s="10">
        <f t="shared" si="13"/>
        <v>1665</v>
      </c>
    </row>
    <row r="15">
      <c r="A15" s="4">
        <v>46217.0</v>
      </c>
      <c r="B15" s="10">
        <f t="shared" ref="B15:E15" si="14">RANDBETWEEN(500,5000)</f>
        <v>1064</v>
      </c>
      <c r="C15" s="10">
        <f t="shared" si="14"/>
        <v>5000</v>
      </c>
      <c r="D15" s="10">
        <f t="shared" si="14"/>
        <v>1431</v>
      </c>
      <c r="E15" s="10">
        <f t="shared" si="14"/>
        <v>2064</v>
      </c>
    </row>
    <row r="16">
      <c r="A16" s="4">
        <v>46218.0</v>
      </c>
      <c r="B16" s="10">
        <f t="shared" ref="B16:E16" si="15">RANDBETWEEN(500,5000)</f>
        <v>3597</v>
      </c>
      <c r="C16" s="10">
        <f t="shared" si="15"/>
        <v>1798</v>
      </c>
      <c r="D16" s="10">
        <f t="shared" si="15"/>
        <v>3550</v>
      </c>
      <c r="E16" s="10">
        <f t="shared" si="15"/>
        <v>2540</v>
      </c>
    </row>
    <row r="17">
      <c r="A17" s="4">
        <v>46219.0</v>
      </c>
      <c r="B17" s="10">
        <f t="shared" ref="B17:E17" si="16">RANDBETWEEN(500,5000)</f>
        <v>4674</v>
      </c>
      <c r="C17" s="10">
        <f t="shared" si="16"/>
        <v>2293</v>
      </c>
      <c r="D17" s="10">
        <f t="shared" si="16"/>
        <v>708</v>
      </c>
      <c r="E17" s="10">
        <f t="shared" si="16"/>
        <v>4223</v>
      </c>
    </row>
    <row r="18">
      <c r="A18" s="4">
        <v>46220.0</v>
      </c>
      <c r="B18" s="10">
        <f t="shared" ref="B18:E18" si="17">RANDBETWEEN(500,5000)</f>
        <v>2184</v>
      </c>
      <c r="C18" s="10">
        <f t="shared" si="17"/>
        <v>2876</v>
      </c>
      <c r="D18" s="10">
        <f t="shared" si="17"/>
        <v>2697</v>
      </c>
      <c r="E18" s="10">
        <f t="shared" si="17"/>
        <v>3586</v>
      </c>
    </row>
    <row r="19">
      <c r="A19" s="4">
        <v>46221.0</v>
      </c>
      <c r="B19" s="10">
        <f t="shared" ref="B19:E19" si="18">RANDBETWEEN(500,5000)</f>
        <v>2682</v>
      </c>
      <c r="C19" s="10">
        <f t="shared" si="18"/>
        <v>4842</v>
      </c>
      <c r="D19" s="10">
        <f t="shared" si="18"/>
        <v>1671</v>
      </c>
      <c r="E19" s="10">
        <f t="shared" si="18"/>
        <v>1397</v>
      </c>
    </row>
    <row r="20">
      <c r="A20" s="4">
        <v>46222.0</v>
      </c>
      <c r="B20" s="10">
        <f t="shared" ref="B20:E20" si="19">RANDBETWEEN(500,5000)</f>
        <v>2400</v>
      </c>
      <c r="C20" s="10">
        <f t="shared" si="19"/>
        <v>1620</v>
      </c>
      <c r="D20" s="10">
        <f t="shared" si="19"/>
        <v>1974</v>
      </c>
      <c r="E20" s="10">
        <f t="shared" si="19"/>
        <v>3747</v>
      </c>
    </row>
    <row r="21" ht="15.75" customHeight="1">
      <c r="A21" s="4">
        <v>46223.0</v>
      </c>
      <c r="B21" s="10">
        <f t="shared" ref="B21:E21" si="20">RANDBETWEEN(500,5000)</f>
        <v>2750</v>
      </c>
      <c r="C21" s="10">
        <f t="shared" si="20"/>
        <v>850</v>
      </c>
      <c r="D21" s="10">
        <f t="shared" si="20"/>
        <v>1057</v>
      </c>
      <c r="E21" s="10">
        <f t="shared" si="20"/>
        <v>1960</v>
      </c>
    </row>
    <row r="22" ht="15.75" customHeight="1">
      <c r="A22" s="4">
        <v>46224.0</v>
      </c>
      <c r="B22" s="10">
        <f t="shared" ref="B22:E22" si="21">RANDBETWEEN(500,5000)</f>
        <v>2045</v>
      </c>
      <c r="C22" s="10">
        <f t="shared" si="21"/>
        <v>1245</v>
      </c>
      <c r="D22" s="10">
        <f t="shared" si="21"/>
        <v>2760</v>
      </c>
      <c r="E22" s="10">
        <f t="shared" si="21"/>
        <v>3403</v>
      </c>
    </row>
    <row r="23" ht="15.75" customHeight="1">
      <c r="A23" s="4">
        <v>46225.0</v>
      </c>
      <c r="B23" s="10">
        <f t="shared" ref="B23:E23" si="22">RANDBETWEEN(500,5000)</f>
        <v>1289</v>
      </c>
      <c r="C23" s="10">
        <f t="shared" si="22"/>
        <v>1247</v>
      </c>
      <c r="D23" s="10">
        <f t="shared" si="22"/>
        <v>1538</v>
      </c>
      <c r="E23" s="10">
        <f t="shared" si="22"/>
        <v>4168</v>
      </c>
    </row>
    <row r="24" ht="15.75" customHeight="1">
      <c r="A24" s="4">
        <v>46226.0</v>
      </c>
      <c r="B24" s="10">
        <f t="shared" ref="B24:E24" si="23">RANDBETWEEN(500,5000)</f>
        <v>3336</v>
      </c>
      <c r="C24" s="10">
        <f t="shared" si="23"/>
        <v>776</v>
      </c>
      <c r="D24" s="10">
        <f t="shared" si="23"/>
        <v>4371</v>
      </c>
      <c r="E24" s="10">
        <f t="shared" si="23"/>
        <v>1516</v>
      </c>
    </row>
    <row r="25" ht="15.75" customHeight="1">
      <c r="A25" s="4">
        <v>46227.0</v>
      </c>
      <c r="B25" s="10">
        <f t="shared" ref="B25:E25" si="24">RANDBETWEEN(500,5000)</f>
        <v>3536</v>
      </c>
      <c r="C25" s="10">
        <f t="shared" si="24"/>
        <v>2827</v>
      </c>
      <c r="D25" s="10">
        <f t="shared" si="24"/>
        <v>4670</v>
      </c>
      <c r="E25" s="10">
        <f t="shared" si="24"/>
        <v>4341</v>
      </c>
    </row>
    <row r="26" ht="15.75" customHeight="1">
      <c r="A26" s="4">
        <v>46228.0</v>
      </c>
      <c r="B26" s="10">
        <f t="shared" ref="B26:E26" si="25">RANDBETWEEN(500,5000)</f>
        <v>1929</v>
      </c>
      <c r="C26" s="10">
        <f t="shared" si="25"/>
        <v>3324</v>
      </c>
      <c r="D26" s="10">
        <f t="shared" si="25"/>
        <v>2559</v>
      </c>
      <c r="E26" s="10">
        <f t="shared" si="25"/>
        <v>4697</v>
      </c>
    </row>
    <row r="27" ht="15.75" customHeight="1">
      <c r="A27" s="4">
        <v>46229.0</v>
      </c>
      <c r="B27" s="10">
        <f t="shared" ref="B27:E27" si="26">RANDBETWEEN(500,5000)</f>
        <v>4583</v>
      </c>
      <c r="C27" s="10">
        <f t="shared" si="26"/>
        <v>1926</v>
      </c>
      <c r="D27" s="10">
        <f t="shared" si="26"/>
        <v>3292</v>
      </c>
      <c r="E27" s="10">
        <f t="shared" si="26"/>
        <v>2190</v>
      </c>
    </row>
    <row r="28" ht="15.75" customHeight="1">
      <c r="A28" s="4">
        <v>46230.0</v>
      </c>
      <c r="B28" s="10">
        <f t="shared" ref="B28:E28" si="27">RANDBETWEEN(500,5000)</f>
        <v>1227</v>
      </c>
      <c r="C28" s="10">
        <f t="shared" si="27"/>
        <v>2494</v>
      </c>
      <c r="D28" s="10">
        <f t="shared" si="27"/>
        <v>4869</v>
      </c>
      <c r="E28" s="10">
        <f t="shared" si="27"/>
        <v>4383</v>
      </c>
    </row>
    <row r="29" ht="15.75" customHeight="1">
      <c r="A29" s="4">
        <v>46231.0</v>
      </c>
      <c r="B29" s="10">
        <f t="shared" ref="B29:E29" si="28">RANDBETWEEN(500,5000)</f>
        <v>3680</v>
      </c>
      <c r="C29" s="10">
        <f t="shared" si="28"/>
        <v>4035</v>
      </c>
      <c r="D29" s="10">
        <f t="shared" si="28"/>
        <v>2546</v>
      </c>
      <c r="E29" s="10">
        <f t="shared" si="28"/>
        <v>4246</v>
      </c>
    </row>
    <row r="30" ht="15.75" customHeight="1">
      <c r="A30" s="4">
        <v>46232.0</v>
      </c>
      <c r="B30" s="10">
        <f t="shared" ref="B30:E30" si="29">RANDBETWEEN(500,5000)</f>
        <v>2052</v>
      </c>
      <c r="C30" s="10">
        <f t="shared" si="29"/>
        <v>4767</v>
      </c>
      <c r="D30" s="10">
        <f t="shared" si="29"/>
        <v>3180</v>
      </c>
      <c r="E30" s="10">
        <f t="shared" si="29"/>
        <v>2242</v>
      </c>
    </row>
    <row r="31" ht="15.75" customHeight="1">
      <c r="A31" s="4">
        <v>46233.0</v>
      </c>
      <c r="B31" s="10">
        <f t="shared" ref="B31:E31" si="30">RANDBETWEEN(500,5000)</f>
        <v>4262</v>
      </c>
      <c r="C31" s="10">
        <f t="shared" si="30"/>
        <v>4951</v>
      </c>
      <c r="D31" s="10">
        <f t="shared" si="30"/>
        <v>2435</v>
      </c>
      <c r="E31" s="10">
        <f t="shared" si="30"/>
        <v>858</v>
      </c>
    </row>
    <row r="32" ht="15.75" customHeight="1">
      <c r="A32" s="4">
        <v>46234.0</v>
      </c>
      <c r="B32" s="10">
        <f t="shared" ref="B32:E32" si="31">RANDBETWEEN(500,5000)</f>
        <v>1756</v>
      </c>
      <c r="C32" s="10">
        <f t="shared" si="31"/>
        <v>3240</v>
      </c>
      <c r="D32" s="10">
        <f t="shared" si="31"/>
        <v>3396</v>
      </c>
      <c r="E32" s="10">
        <f t="shared" si="31"/>
        <v>4641</v>
      </c>
    </row>
    <row r="33" ht="15.75" customHeight="1">
      <c r="A33" s="4">
        <v>46235.0</v>
      </c>
      <c r="B33" s="10">
        <f t="shared" ref="B33:E33" si="32">RANDBETWEEN(500,5000)</f>
        <v>1776</v>
      </c>
      <c r="C33" s="10">
        <f t="shared" si="32"/>
        <v>3890</v>
      </c>
      <c r="D33" s="10">
        <f t="shared" si="32"/>
        <v>4447</v>
      </c>
      <c r="E33" s="10">
        <f t="shared" si="32"/>
        <v>3976</v>
      </c>
    </row>
    <row r="34" ht="15.75" customHeight="1">
      <c r="A34" s="4">
        <v>46236.0</v>
      </c>
      <c r="B34" s="10">
        <f t="shared" ref="B34:E34" si="33">RANDBETWEEN(500,5000)</f>
        <v>1626</v>
      </c>
      <c r="C34" s="10">
        <f t="shared" si="33"/>
        <v>2681</v>
      </c>
      <c r="D34" s="10">
        <f t="shared" si="33"/>
        <v>620</v>
      </c>
      <c r="E34" s="10">
        <f t="shared" si="33"/>
        <v>3602</v>
      </c>
    </row>
    <row r="35" ht="15.75" customHeight="1">
      <c r="A35" s="4">
        <v>46237.0</v>
      </c>
      <c r="B35" s="10">
        <f t="shared" ref="B35:E35" si="34">RANDBETWEEN(500,5000)</f>
        <v>731</v>
      </c>
      <c r="C35" s="10">
        <f t="shared" si="34"/>
        <v>2521</v>
      </c>
      <c r="D35" s="10">
        <f t="shared" si="34"/>
        <v>820</v>
      </c>
      <c r="E35" s="10">
        <f t="shared" si="34"/>
        <v>4181</v>
      </c>
    </row>
    <row r="36" ht="15.75" customHeight="1">
      <c r="A36" s="4">
        <v>46238.0</v>
      </c>
      <c r="B36" s="10">
        <f t="shared" ref="B36:E36" si="35">RANDBETWEEN(500,5000)</f>
        <v>1144</v>
      </c>
      <c r="C36" s="10">
        <f t="shared" si="35"/>
        <v>3293</v>
      </c>
      <c r="D36" s="10">
        <f t="shared" si="35"/>
        <v>4334</v>
      </c>
      <c r="E36" s="10">
        <f t="shared" si="35"/>
        <v>2387</v>
      </c>
    </row>
    <row r="37" ht="15.75" customHeight="1">
      <c r="A37" s="4">
        <v>46239.0</v>
      </c>
      <c r="B37" s="10">
        <f t="shared" ref="B37:E37" si="36">RANDBETWEEN(500,5000)</f>
        <v>675</v>
      </c>
      <c r="C37" s="10">
        <f t="shared" si="36"/>
        <v>2050</v>
      </c>
      <c r="D37" s="10">
        <f t="shared" si="36"/>
        <v>1750</v>
      </c>
      <c r="E37" s="10">
        <f t="shared" si="36"/>
        <v>548</v>
      </c>
    </row>
    <row r="38" ht="15.75" customHeight="1">
      <c r="A38" s="4">
        <v>46240.0</v>
      </c>
      <c r="B38" s="10">
        <f t="shared" ref="B38:E38" si="37">RANDBETWEEN(500,5000)</f>
        <v>1480</v>
      </c>
      <c r="C38" s="10">
        <f t="shared" si="37"/>
        <v>2872</v>
      </c>
      <c r="D38" s="10">
        <f t="shared" si="37"/>
        <v>3089</v>
      </c>
      <c r="E38" s="10">
        <f t="shared" si="37"/>
        <v>3313</v>
      </c>
    </row>
    <row r="39" ht="15.75" customHeight="1">
      <c r="A39" s="4">
        <v>46241.0</v>
      </c>
      <c r="B39" s="10">
        <f t="shared" ref="B39:E39" si="38">RANDBETWEEN(500,5000)</f>
        <v>4345</v>
      </c>
      <c r="C39" s="10">
        <f t="shared" si="38"/>
        <v>3855</v>
      </c>
      <c r="D39" s="10">
        <f t="shared" si="38"/>
        <v>3642</v>
      </c>
      <c r="E39" s="10">
        <f t="shared" si="38"/>
        <v>2349</v>
      </c>
    </row>
    <row r="40" ht="15.75" customHeight="1">
      <c r="A40" s="4">
        <v>46242.0</v>
      </c>
      <c r="B40" s="10">
        <f t="shared" ref="B40:E40" si="39">RANDBETWEEN(500,5000)</f>
        <v>1020</v>
      </c>
      <c r="C40" s="10">
        <f t="shared" si="39"/>
        <v>4650</v>
      </c>
      <c r="D40" s="10">
        <f t="shared" si="39"/>
        <v>2947</v>
      </c>
      <c r="E40" s="10">
        <f t="shared" si="39"/>
        <v>2259</v>
      </c>
    </row>
    <row r="41" ht="15.75" customHeight="1">
      <c r="A41" s="4">
        <v>46243.0</v>
      </c>
      <c r="B41" s="10">
        <f t="shared" ref="B41:E41" si="40">RANDBETWEEN(500,5000)</f>
        <v>832</v>
      </c>
      <c r="C41" s="10">
        <f t="shared" si="40"/>
        <v>2823</v>
      </c>
      <c r="D41" s="10">
        <f t="shared" si="40"/>
        <v>4000</v>
      </c>
      <c r="E41" s="10">
        <f t="shared" si="40"/>
        <v>3074</v>
      </c>
    </row>
    <row r="42" ht="15.75" customHeight="1">
      <c r="A42" s="4">
        <v>46244.0</v>
      </c>
      <c r="B42" s="10">
        <f t="shared" ref="B42:E42" si="41">RANDBETWEEN(500,5000)</f>
        <v>4054</v>
      </c>
      <c r="C42" s="10">
        <f t="shared" si="41"/>
        <v>3764</v>
      </c>
      <c r="D42" s="10">
        <f t="shared" si="41"/>
        <v>1874</v>
      </c>
      <c r="E42" s="10">
        <f t="shared" si="41"/>
        <v>3352</v>
      </c>
    </row>
    <row r="43" ht="15.75" customHeight="1">
      <c r="A43" s="4">
        <v>46245.0</v>
      </c>
      <c r="B43" s="10">
        <f t="shared" ref="B43:E43" si="42">RANDBETWEEN(500,5000)</f>
        <v>4727</v>
      </c>
      <c r="C43" s="10">
        <f t="shared" si="42"/>
        <v>2537</v>
      </c>
      <c r="D43" s="10">
        <f t="shared" si="42"/>
        <v>2348</v>
      </c>
      <c r="E43" s="10">
        <f t="shared" si="42"/>
        <v>2699</v>
      </c>
    </row>
    <row r="44" ht="15.75" customHeight="1">
      <c r="A44" s="4">
        <v>46246.0</v>
      </c>
      <c r="B44" s="10">
        <f t="shared" ref="B44:E44" si="43">RANDBETWEEN(500,5000)</f>
        <v>2694</v>
      </c>
      <c r="C44" s="10">
        <f t="shared" si="43"/>
        <v>2113</v>
      </c>
      <c r="D44" s="10">
        <f t="shared" si="43"/>
        <v>1293</v>
      </c>
      <c r="E44" s="10">
        <f t="shared" si="43"/>
        <v>2741</v>
      </c>
    </row>
    <row r="45" ht="15.75" customHeight="1">
      <c r="A45" s="4">
        <v>46247.0</v>
      </c>
      <c r="B45" s="10">
        <f t="shared" ref="B45:E45" si="44">RANDBETWEEN(500,5000)</f>
        <v>527</v>
      </c>
      <c r="C45" s="10">
        <f t="shared" si="44"/>
        <v>4012</v>
      </c>
      <c r="D45" s="10">
        <f t="shared" si="44"/>
        <v>2719</v>
      </c>
      <c r="E45" s="10">
        <f t="shared" si="44"/>
        <v>2748</v>
      </c>
    </row>
    <row r="46" ht="15.75" customHeight="1">
      <c r="A46" s="4">
        <v>46248.0</v>
      </c>
      <c r="B46" s="10">
        <f t="shared" ref="B46:E46" si="45">RANDBETWEEN(500,5000)</f>
        <v>685</v>
      </c>
      <c r="C46" s="10">
        <f t="shared" si="45"/>
        <v>4870</v>
      </c>
      <c r="D46" s="10">
        <f t="shared" si="45"/>
        <v>1179</v>
      </c>
      <c r="E46" s="10">
        <f t="shared" si="45"/>
        <v>3349</v>
      </c>
    </row>
    <row r="47" ht="15.75" customHeight="1">
      <c r="A47" s="4">
        <v>46249.0</v>
      </c>
      <c r="B47" s="10">
        <f t="shared" ref="B47:E47" si="46">RANDBETWEEN(500,5000)</f>
        <v>1952</v>
      </c>
      <c r="C47" s="10">
        <f t="shared" si="46"/>
        <v>916</v>
      </c>
      <c r="D47" s="10">
        <f t="shared" si="46"/>
        <v>2634</v>
      </c>
      <c r="E47" s="10">
        <f t="shared" si="46"/>
        <v>1211</v>
      </c>
    </row>
    <row r="48" ht="15.75" customHeight="1">
      <c r="A48" s="4">
        <v>46250.0</v>
      </c>
      <c r="B48" s="10">
        <f t="shared" ref="B48:E48" si="47">RANDBETWEEN(500,5000)</f>
        <v>2891</v>
      </c>
      <c r="C48" s="10">
        <f t="shared" si="47"/>
        <v>2780</v>
      </c>
      <c r="D48" s="10">
        <f t="shared" si="47"/>
        <v>950</v>
      </c>
      <c r="E48" s="10">
        <f t="shared" si="47"/>
        <v>1336</v>
      </c>
    </row>
    <row r="49" ht="15.75" customHeight="1">
      <c r="A49" s="4">
        <v>46251.0</v>
      </c>
      <c r="B49" s="10">
        <f t="shared" ref="B49:E49" si="48">RANDBETWEEN(500,5000)</f>
        <v>1663</v>
      </c>
      <c r="C49" s="10">
        <f t="shared" si="48"/>
        <v>4489</v>
      </c>
      <c r="D49" s="10">
        <f t="shared" si="48"/>
        <v>2546</v>
      </c>
      <c r="E49" s="10">
        <f t="shared" si="48"/>
        <v>3928</v>
      </c>
    </row>
    <row r="50" ht="15.75" customHeight="1">
      <c r="A50" s="4">
        <v>46252.0</v>
      </c>
      <c r="B50" s="10">
        <f t="shared" ref="B50:E50" si="49">RANDBETWEEN(500,5000)</f>
        <v>3110</v>
      </c>
      <c r="C50" s="10">
        <f t="shared" si="49"/>
        <v>1543</v>
      </c>
      <c r="D50" s="10">
        <f t="shared" si="49"/>
        <v>1240</v>
      </c>
      <c r="E50" s="10">
        <f t="shared" si="49"/>
        <v>3644</v>
      </c>
    </row>
    <row r="51" ht="15.75" customHeight="1">
      <c r="A51" s="4">
        <v>46253.0</v>
      </c>
      <c r="B51" s="10">
        <f t="shared" ref="B51:E51" si="50">RANDBETWEEN(500,5000)</f>
        <v>3902</v>
      </c>
      <c r="C51" s="10">
        <f t="shared" si="50"/>
        <v>2662</v>
      </c>
      <c r="D51" s="10">
        <f t="shared" si="50"/>
        <v>3044</v>
      </c>
      <c r="E51" s="10">
        <f t="shared" si="50"/>
        <v>1883</v>
      </c>
    </row>
    <row r="52" ht="15.75" customHeight="1">
      <c r="A52" s="4">
        <v>46254.0</v>
      </c>
      <c r="B52" s="10">
        <f t="shared" ref="B52:E52" si="51">RANDBETWEEN(500,5000)</f>
        <v>2719</v>
      </c>
      <c r="C52" s="10">
        <f t="shared" si="51"/>
        <v>3156</v>
      </c>
      <c r="D52" s="10">
        <f t="shared" si="51"/>
        <v>2801</v>
      </c>
      <c r="E52" s="10">
        <f t="shared" si="51"/>
        <v>1327</v>
      </c>
    </row>
    <row r="53" ht="15.75" customHeight="1">
      <c r="A53" s="4">
        <v>46255.0</v>
      </c>
      <c r="B53" s="10">
        <f t="shared" ref="B53:E53" si="52">RANDBETWEEN(500,5000)</f>
        <v>1084</v>
      </c>
      <c r="C53" s="10">
        <f t="shared" si="52"/>
        <v>1503</v>
      </c>
      <c r="D53" s="10">
        <f t="shared" si="52"/>
        <v>4619</v>
      </c>
      <c r="E53" s="10">
        <f t="shared" si="52"/>
        <v>3900</v>
      </c>
    </row>
    <row r="54" ht="15.75" customHeight="1">
      <c r="A54" s="4">
        <v>46256.0</v>
      </c>
      <c r="B54" s="10">
        <f t="shared" ref="B54:E54" si="53">RANDBETWEEN(500,5000)</f>
        <v>4099</v>
      </c>
      <c r="C54" s="10">
        <f t="shared" si="53"/>
        <v>986</v>
      </c>
      <c r="D54" s="10">
        <f t="shared" si="53"/>
        <v>4607</v>
      </c>
      <c r="E54" s="10">
        <f t="shared" si="53"/>
        <v>1245</v>
      </c>
    </row>
    <row r="55" ht="15.75" customHeight="1">
      <c r="A55" s="4">
        <v>46257.0</v>
      </c>
      <c r="B55" s="10">
        <f t="shared" ref="B55:E55" si="54">RANDBETWEEN(500,5000)</f>
        <v>2278</v>
      </c>
      <c r="C55" s="10">
        <f t="shared" si="54"/>
        <v>1224</v>
      </c>
      <c r="D55" s="10">
        <f t="shared" si="54"/>
        <v>765</v>
      </c>
      <c r="E55" s="10">
        <f t="shared" si="54"/>
        <v>4027</v>
      </c>
    </row>
    <row r="56" ht="15.75" customHeight="1">
      <c r="A56" s="4">
        <v>46258.0</v>
      </c>
      <c r="B56" s="10">
        <f t="shared" ref="B56:E56" si="55">RANDBETWEEN(500,5000)</f>
        <v>1626</v>
      </c>
      <c r="C56" s="10">
        <f t="shared" si="55"/>
        <v>3188</v>
      </c>
      <c r="D56" s="10">
        <f t="shared" si="55"/>
        <v>2858</v>
      </c>
      <c r="E56" s="10">
        <f t="shared" si="55"/>
        <v>3951</v>
      </c>
    </row>
    <row r="57" ht="15.75" customHeight="1">
      <c r="A57" s="4">
        <v>46259.0</v>
      </c>
      <c r="B57" s="10">
        <f t="shared" ref="B57:E57" si="56">RANDBETWEEN(500,5000)</f>
        <v>3636</v>
      </c>
      <c r="C57" s="10">
        <f t="shared" si="56"/>
        <v>3253</v>
      </c>
      <c r="D57" s="10">
        <f t="shared" si="56"/>
        <v>2492</v>
      </c>
      <c r="E57" s="10">
        <f t="shared" si="56"/>
        <v>2775</v>
      </c>
    </row>
    <row r="58" ht="15.75" customHeight="1">
      <c r="A58" s="4">
        <v>46260.0</v>
      </c>
      <c r="B58" s="10">
        <f t="shared" ref="B58:E58" si="57">RANDBETWEEN(500,5000)</f>
        <v>2805</v>
      </c>
      <c r="C58" s="10">
        <f t="shared" si="57"/>
        <v>3030</v>
      </c>
      <c r="D58" s="10">
        <f t="shared" si="57"/>
        <v>2525</v>
      </c>
      <c r="E58" s="10">
        <f t="shared" si="57"/>
        <v>1002</v>
      </c>
    </row>
    <row r="59" ht="15.75" customHeight="1">
      <c r="A59" s="4">
        <v>46261.0</v>
      </c>
      <c r="B59" s="10">
        <f t="shared" ref="B59:E59" si="58">RANDBETWEEN(500,5000)</f>
        <v>3684</v>
      </c>
      <c r="C59" s="10">
        <f t="shared" si="58"/>
        <v>3422</v>
      </c>
      <c r="D59" s="10">
        <f t="shared" si="58"/>
        <v>2954</v>
      </c>
      <c r="E59" s="10">
        <f t="shared" si="58"/>
        <v>3626</v>
      </c>
    </row>
    <row r="60" ht="15.75" customHeight="1">
      <c r="A60" s="4">
        <v>46262.0</v>
      </c>
      <c r="B60" s="10">
        <f t="shared" ref="B60:E60" si="59">RANDBETWEEN(500,5000)</f>
        <v>4463</v>
      </c>
      <c r="C60" s="10">
        <f t="shared" si="59"/>
        <v>2660</v>
      </c>
      <c r="D60" s="10">
        <f t="shared" si="59"/>
        <v>1210</v>
      </c>
      <c r="E60" s="10">
        <f t="shared" si="59"/>
        <v>3406</v>
      </c>
    </row>
    <row r="61" ht="15.75" customHeight="1">
      <c r="A61" s="4">
        <v>46263.0</v>
      </c>
      <c r="B61" s="10">
        <f t="shared" ref="B61:E61" si="60">RANDBETWEEN(500,5000)</f>
        <v>3848</v>
      </c>
      <c r="C61" s="10">
        <f t="shared" si="60"/>
        <v>2405</v>
      </c>
      <c r="D61" s="10">
        <f t="shared" si="60"/>
        <v>4166</v>
      </c>
      <c r="E61" s="10">
        <f t="shared" si="60"/>
        <v>4507</v>
      </c>
    </row>
    <row r="62" ht="15.75" customHeight="1">
      <c r="A62" s="4">
        <v>46264.0</v>
      </c>
      <c r="B62" s="10">
        <f t="shared" ref="B62:E62" si="61">RANDBETWEEN(500,5000)</f>
        <v>3555</v>
      </c>
      <c r="C62" s="10">
        <f t="shared" si="61"/>
        <v>2061</v>
      </c>
      <c r="D62" s="10">
        <f t="shared" si="61"/>
        <v>1070</v>
      </c>
      <c r="E62" s="10">
        <f t="shared" si="61"/>
        <v>4942</v>
      </c>
    </row>
    <row r="63" ht="15.75" customHeight="1">
      <c r="A63" s="4">
        <v>46265.0</v>
      </c>
      <c r="B63" s="10">
        <f t="shared" ref="B63:E63" si="62">RANDBETWEEN(500,5000)</f>
        <v>4765</v>
      </c>
      <c r="C63" s="10">
        <f t="shared" si="62"/>
        <v>2360</v>
      </c>
      <c r="D63" s="10">
        <f t="shared" si="62"/>
        <v>903</v>
      </c>
      <c r="E63" s="10">
        <f t="shared" si="62"/>
        <v>4012</v>
      </c>
    </row>
    <row r="64" ht="15.75" customHeight="1">
      <c r="A64" s="4">
        <v>46266.0</v>
      </c>
      <c r="B64" s="10">
        <f t="shared" ref="B64:E64" si="63">RANDBETWEEN(500,5000)</f>
        <v>1929</v>
      </c>
      <c r="C64" s="10">
        <f t="shared" si="63"/>
        <v>2606</v>
      </c>
      <c r="D64" s="10">
        <f t="shared" si="63"/>
        <v>3552</v>
      </c>
      <c r="E64" s="10">
        <f t="shared" si="63"/>
        <v>3857</v>
      </c>
    </row>
    <row r="65" ht="15.75" customHeight="1">
      <c r="A65" s="4">
        <v>46267.0</v>
      </c>
      <c r="B65" s="10">
        <f t="shared" ref="B65:E65" si="64">RANDBETWEEN(500,5000)</f>
        <v>3779</v>
      </c>
      <c r="C65" s="10">
        <f t="shared" si="64"/>
        <v>2153</v>
      </c>
      <c r="D65" s="10">
        <f t="shared" si="64"/>
        <v>560</v>
      </c>
      <c r="E65" s="10">
        <f t="shared" si="64"/>
        <v>3240</v>
      </c>
    </row>
    <row r="66" ht="15.75" customHeight="1">
      <c r="A66" s="4">
        <v>46268.0</v>
      </c>
      <c r="B66" s="10">
        <f t="shared" ref="B66:E66" si="65">RANDBETWEEN(500,5000)</f>
        <v>2612</v>
      </c>
      <c r="C66" s="10">
        <f t="shared" si="65"/>
        <v>1197</v>
      </c>
      <c r="D66" s="10">
        <f t="shared" si="65"/>
        <v>1409</v>
      </c>
      <c r="E66" s="10">
        <f t="shared" si="65"/>
        <v>2134</v>
      </c>
    </row>
    <row r="67" ht="15.75" customHeight="1">
      <c r="A67" s="4">
        <v>46269.0</v>
      </c>
      <c r="B67" s="10">
        <f t="shared" ref="B67:E67" si="66">RANDBETWEEN(500,5000)</f>
        <v>723</v>
      </c>
      <c r="C67" s="10">
        <f t="shared" si="66"/>
        <v>2319</v>
      </c>
      <c r="D67" s="10">
        <f t="shared" si="66"/>
        <v>1518</v>
      </c>
      <c r="E67" s="10">
        <f t="shared" si="66"/>
        <v>1105</v>
      </c>
    </row>
    <row r="68" ht="15.75" customHeight="1">
      <c r="A68" s="4">
        <v>46270.0</v>
      </c>
      <c r="B68" s="10">
        <f t="shared" ref="B68:E68" si="67">RANDBETWEEN(500,5000)</f>
        <v>3192</v>
      </c>
      <c r="C68" s="10">
        <f t="shared" si="67"/>
        <v>3218</v>
      </c>
      <c r="D68" s="10">
        <f t="shared" si="67"/>
        <v>4006</v>
      </c>
      <c r="E68" s="10">
        <f t="shared" si="67"/>
        <v>2338</v>
      </c>
    </row>
    <row r="69" ht="15.75" customHeight="1">
      <c r="A69" s="4">
        <v>46271.0</v>
      </c>
      <c r="B69" s="10">
        <f t="shared" ref="B69:E69" si="68">RANDBETWEEN(500,5000)</f>
        <v>1662</v>
      </c>
      <c r="C69" s="10">
        <f t="shared" si="68"/>
        <v>4477</v>
      </c>
      <c r="D69" s="10">
        <f t="shared" si="68"/>
        <v>2965</v>
      </c>
      <c r="E69" s="10">
        <f t="shared" si="68"/>
        <v>1192</v>
      </c>
    </row>
    <row r="70" ht="15.75" customHeight="1">
      <c r="A70" s="4">
        <v>46272.0</v>
      </c>
      <c r="B70" s="10">
        <f t="shared" ref="B70:E70" si="69">RANDBETWEEN(500,5000)</f>
        <v>1784</v>
      </c>
      <c r="C70" s="10">
        <f t="shared" si="69"/>
        <v>2315</v>
      </c>
      <c r="D70" s="10">
        <f t="shared" si="69"/>
        <v>4435</v>
      </c>
      <c r="E70" s="10">
        <f t="shared" si="69"/>
        <v>2224</v>
      </c>
    </row>
    <row r="71" ht="15.75" customHeight="1">
      <c r="A71" s="4">
        <v>46273.0</v>
      </c>
      <c r="B71" s="10">
        <f t="shared" ref="B71:E71" si="70">RANDBETWEEN(500,5000)</f>
        <v>2526</v>
      </c>
      <c r="C71" s="10">
        <f t="shared" si="70"/>
        <v>2616</v>
      </c>
      <c r="D71" s="10">
        <f t="shared" si="70"/>
        <v>1946</v>
      </c>
      <c r="E71" s="10">
        <f t="shared" si="70"/>
        <v>3006</v>
      </c>
    </row>
    <row r="72" ht="15.75" customHeight="1">
      <c r="A72" s="4">
        <v>46274.0</v>
      </c>
      <c r="B72" s="10">
        <f t="shared" ref="B72:E72" si="71">RANDBETWEEN(500,5000)</f>
        <v>4778</v>
      </c>
      <c r="C72" s="10">
        <f t="shared" si="71"/>
        <v>3089</v>
      </c>
      <c r="D72" s="10">
        <f t="shared" si="71"/>
        <v>3008</v>
      </c>
      <c r="E72" s="10">
        <f t="shared" si="71"/>
        <v>3885</v>
      </c>
    </row>
    <row r="73" ht="15.75" customHeight="1">
      <c r="A73" s="4">
        <v>46275.0</v>
      </c>
      <c r="B73" s="10">
        <f t="shared" ref="B73:E73" si="72">RANDBETWEEN(500,5000)</f>
        <v>3519</v>
      </c>
      <c r="C73" s="10">
        <f t="shared" si="72"/>
        <v>4061</v>
      </c>
      <c r="D73" s="10">
        <f t="shared" si="72"/>
        <v>4676</v>
      </c>
      <c r="E73" s="10">
        <f t="shared" si="72"/>
        <v>3877</v>
      </c>
    </row>
    <row r="74" ht="15.75" customHeight="1">
      <c r="A74" s="4">
        <v>46276.0</v>
      </c>
      <c r="B74" s="10">
        <f t="shared" ref="B74:E74" si="73">RANDBETWEEN(500,5000)</f>
        <v>3673</v>
      </c>
      <c r="C74" s="10">
        <f t="shared" si="73"/>
        <v>4419</v>
      </c>
      <c r="D74" s="10">
        <f t="shared" si="73"/>
        <v>4393</v>
      </c>
      <c r="E74" s="10">
        <f t="shared" si="73"/>
        <v>2865</v>
      </c>
    </row>
    <row r="75" ht="15.75" customHeight="1">
      <c r="A75" s="4">
        <v>46277.0</v>
      </c>
      <c r="B75" s="10">
        <f t="shared" ref="B75:E75" si="74">RANDBETWEEN(500,5000)</f>
        <v>1326</v>
      </c>
      <c r="C75" s="10">
        <f t="shared" si="74"/>
        <v>1274</v>
      </c>
      <c r="D75" s="10">
        <f t="shared" si="74"/>
        <v>3773</v>
      </c>
      <c r="E75" s="10">
        <f t="shared" si="74"/>
        <v>2599</v>
      </c>
    </row>
    <row r="76" ht="15.75" customHeight="1">
      <c r="A76" s="4">
        <v>46278.0</v>
      </c>
      <c r="B76" s="10">
        <f t="shared" ref="B76:E76" si="75">RANDBETWEEN(500,5000)</f>
        <v>995</v>
      </c>
      <c r="C76" s="10">
        <f t="shared" si="75"/>
        <v>4110</v>
      </c>
      <c r="D76" s="10">
        <f t="shared" si="75"/>
        <v>909</v>
      </c>
      <c r="E76" s="10">
        <f t="shared" si="75"/>
        <v>616</v>
      </c>
    </row>
    <row r="77" ht="15.75" customHeight="1">
      <c r="A77" s="4">
        <v>46279.0</v>
      </c>
      <c r="B77" s="10">
        <f t="shared" ref="B77:E77" si="76">RANDBETWEEN(500,5000)</f>
        <v>936</v>
      </c>
      <c r="C77" s="10">
        <f t="shared" si="76"/>
        <v>3843</v>
      </c>
      <c r="D77" s="10">
        <f t="shared" si="76"/>
        <v>2109</v>
      </c>
      <c r="E77" s="10">
        <f t="shared" si="76"/>
        <v>846</v>
      </c>
    </row>
    <row r="78" ht="15.75" customHeight="1">
      <c r="A78" s="4">
        <v>46280.0</v>
      </c>
      <c r="B78" s="10">
        <f t="shared" ref="B78:E78" si="77">RANDBETWEEN(500,5000)</f>
        <v>2871</v>
      </c>
      <c r="C78" s="10">
        <f t="shared" si="77"/>
        <v>994</v>
      </c>
      <c r="D78" s="10">
        <f t="shared" si="77"/>
        <v>1153</v>
      </c>
      <c r="E78" s="10">
        <f t="shared" si="77"/>
        <v>3682</v>
      </c>
    </row>
    <row r="79" ht="15.75" customHeight="1">
      <c r="A79" s="4">
        <v>46281.0</v>
      </c>
      <c r="B79" s="10">
        <f t="shared" ref="B79:E79" si="78">RANDBETWEEN(500,5000)</f>
        <v>3070</v>
      </c>
      <c r="C79" s="10">
        <f t="shared" si="78"/>
        <v>2136</v>
      </c>
      <c r="D79" s="10">
        <f t="shared" si="78"/>
        <v>976</v>
      </c>
      <c r="E79" s="10">
        <f t="shared" si="78"/>
        <v>3305</v>
      </c>
    </row>
    <row r="80" ht="15.75" customHeight="1">
      <c r="A80" s="4">
        <v>46282.0</v>
      </c>
      <c r="B80" s="10">
        <f t="shared" ref="B80:E80" si="79">RANDBETWEEN(500,5000)</f>
        <v>4143</v>
      </c>
      <c r="C80" s="10">
        <f t="shared" si="79"/>
        <v>2854</v>
      </c>
      <c r="D80" s="10">
        <f t="shared" si="79"/>
        <v>3657</v>
      </c>
      <c r="E80" s="10">
        <f t="shared" si="79"/>
        <v>4038</v>
      </c>
    </row>
    <row r="81" ht="15.75" customHeight="1">
      <c r="A81" s="4">
        <v>46283.0</v>
      </c>
      <c r="B81" s="10">
        <f t="shared" ref="B81:E81" si="80">RANDBETWEEN(500,5000)</f>
        <v>4144</v>
      </c>
      <c r="C81" s="10">
        <f t="shared" si="80"/>
        <v>817</v>
      </c>
      <c r="D81" s="10">
        <f t="shared" si="80"/>
        <v>3285</v>
      </c>
      <c r="E81" s="10">
        <f t="shared" si="80"/>
        <v>3221</v>
      </c>
    </row>
    <row r="82" ht="15.75" customHeight="1">
      <c r="A82" s="4">
        <v>46284.0</v>
      </c>
      <c r="B82" s="10">
        <f t="shared" ref="B82:E82" si="81">RANDBETWEEN(500,5000)</f>
        <v>1501</v>
      </c>
      <c r="C82" s="10">
        <f t="shared" si="81"/>
        <v>3545</v>
      </c>
      <c r="D82" s="10">
        <f t="shared" si="81"/>
        <v>3798</v>
      </c>
      <c r="E82" s="10">
        <f t="shared" si="81"/>
        <v>3198</v>
      </c>
    </row>
    <row r="83" ht="15.75" customHeight="1">
      <c r="A83" s="4">
        <v>46285.0</v>
      </c>
      <c r="B83" s="10">
        <f t="shared" ref="B83:E83" si="82">RANDBETWEEN(500,5000)</f>
        <v>4829</v>
      </c>
      <c r="C83" s="10">
        <f t="shared" si="82"/>
        <v>2257</v>
      </c>
      <c r="D83" s="10">
        <f t="shared" si="82"/>
        <v>2312</v>
      </c>
      <c r="E83" s="10">
        <f t="shared" si="82"/>
        <v>4368</v>
      </c>
    </row>
    <row r="84" ht="15.75" customHeight="1">
      <c r="A84" s="4">
        <v>46286.0</v>
      </c>
      <c r="B84" s="10">
        <f t="shared" ref="B84:E84" si="83">RANDBETWEEN(500,5000)</f>
        <v>2053</v>
      </c>
      <c r="C84" s="10">
        <f t="shared" si="83"/>
        <v>1921</v>
      </c>
      <c r="D84" s="10">
        <f t="shared" si="83"/>
        <v>3495</v>
      </c>
      <c r="E84" s="10">
        <f t="shared" si="83"/>
        <v>3421</v>
      </c>
    </row>
    <row r="85" ht="15.75" customHeight="1">
      <c r="A85" s="4">
        <v>46287.0</v>
      </c>
      <c r="B85" s="10">
        <f t="shared" ref="B85:E85" si="84">RANDBETWEEN(500,5000)</f>
        <v>3939</v>
      </c>
      <c r="C85" s="10">
        <f t="shared" si="84"/>
        <v>4177</v>
      </c>
      <c r="D85" s="10">
        <f t="shared" si="84"/>
        <v>3550</v>
      </c>
      <c r="E85" s="10">
        <f t="shared" si="84"/>
        <v>2958</v>
      </c>
    </row>
    <row r="86" ht="15.75" customHeight="1">
      <c r="A86" s="4">
        <v>46288.0</v>
      </c>
      <c r="B86" s="10">
        <f t="shared" ref="B86:E86" si="85">RANDBETWEEN(500,5000)</f>
        <v>1145</v>
      </c>
      <c r="C86" s="10">
        <f t="shared" si="85"/>
        <v>3802</v>
      </c>
      <c r="D86" s="10">
        <f t="shared" si="85"/>
        <v>3890</v>
      </c>
      <c r="E86" s="10">
        <f t="shared" si="85"/>
        <v>1660</v>
      </c>
    </row>
    <row r="87" ht="15.75" customHeight="1">
      <c r="A87" s="4">
        <v>46289.0</v>
      </c>
      <c r="B87" s="10">
        <f t="shared" ref="B87:E87" si="86">RANDBETWEEN(500,5000)</f>
        <v>1776</v>
      </c>
      <c r="C87" s="10">
        <f t="shared" si="86"/>
        <v>4657</v>
      </c>
      <c r="D87" s="10">
        <f t="shared" si="86"/>
        <v>1466</v>
      </c>
      <c r="E87" s="10">
        <f t="shared" si="86"/>
        <v>3459</v>
      </c>
    </row>
    <row r="88" ht="15.75" customHeight="1">
      <c r="A88" s="4">
        <v>46290.0</v>
      </c>
      <c r="B88" s="10">
        <f t="shared" ref="B88:E88" si="87">RANDBETWEEN(500,5000)</f>
        <v>2668</v>
      </c>
      <c r="C88" s="10">
        <f t="shared" si="87"/>
        <v>894</v>
      </c>
      <c r="D88" s="10">
        <f t="shared" si="87"/>
        <v>1458</v>
      </c>
      <c r="E88" s="10">
        <f t="shared" si="87"/>
        <v>1321</v>
      </c>
    </row>
    <row r="89" ht="15.75" customHeight="1">
      <c r="A89" s="4">
        <v>46291.0</v>
      </c>
      <c r="B89" s="10">
        <f t="shared" ref="B89:E89" si="88">RANDBETWEEN(500,5000)</f>
        <v>4865</v>
      </c>
      <c r="C89" s="10">
        <f t="shared" si="88"/>
        <v>926</v>
      </c>
      <c r="D89" s="10">
        <f t="shared" si="88"/>
        <v>3924</v>
      </c>
      <c r="E89" s="10">
        <f t="shared" si="88"/>
        <v>3872</v>
      </c>
    </row>
    <row r="90" ht="15.75" customHeight="1">
      <c r="A90" s="4">
        <v>46292.0</v>
      </c>
      <c r="B90" s="10">
        <f t="shared" ref="B90:E90" si="89">RANDBETWEEN(500,5000)</f>
        <v>3956</v>
      </c>
      <c r="C90" s="10">
        <f t="shared" si="89"/>
        <v>2824</v>
      </c>
      <c r="D90" s="10">
        <f t="shared" si="89"/>
        <v>998</v>
      </c>
      <c r="E90" s="10">
        <f t="shared" si="89"/>
        <v>4167</v>
      </c>
    </row>
    <row r="91" ht="15.75" customHeight="1">
      <c r="A91" s="4">
        <v>46293.0</v>
      </c>
      <c r="B91" s="10">
        <f t="shared" ref="B91:E91" si="90">RANDBETWEEN(500,5000)</f>
        <v>3201</v>
      </c>
      <c r="C91" s="10">
        <f t="shared" si="90"/>
        <v>1590</v>
      </c>
      <c r="D91" s="10">
        <f t="shared" si="90"/>
        <v>3738</v>
      </c>
      <c r="E91" s="10">
        <f t="shared" si="90"/>
        <v>3553</v>
      </c>
    </row>
    <row r="92" ht="15.75" customHeight="1">
      <c r="A92" s="4">
        <v>46294.0</v>
      </c>
      <c r="B92" s="10">
        <f t="shared" ref="B92:E92" si="91">RANDBETWEEN(500,5000)</f>
        <v>3804</v>
      </c>
      <c r="C92" s="10">
        <f t="shared" si="91"/>
        <v>826</v>
      </c>
      <c r="D92" s="10">
        <f t="shared" si="91"/>
        <v>1154</v>
      </c>
      <c r="E92" s="10">
        <f t="shared" si="91"/>
        <v>1501</v>
      </c>
    </row>
    <row r="93" ht="15.75" customHeight="1">
      <c r="A93" s="4">
        <v>46295.0</v>
      </c>
      <c r="B93" s="10">
        <f t="shared" ref="B93:E93" si="92">RANDBETWEEN(500,5000)</f>
        <v>3872</v>
      </c>
      <c r="C93" s="10">
        <f t="shared" si="92"/>
        <v>2454</v>
      </c>
      <c r="D93" s="10">
        <f t="shared" si="92"/>
        <v>2841</v>
      </c>
      <c r="E93" s="10">
        <f t="shared" si="92"/>
        <v>1986</v>
      </c>
    </row>
    <row r="94" ht="15.75" customHeight="1">
      <c r="A94" s="4">
        <v>46296.0</v>
      </c>
      <c r="B94" s="10">
        <f t="shared" ref="B94:E94" si="93">RANDBETWEEN(500,5000)</f>
        <v>1068</v>
      </c>
      <c r="C94" s="10">
        <f t="shared" si="93"/>
        <v>2651</v>
      </c>
      <c r="D94" s="10">
        <f t="shared" si="93"/>
        <v>1325</v>
      </c>
      <c r="E94" s="10">
        <f t="shared" si="93"/>
        <v>704</v>
      </c>
    </row>
    <row r="95" ht="15.75" customHeight="1">
      <c r="A95" s="4">
        <v>46297.0</v>
      </c>
      <c r="B95" s="10">
        <f t="shared" ref="B95:E95" si="94">RANDBETWEEN(500,5000)</f>
        <v>2723</v>
      </c>
      <c r="C95" s="10">
        <f t="shared" si="94"/>
        <v>1656</v>
      </c>
      <c r="D95" s="10">
        <f t="shared" si="94"/>
        <v>4550</v>
      </c>
      <c r="E95" s="10">
        <f t="shared" si="94"/>
        <v>1787</v>
      </c>
    </row>
    <row r="96" ht="15.75" customHeight="1">
      <c r="A96" s="4">
        <v>46298.0</v>
      </c>
      <c r="B96" s="10">
        <f t="shared" ref="B96:E96" si="95">RANDBETWEEN(500,5000)</f>
        <v>1570</v>
      </c>
      <c r="C96" s="10">
        <f t="shared" si="95"/>
        <v>4057</v>
      </c>
      <c r="D96" s="10">
        <f t="shared" si="95"/>
        <v>1875</v>
      </c>
      <c r="E96" s="10">
        <f t="shared" si="95"/>
        <v>2925</v>
      </c>
    </row>
    <row r="97" ht="15.75" customHeight="1">
      <c r="A97" s="4">
        <v>46299.0</v>
      </c>
      <c r="B97" s="10">
        <f t="shared" ref="B97:E97" si="96">RANDBETWEEN(500,5000)</f>
        <v>4961</v>
      </c>
      <c r="C97" s="10">
        <f t="shared" si="96"/>
        <v>2515</v>
      </c>
      <c r="D97" s="10">
        <f t="shared" si="96"/>
        <v>2456</v>
      </c>
      <c r="E97" s="10">
        <f t="shared" si="96"/>
        <v>2760</v>
      </c>
    </row>
    <row r="98" ht="15.75" customHeight="1">
      <c r="A98" s="4">
        <v>46300.0</v>
      </c>
      <c r="B98" s="10">
        <f t="shared" ref="B98:E98" si="97">RANDBETWEEN(500,5000)</f>
        <v>1830</v>
      </c>
      <c r="C98" s="10">
        <f t="shared" si="97"/>
        <v>3536</v>
      </c>
      <c r="D98" s="10">
        <f t="shared" si="97"/>
        <v>4725</v>
      </c>
      <c r="E98" s="10">
        <f t="shared" si="97"/>
        <v>762</v>
      </c>
    </row>
    <row r="99" ht="15.75" customHeight="1">
      <c r="A99" s="4">
        <v>46301.0</v>
      </c>
      <c r="B99" s="10">
        <f t="shared" ref="B99:E99" si="98">RANDBETWEEN(500,5000)</f>
        <v>4273</v>
      </c>
      <c r="C99" s="10">
        <f t="shared" si="98"/>
        <v>3551</v>
      </c>
      <c r="D99" s="10">
        <f t="shared" si="98"/>
        <v>2923</v>
      </c>
      <c r="E99" s="10">
        <f t="shared" si="98"/>
        <v>3650</v>
      </c>
    </row>
    <row r="100" ht="15.75" customHeight="1">
      <c r="A100" s="4">
        <v>46302.0</v>
      </c>
      <c r="B100" s="10">
        <f t="shared" ref="B100:E100" si="99">RANDBETWEEN(500,5000)</f>
        <v>525</v>
      </c>
      <c r="C100" s="10">
        <f t="shared" si="99"/>
        <v>1540</v>
      </c>
      <c r="D100" s="10">
        <f t="shared" si="99"/>
        <v>2394</v>
      </c>
      <c r="E100" s="10">
        <f t="shared" si="99"/>
        <v>1845</v>
      </c>
    </row>
    <row r="101" ht="15.75" customHeight="1">
      <c r="A101" s="4">
        <v>46303.0</v>
      </c>
      <c r="B101" s="10">
        <f t="shared" ref="B101:E101" si="100">RANDBETWEEN(500,5000)</f>
        <v>1503</v>
      </c>
      <c r="C101" s="10">
        <f t="shared" si="100"/>
        <v>4831</v>
      </c>
      <c r="D101" s="10">
        <f t="shared" si="100"/>
        <v>4012</v>
      </c>
      <c r="E101" s="10">
        <f t="shared" si="100"/>
        <v>4219</v>
      </c>
    </row>
    <row r="102" ht="15.75" customHeight="1">
      <c r="A102" s="4">
        <v>46304.0</v>
      </c>
      <c r="B102" s="10">
        <f t="shared" ref="B102:E102" si="101">RANDBETWEEN(500,5000)</f>
        <v>2805</v>
      </c>
      <c r="C102" s="10">
        <f t="shared" si="101"/>
        <v>918</v>
      </c>
      <c r="D102" s="10">
        <f t="shared" si="101"/>
        <v>3805</v>
      </c>
      <c r="E102" s="10">
        <f t="shared" si="101"/>
        <v>1589</v>
      </c>
    </row>
    <row r="103" ht="15.75" customHeight="1">
      <c r="A103" s="4">
        <v>46305.0</v>
      </c>
      <c r="B103" s="10">
        <f t="shared" ref="B103:E103" si="102">RANDBETWEEN(500,5000)</f>
        <v>2566</v>
      </c>
      <c r="C103" s="10">
        <f t="shared" si="102"/>
        <v>2840</v>
      </c>
      <c r="D103" s="10">
        <f t="shared" si="102"/>
        <v>2019</v>
      </c>
      <c r="E103" s="10">
        <f t="shared" si="102"/>
        <v>3469</v>
      </c>
    </row>
    <row r="104" ht="15.75" customHeight="1">
      <c r="A104" s="4">
        <v>46306.0</v>
      </c>
      <c r="B104" s="10">
        <f t="shared" ref="B104:E104" si="103">RANDBETWEEN(500,5000)</f>
        <v>2087</v>
      </c>
      <c r="C104" s="10">
        <f t="shared" si="103"/>
        <v>3911</v>
      </c>
      <c r="D104" s="10">
        <f t="shared" si="103"/>
        <v>3034</v>
      </c>
      <c r="E104" s="10">
        <f t="shared" si="103"/>
        <v>1523</v>
      </c>
    </row>
    <row r="105" ht="15.75" customHeight="1">
      <c r="A105" s="4">
        <v>46307.0</v>
      </c>
      <c r="B105" s="10">
        <f t="shared" ref="B105:E105" si="104">RANDBETWEEN(500,5000)</f>
        <v>3647</v>
      </c>
      <c r="C105" s="10">
        <f t="shared" si="104"/>
        <v>3905</v>
      </c>
      <c r="D105" s="10">
        <f t="shared" si="104"/>
        <v>2045</v>
      </c>
      <c r="E105" s="10">
        <f t="shared" si="104"/>
        <v>869</v>
      </c>
    </row>
    <row r="106" ht="15.75" customHeight="1">
      <c r="A106" s="4">
        <v>46308.0</v>
      </c>
      <c r="B106" s="10">
        <f t="shared" ref="B106:E106" si="105">RANDBETWEEN(500,5000)</f>
        <v>621</v>
      </c>
      <c r="C106" s="10">
        <f t="shared" si="105"/>
        <v>1302</v>
      </c>
      <c r="D106" s="10">
        <f t="shared" si="105"/>
        <v>4369</v>
      </c>
      <c r="E106" s="10">
        <f t="shared" si="105"/>
        <v>4371</v>
      </c>
    </row>
    <row r="107" ht="15.75" customHeight="1">
      <c r="A107" s="4">
        <v>46309.0</v>
      </c>
      <c r="B107" s="10">
        <f t="shared" ref="B107:E107" si="106">RANDBETWEEN(500,5000)</f>
        <v>1607</v>
      </c>
      <c r="C107" s="10">
        <f t="shared" si="106"/>
        <v>3010</v>
      </c>
      <c r="D107" s="10">
        <f t="shared" si="106"/>
        <v>3058</v>
      </c>
      <c r="E107" s="10">
        <f t="shared" si="106"/>
        <v>2219</v>
      </c>
    </row>
    <row r="108" ht="15.75" customHeight="1">
      <c r="A108" s="4">
        <v>46310.0</v>
      </c>
      <c r="B108" s="10">
        <f t="shared" ref="B108:E108" si="107">RANDBETWEEN(500,5000)</f>
        <v>3528</v>
      </c>
      <c r="C108" s="10">
        <f t="shared" si="107"/>
        <v>2086</v>
      </c>
      <c r="D108" s="10">
        <f t="shared" si="107"/>
        <v>3080</v>
      </c>
      <c r="E108" s="10">
        <f t="shared" si="107"/>
        <v>3704</v>
      </c>
    </row>
    <row r="109" ht="15.75" customHeight="1">
      <c r="A109" s="4">
        <v>46311.0</v>
      </c>
      <c r="B109" s="10">
        <f t="shared" ref="B109:E109" si="108">RANDBETWEEN(500,5000)</f>
        <v>3814</v>
      </c>
      <c r="C109" s="10">
        <f t="shared" si="108"/>
        <v>1273</v>
      </c>
      <c r="D109" s="10">
        <f t="shared" si="108"/>
        <v>2940</v>
      </c>
      <c r="E109" s="10">
        <f t="shared" si="108"/>
        <v>708</v>
      </c>
    </row>
    <row r="110" ht="15.75" customHeight="1">
      <c r="A110" s="4">
        <v>46312.0</v>
      </c>
      <c r="B110" s="10">
        <f t="shared" ref="B110:E110" si="109">RANDBETWEEN(500,5000)</f>
        <v>1818</v>
      </c>
      <c r="C110" s="10">
        <f t="shared" si="109"/>
        <v>3977</v>
      </c>
      <c r="D110" s="10">
        <f t="shared" si="109"/>
        <v>3077</v>
      </c>
      <c r="E110" s="10">
        <f t="shared" si="109"/>
        <v>2156</v>
      </c>
    </row>
    <row r="111" ht="15.75" customHeight="1">
      <c r="A111" s="4">
        <v>46313.0</v>
      </c>
      <c r="B111" s="10">
        <f t="shared" ref="B111:E111" si="110">RANDBETWEEN(500,5000)</f>
        <v>2824</v>
      </c>
      <c r="C111" s="10">
        <f t="shared" si="110"/>
        <v>2531</v>
      </c>
      <c r="D111" s="10">
        <f t="shared" si="110"/>
        <v>4322</v>
      </c>
      <c r="E111" s="10">
        <f t="shared" si="110"/>
        <v>1211</v>
      </c>
    </row>
    <row r="112" ht="15.75" customHeight="1">
      <c r="A112" s="4">
        <v>46314.0</v>
      </c>
      <c r="B112" s="10">
        <f t="shared" ref="B112:E112" si="111">RANDBETWEEN(500,5000)</f>
        <v>2967</v>
      </c>
      <c r="C112" s="10">
        <f t="shared" si="111"/>
        <v>4350</v>
      </c>
      <c r="D112" s="10">
        <f t="shared" si="111"/>
        <v>1970</v>
      </c>
      <c r="E112" s="10">
        <f t="shared" si="111"/>
        <v>2068</v>
      </c>
    </row>
    <row r="113" ht="15.75" customHeight="1">
      <c r="A113" s="4">
        <v>46315.0</v>
      </c>
      <c r="B113" s="10">
        <f t="shared" ref="B113:E113" si="112">RANDBETWEEN(500,5000)</f>
        <v>1382</v>
      </c>
      <c r="C113" s="10">
        <f t="shared" si="112"/>
        <v>1250</v>
      </c>
      <c r="D113" s="10">
        <f t="shared" si="112"/>
        <v>4046</v>
      </c>
      <c r="E113" s="10">
        <f t="shared" si="112"/>
        <v>3826</v>
      </c>
    </row>
    <row r="114" ht="15.75" customHeight="1">
      <c r="A114" s="4">
        <v>46316.0</v>
      </c>
      <c r="B114" s="10">
        <f t="shared" ref="B114:E114" si="113">RANDBETWEEN(500,5000)</f>
        <v>2563</v>
      </c>
      <c r="C114" s="10">
        <f t="shared" si="113"/>
        <v>703</v>
      </c>
      <c r="D114" s="10">
        <f t="shared" si="113"/>
        <v>4872</v>
      </c>
      <c r="E114" s="10">
        <f t="shared" si="113"/>
        <v>3231</v>
      </c>
    </row>
    <row r="115" ht="15.75" customHeight="1">
      <c r="A115" s="4">
        <v>46317.0</v>
      </c>
      <c r="B115" s="10">
        <f t="shared" ref="B115:E115" si="114">RANDBETWEEN(500,5000)</f>
        <v>4178</v>
      </c>
      <c r="C115" s="10">
        <f t="shared" si="114"/>
        <v>4983</v>
      </c>
      <c r="D115" s="10">
        <f t="shared" si="114"/>
        <v>565</v>
      </c>
      <c r="E115" s="10">
        <f t="shared" si="114"/>
        <v>1163</v>
      </c>
    </row>
    <row r="116" ht="15.75" customHeight="1">
      <c r="A116" s="4">
        <v>46318.0</v>
      </c>
      <c r="B116" s="10">
        <f t="shared" ref="B116:E116" si="115">RANDBETWEEN(500,5000)</f>
        <v>2216</v>
      </c>
      <c r="C116" s="10">
        <f t="shared" si="115"/>
        <v>4133</v>
      </c>
      <c r="D116" s="10">
        <f t="shared" si="115"/>
        <v>3338</v>
      </c>
      <c r="E116" s="10">
        <f t="shared" si="115"/>
        <v>3170</v>
      </c>
    </row>
    <row r="117" ht="15.75" customHeight="1">
      <c r="A117" s="4">
        <v>46319.0</v>
      </c>
      <c r="B117" s="10">
        <f t="shared" ref="B117:E117" si="116">RANDBETWEEN(500,5000)</f>
        <v>2196</v>
      </c>
      <c r="C117" s="10">
        <f t="shared" si="116"/>
        <v>4227</v>
      </c>
      <c r="D117" s="10">
        <f t="shared" si="116"/>
        <v>3701</v>
      </c>
      <c r="E117" s="10">
        <f t="shared" si="116"/>
        <v>1013</v>
      </c>
    </row>
    <row r="118" ht="15.75" customHeight="1">
      <c r="A118" s="4">
        <v>46320.0</v>
      </c>
      <c r="B118" s="10">
        <f t="shared" ref="B118:E118" si="117">RANDBETWEEN(500,5000)</f>
        <v>2425</v>
      </c>
      <c r="C118" s="10">
        <f t="shared" si="117"/>
        <v>3932</v>
      </c>
      <c r="D118" s="10">
        <f t="shared" si="117"/>
        <v>3012</v>
      </c>
      <c r="E118" s="10">
        <f t="shared" si="117"/>
        <v>2827</v>
      </c>
    </row>
    <row r="119" ht="15.75" customHeight="1">
      <c r="A119" s="4">
        <v>46321.0</v>
      </c>
      <c r="B119" s="10">
        <f t="shared" ref="B119:E119" si="118">RANDBETWEEN(500,5000)</f>
        <v>4514</v>
      </c>
      <c r="C119" s="10">
        <f t="shared" si="118"/>
        <v>2125</v>
      </c>
      <c r="D119" s="10">
        <f t="shared" si="118"/>
        <v>2946</v>
      </c>
      <c r="E119" s="10">
        <f t="shared" si="118"/>
        <v>4114</v>
      </c>
    </row>
    <row r="120" ht="15.75" customHeight="1">
      <c r="A120" s="4">
        <v>46322.0</v>
      </c>
      <c r="B120" s="10">
        <f t="shared" ref="B120:E120" si="119">RANDBETWEEN(500,5000)</f>
        <v>2101</v>
      </c>
      <c r="C120" s="10">
        <f t="shared" si="119"/>
        <v>2003</v>
      </c>
      <c r="D120" s="10">
        <f t="shared" si="119"/>
        <v>4530</v>
      </c>
      <c r="E120" s="10">
        <f t="shared" si="119"/>
        <v>1608</v>
      </c>
    </row>
    <row r="121" ht="15.75" customHeight="1">
      <c r="A121" s="4">
        <v>46323.0</v>
      </c>
      <c r="B121" s="10">
        <f t="shared" ref="B121:E121" si="120">RANDBETWEEN(500,5000)</f>
        <v>3006</v>
      </c>
      <c r="C121" s="10">
        <f t="shared" si="120"/>
        <v>4838</v>
      </c>
      <c r="D121" s="10">
        <f t="shared" si="120"/>
        <v>2105</v>
      </c>
      <c r="E121" s="10">
        <f t="shared" si="120"/>
        <v>3854</v>
      </c>
    </row>
    <row r="122" ht="15.75" customHeight="1">
      <c r="A122" s="4">
        <v>46324.0</v>
      </c>
      <c r="B122" s="10">
        <f t="shared" ref="B122:E122" si="121">RANDBETWEEN(500,5000)</f>
        <v>4716</v>
      </c>
      <c r="C122" s="10">
        <f t="shared" si="121"/>
        <v>2394</v>
      </c>
      <c r="D122" s="10">
        <f t="shared" si="121"/>
        <v>3898</v>
      </c>
      <c r="E122" s="10">
        <f t="shared" si="121"/>
        <v>4617</v>
      </c>
    </row>
    <row r="123" ht="15.75" customHeight="1">
      <c r="A123" s="4">
        <v>46325.0</v>
      </c>
      <c r="B123" s="10">
        <f t="shared" ref="B123:E123" si="122">RANDBETWEEN(500,5000)</f>
        <v>1617</v>
      </c>
      <c r="C123" s="10">
        <f t="shared" si="122"/>
        <v>1576</v>
      </c>
      <c r="D123" s="10">
        <f t="shared" si="122"/>
        <v>3602</v>
      </c>
      <c r="E123" s="10">
        <f t="shared" si="122"/>
        <v>4486</v>
      </c>
    </row>
    <row r="124" ht="15.75" customHeight="1">
      <c r="A124" s="4">
        <v>46326.0</v>
      </c>
      <c r="B124" s="10">
        <f t="shared" ref="B124:E124" si="123">RANDBETWEEN(500,5000)</f>
        <v>2970</v>
      </c>
      <c r="C124" s="10">
        <f t="shared" si="123"/>
        <v>1778</v>
      </c>
      <c r="D124" s="10">
        <f t="shared" si="123"/>
        <v>2481</v>
      </c>
      <c r="E124" s="10">
        <f t="shared" si="123"/>
        <v>2626</v>
      </c>
    </row>
    <row r="125" ht="15.75" customHeight="1">
      <c r="A125" s="4">
        <v>46327.0</v>
      </c>
      <c r="B125" s="10">
        <f t="shared" ref="B125:E125" si="124">RANDBETWEEN(500,5000)</f>
        <v>901</v>
      </c>
      <c r="C125" s="10">
        <f t="shared" si="124"/>
        <v>1221</v>
      </c>
      <c r="D125" s="10">
        <f t="shared" si="124"/>
        <v>3038</v>
      </c>
      <c r="E125" s="10">
        <f t="shared" si="124"/>
        <v>4052</v>
      </c>
    </row>
    <row r="126" ht="15.75" customHeight="1">
      <c r="A126" s="4">
        <v>46328.0</v>
      </c>
      <c r="B126" s="10">
        <f t="shared" ref="B126:E126" si="125">RANDBETWEEN(500,5000)</f>
        <v>1388</v>
      </c>
      <c r="C126" s="10">
        <f t="shared" si="125"/>
        <v>2096</v>
      </c>
      <c r="D126" s="10">
        <f t="shared" si="125"/>
        <v>4800</v>
      </c>
      <c r="E126" s="10">
        <f t="shared" si="125"/>
        <v>1260</v>
      </c>
    </row>
    <row r="127" ht="15.75" customHeight="1">
      <c r="A127" s="4">
        <v>46329.0</v>
      </c>
      <c r="B127" s="10">
        <f t="shared" ref="B127:E127" si="126">RANDBETWEEN(500,5000)</f>
        <v>3237</v>
      </c>
      <c r="C127" s="10">
        <f t="shared" si="126"/>
        <v>2943</v>
      </c>
      <c r="D127" s="10">
        <f t="shared" si="126"/>
        <v>1740</v>
      </c>
      <c r="E127" s="10">
        <f t="shared" si="126"/>
        <v>1462</v>
      </c>
    </row>
    <row r="128" ht="15.75" customHeight="1">
      <c r="A128" s="4">
        <v>46330.0</v>
      </c>
      <c r="B128" s="10">
        <f t="shared" ref="B128:E128" si="127">RANDBETWEEN(500,5000)</f>
        <v>2524</v>
      </c>
      <c r="C128" s="10">
        <f t="shared" si="127"/>
        <v>2656</v>
      </c>
      <c r="D128" s="10">
        <f t="shared" si="127"/>
        <v>2565</v>
      </c>
      <c r="E128" s="10">
        <f t="shared" si="127"/>
        <v>4735</v>
      </c>
    </row>
    <row r="129" ht="15.75" customHeight="1">
      <c r="A129" s="4">
        <v>46331.0</v>
      </c>
      <c r="B129" s="10">
        <f t="shared" ref="B129:E129" si="128">RANDBETWEEN(500,5000)</f>
        <v>1694</v>
      </c>
      <c r="C129" s="10">
        <f t="shared" si="128"/>
        <v>3252</v>
      </c>
      <c r="D129" s="10">
        <f t="shared" si="128"/>
        <v>2922</v>
      </c>
      <c r="E129" s="10">
        <f t="shared" si="128"/>
        <v>2288</v>
      </c>
    </row>
    <row r="130" ht="15.75" customHeight="1">
      <c r="A130" s="4">
        <v>46332.0</v>
      </c>
      <c r="B130" s="10">
        <f t="shared" ref="B130:E130" si="129">RANDBETWEEN(500,5000)</f>
        <v>3485</v>
      </c>
      <c r="C130" s="10">
        <f t="shared" si="129"/>
        <v>4604</v>
      </c>
      <c r="D130" s="10">
        <f t="shared" si="129"/>
        <v>4603</v>
      </c>
      <c r="E130" s="10">
        <f t="shared" si="129"/>
        <v>1999</v>
      </c>
    </row>
    <row r="131" ht="15.75" customHeight="1">
      <c r="A131" s="4">
        <v>46333.0</v>
      </c>
      <c r="B131" s="10">
        <f t="shared" ref="B131:E131" si="130">RANDBETWEEN(500,5000)</f>
        <v>2946</v>
      </c>
      <c r="C131" s="10">
        <f t="shared" si="130"/>
        <v>3473</v>
      </c>
      <c r="D131" s="10">
        <f t="shared" si="130"/>
        <v>972</v>
      </c>
      <c r="E131" s="10">
        <f t="shared" si="130"/>
        <v>1096</v>
      </c>
    </row>
    <row r="132" ht="15.75" customHeight="1">
      <c r="A132" s="4">
        <v>46334.0</v>
      </c>
      <c r="B132" s="10">
        <f t="shared" ref="B132:E132" si="131">RANDBETWEEN(500,5000)</f>
        <v>4854</v>
      </c>
      <c r="C132" s="10">
        <f t="shared" si="131"/>
        <v>2806</v>
      </c>
      <c r="D132" s="10">
        <f t="shared" si="131"/>
        <v>1433</v>
      </c>
      <c r="E132" s="10">
        <f t="shared" si="131"/>
        <v>2523</v>
      </c>
    </row>
    <row r="133" ht="15.75" customHeight="1">
      <c r="A133" s="4">
        <v>46335.0</v>
      </c>
      <c r="B133" s="10">
        <f t="shared" ref="B133:E133" si="132">RANDBETWEEN(500,5000)</f>
        <v>1032</v>
      </c>
      <c r="C133" s="10">
        <f t="shared" si="132"/>
        <v>940</v>
      </c>
      <c r="D133" s="10">
        <f t="shared" si="132"/>
        <v>675</v>
      </c>
      <c r="E133" s="10">
        <f t="shared" si="132"/>
        <v>4064</v>
      </c>
    </row>
    <row r="134" ht="15.75" customHeight="1">
      <c r="A134" s="4">
        <v>46336.0</v>
      </c>
      <c r="B134" s="10">
        <f t="shared" ref="B134:E134" si="133">RANDBETWEEN(500,5000)</f>
        <v>2236</v>
      </c>
      <c r="C134" s="10">
        <f t="shared" si="133"/>
        <v>1381</v>
      </c>
      <c r="D134" s="10">
        <f t="shared" si="133"/>
        <v>2279</v>
      </c>
      <c r="E134" s="10">
        <f t="shared" si="133"/>
        <v>2260</v>
      </c>
    </row>
    <row r="135" ht="15.75" customHeight="1">
      <c r="A135" s="4">
        <v>46337.0</v>
      </c>
      <c r="B135" s="10">
        <f t="shared" ref="B135:E135" si="134">RANDBETWEEN(500,5000)</f>
        <v>3932</v>
      </c>
      <c r="C135" s="10">
        <f t="shared" si="134"/>
        <v>1889</v>
      </c>
      <c r="D135" s="10">
        <f t="shared" si="134"/>
        <v>798</v>
      </c>
      <c r="E135" s="10">
        <f t="shared" si="134"/>
        <v>1341</v>
      </c>
    </row>
    <row r="136" ht="15.75" customHeight="1">
      <c r="A136" s="4">
        <v>46338.0</v>
      </c>
      <c r="B136" s="10">
        <f t="shared" ref="B136:E136" si="135">RANDBETWEEN(500,5000)</f>
        <v>1633</v>
      </c>
      <c r="C136" s="10">
        <f t="shared" si="135"/>
        <v>4995</v>
      </c>
      <c r="D136" s="10">
        <f t="shared" si="135"/>
        <v>4739</v>
      </c>
      <c r="E136" s="10">
        <f t="shared" si="135"/>
        <v>948</v>
      </c>
    </row>
    <row r="137" ht="15.75" customHeight="1">
      <c r="A137" s="4">
        <v>46339.0</v>
      </c>
      <c r="B137" s="10">
        <f t="shared" ref="B137:E137" si="136">RANDBETWEEN(500,5000)</f>
        <v>4851</v>
      </c>
      <c r="C137" s="10">
        <f t="shared" si="136"/>
        <v>3761</v>
      </c>
      <c r="D137" s="10">
        <f t="shared" si="136"/>
        <v>3720</v>
      </c>
      <c r="E137" s="10">
        <f t="shared" si="136"/>
        <v>2380</v>
      </c>
    </row>
    <row r="138" ht="15.75" customHeight="1">
      <c r="A138" s="4">
        <v>46340.0</v>
      </c>
      <c r="B138" s="10">
        <f t="shared" ref="B138:E138" si="137">RANDBETWEEN(500,5000)</f>
        <v>1579</v>
      </c>
      <c r="C138" s="10">
        <f t="shared" si="137"/>
        <v>3482</v>
      </c>
      <c r="D138" s="10">
        <f t="shared" si="137"/>
        <v>951</v>
      </c>
      <c r="E138" s="10">
        <f t="shared" si="137"/>
        <v>4128</v>
      </c>
    </row>
    <row r="139" ht="15.75" customHeight="1">
      <c r="A139" s="4">
        <v>46341.0</v>
      </c>
      <c r="B139" s="10">
        <f t="shared" ref="B139:E139" si="138">RANDBETWEEN(500,5000)</f>
        <v>4299</v>
      </c>
      <c r="C139" s="10">
        <f t="shared" si="138"/>
        <v>3660</v>
      </c>
      <c r="D139" s="10">
        <f t="shared" si="138"/>
        <v>1931</v>
      </c>
      <c r="E139" s="10">
        <f t="shared" si="138"/>
        <v>3347</v>
      </c>
    </row>
    <row r="140" ht="15.75" customHeight="1">
      <c r="A140" s="4">
        <v>46342.0</v>
      </c>
      <c r="B140" s="10">
        <f t="shared" ref="B140:E140" si="139">RANDBETWEEN(500,5000)</f>
        <v>1846</v>
      </c>
      <c r="C140" s="10">
        <f t="shared" si="139"/>
        <v>3035</v>
      </c>
      <c r="D140" s="10">
        <f t="shared" si="139"/>
        <v>2752</v>
      </c>
      <c r="E140" s="10">
        <f t="shared" si="139"/>
        <v>3544</v>
      </c>
    </row>
    <row r="141" ht="15.75" customHeight="1">
      <c r="A141" s="4">
        <v>46343.0</v>
      </c>
      <c r="B141" s="10">
        <f t="shared" ref="B141:E141" si="140">RANDBETWEEN(500,5000)</f>
        <v>4012</v>
      </c>
      <c r="C141" s="10">
        <f t="shared" si="140"/>
        <v>2399</v>
      </c>
      <c r="D141" s="10">
        <f t="shared" si="140"/>
        <v>4363</v>
      </c>
      <c r="E141" s="10">
        <f t="shared" si="140"/>
        <v>4753</v>
      </c>
    </row>
    <row r="142" ht="15.75" customHeight="1">
      <c r="A142" s="4">
        <v>46344.0</v>
      </c>
      <c r="B142" s="10">
        <f t="shared" ref="B142:E142" si="141">RANDBETWEEN(500,5000)</f>
        <v>641</v>
      </c>
      <c r="C142" s="10">
        <f t="shared" si="141"/>
        <v>871</v>
      </c>
      <c r="D142" s="10">
        <f t="shared" si="141"/>
        <v>3644</v>
      </c>
      <c r="E142" s="10">
        <f t="shared" si="141"/>
        <v>2661</v>
      </c>
    </row>
    <row r="143" ht="15.75" customHeight="1">
      <c r="A143" s="4">
        <v>46345.0</v>
      </c>
      <c r="B143" s="10">
        <f t="shared" ref="B143:E143" si="142">RANDBETWEEN(500,5000)</f>
        <v>3613</v>
      </c>
      <c r="C143" s="10">
        <f t="shared" si="142"/>
        <v>990</v>
      </c>
      <c r="D143" s="10">
        <f t="shared" si="142"/>
        <v>2195</v>
      </c>
      <c r="E143" s="10">
        <f t="shared" si="142"/>
        <v>1542</v>
      </c>
    </row>
    <row r="144" ht="15.75" customHeight="1">
      <c r="A144" s="4">
        <v>46346.0</v>
      </c>
      <c r="B144" s="10">
        <f t="shared" ref="B144:E144" si="143">RANDBETWEEN(500,5000)</f>
        <v>2121</v>
      </c>
      <c r="C144" s="10">
        <f t="shared" si="143"/>
        <v>1127</v>
      </c>
      <c r="D144" s="10">
        <f t="shared" si="143"/>
        <v>1325</v>
      </c>
      <c r="E144" s="10">
        <f t="shared" si="143"/>
        <v>2310</v>
      </c>
    </row>
    <row r="145" ht="15.75" customHeight="1">
      <c r="A145" s="4">
        <v>46347.0</v>
      </c>
      <c r="B145" s="10">
        <f t="shared" ref="B145:E145" si="144">RANDBETWEEN(500,5000)</f>
        <v>2171</v>
      </c>
      <c r="C145" s="10">
        <f t="shared" si="144"/>
        <v>3858</v>
      </c>
      <c r="D145" s="10">
        <f t="shared" si="144"/>
        <v>1597</v>
      </c>
      <c r="E145" s="10">
        <f t="shared" si="144"/>
        <v>2317</v>
      </c>
    </row>
    <row r="146" ht="15.75" customHeight="1">
      <c r="A146" s="4">
        <v>46348.0</v>
      </c>
      <c r="B146" s="10">
        <f t="shared" ref="B146:E146" si="145">RANDBETWEEN(500,5000)</f>
        <v>1042</v>
      </c>
      <c r="C146" s="10">
        <f t="shared" si="145"/>
        <v>4897</v>
      </c>
      <c r="D146" s="10">
        <f t="shared" si="145"/>
        <v>4162</v>
      </c>
      <c r="E146" s="10">
        <f t="shared" si="145"/>
        <v>3064</v>
      </c>
    </row>
    <row r="147" ht="15.75" customHeight="1">
      <c r="A147" s="4">
        <v>46349.0</v>
      </c>
      <c r="B147" s="10">
        <f t="shared" ref="B147:E147" si="146">RANDBETWEEN(500,5000)</f>
        <v>3301</v>
      </c>
      <c r="C147" s="10">
        <f t="shared" si="146"/>
        <v>4314</v>
      </c>
      <c r="D147" s="10">
        <f t="shared" si="146"/>
        <v>2955</v>
      </c>
      <c r="E147" s="10">
        <f t="shared" si="146"/>
        <v>1591</v>
      </c>
    </row>
    <row r="148" ht="15.75" customHeight="1">
      <c r="A148" s="4">
        <v>46350.0</v>
      </c>
      <c r="B148" s="10">
        <f t="shared" ref="B148:E148" si="147">RANDBETWEEN(500,5000)</f>
        <v>3363</v>
      </c>
      <c r="C148" s="10">
        <f t="shared" si="147"/>
        <v>2030</v>
      </c>
      <c r="D148" s="10">
        <f t="shared" si="147"/>
        <v>3991</v>
      </c>
      <c r="E148" s="10">
        <f t="shared" si="147"/>
        <v>3366</v>
      </c>
    </row>
    <row r="149" ht="15.75" customHeight="1">
      <c r="A149" s="4">
        <v>46351.0</v>
      </c>
      <c r="B149" s="10">
        <f t="shared" ref="B149:E149" si="148">RANDBETWEEN(500,5000)</f>
        <v>599</v>
      </c>
      <c r="C149" s="10">
        <f t="shared" si="148"/>
        <v>1515</v>
      </c>
      <c r="D149" s="10">
        <f t="shared" si="148"/>
        <v>4121</v>
      </c>
      <c r="E149" s="10">
        <f t="shared" si="148"/>
        <v>2316</v>
      </c>
    </row>
    <row r="150" ht="15.75" customHeight="1">
      <c r="A150" s="4">
        <v>46352.0</v>
      </c>
      <c r="B150" s="10">
        <f t="shared" ref="B150:E150" si="149">RANDBETWEEN(500,5000)</f>
        <v>3803</v>
      </c>
      <c r="C150" s="10">
        <f t="shared" si="149"/>
        <v>3529</v>
      </c>
      <c r="D150" s="10">
        <f t="shared" si="149"/>
        <v>2413</v>
      </c>
      <c r="E150" s="10">
        <f t="shared" si="149"/>
        <v>2046</v>
      </c>
    </row>
    <row r="151" ht="15.75" customHeight="1">
      <c r="A151" s="4">
        <v>46353.0</v>
      </c>
      <c r="B151" s="10">
        <f t="shared" ref="B151:E151" si="150">RANDBETWEEN(500,5000)</f>
        <v>4082</v>
      </c>
      <c r="C151" s="10">
        <f t="shared" si="150"/>
        <v>2485</v>
      </c>
      <c r="D151" s="10">
        <f t="shared" si="150"/>
        <v>4473</v>
      </c>
      <c r="E151" s="10">
        <f t="shared" si="150"/>
        <v>3388</v>
      </c>
    </row>
    <row r="152" ht="15.75" customHeight="1">
      <c r="A152" s="4">
        <v>46354.0</v>
      </c>
      <c r="B152" s="10">
        <f t="shared" ref="B152:E152" si="151">RANDBETWEEN(500,5000)</f>
        <v>3196</v>
      </c>
      <c r="C152" s="10">
        <f t="shared" si="151"/>
        <v>3952</v>
      </c>
      <c r="D152" s="10">
        <f t="shared" si="151"/>
        <v>1083</v>
      </c>
      <c r="E152" s="10">
        <f t="shared" si="151"/>
        <v>2385</v>
      </c>
    </row>
    <row r="153" ht="15.75" customHeight="1">
      <c r="A153" s="4">
        <v>46355.0</v>
      </c>
      <c r="B153" s="10">
        <f t="shared" ref="B153:E153" si="152">RANDBETWEEN(500,5000)</f>
        <v>2270</v>
      </c>
      <c r="C153" s="10">
        <f t="shared" si="152"/>
        <v>2081</v>
      </c>
      <c r="D153" s="10">
        <f t="shared" si="152"/>
        <v>3089</v>
      </c>
      <c r="E153" s="10">
        <f t="shared" si="152"/>
        <v>1481</v>
      </c>
    </row>
    <row r="154" ht="15.75" customHeight="1">
      <c r="A154" s="4">
        <v>46356.0</v>
      </c>
      <c r="B154" s="10">
        <f t="shared" ref="B154:E154" si="153">RANDBETWEEN(500,5000)</f>
        <v>3124</v>
      </c>
      <c r="C154" s="10">
        <f t="shared" si="153"/>
        <v>2918</v>
      </c>
      <c r="D154" s="10">
        <f t="shared" si="153"/>
        <v>4462</v>
      </c>
      <c r="E154" s="10">
        <f t="shared" si="153"/>
        <v>2329</v>
      </c>
    </row>
    <row r="155" ht="15.75" customHeight="1">
      <c r="A155" s="4">
        <v>46357.0</v>
      </c>
      <c r="B155" s="10">
        <f t="shared" ref="B155:E155" si="154">RANDBETWEEN(500,5000)</f>
        <v>3381</v>
      </c>
      <c r="C155" s="10">
        <f t="shared" si="154"/>
        <v>4801</v>
      </c>
      <c r="D155" s="10">
        <f t="shared" si="154"/>
        <v>4201</v>
      </c>
      <c r="E155" s="10">
        <f t="shared" si="154"/>
        <v>2218</v>
      </c>
    </row>
    <row r="156" ht="15.75" customHeight="1">
      <c r="A156" s="4">
        <v>46358.0</v>
      </c>
      <c r="B156" s="10">
        <f t="shared" ref="B156:E156" si="155">RANDBETWEEN(500,5000)</f>
        <v>3000</v>
      </c>
      <c r="C156" s="10">
        <f t="shared" si="155"/>
        <v>1051</v>
      </c>
      <c r="D156" s="10">
        <f t="shared" si="155"/>
        <v>3732</v>
      </c>
      <c r="E156" s="10">
        <f t="shared" si="155"/>
        <v>4835</v>
      </c>
    </row>
    <row r="157" ht="15.75" customHeight="1">
      <c r="A157" s="4">
        <v>46359.0</v>
      </c>
      <c r="B157" s="10">
        <f t="shared" ref="B157:E157" si="156">RANDBETWEEN(500,5000)</f>
        <v>2613</v>
      </c>
      <c r="C157" s="10">
        <f t="shared" si="156"/>
        <v>1962</v>
      </c>
      <c r="D157" s="10">
        <f t="shared" si="156"/>
        <v>3836</v>
      </c>
      <c r="E157" s="10">
        <f t="shared" si="156"/>
        <v>2711</v>
      </c>
    </row>
    <row r="158" ht="15.75" customHeight="1">
      <c r="A158" s="4">
        <v>46360.0</v>
      </c>
      <c r="B158" s="10">
        <f t="shared" ref="B158:E158" si="157">RANDBETWEEN(500,5000)</f>
        <v>3892</v>
      </c>
      <c r="C158" s="10">
        <f t="shared" si="157"/>
        <v>4044</v>
      </c>
      <c r="D158" s="10">
        <f t="shared" si="157"/>
        <v>1685</v>
      </c>
      <c r="E158" s="10">
        <f t="shared" si="157"/>
        <v>1283</v>
      </c>
    </row>
    <row r="159" ht="15.75" customHeight="1">
      <c r="A159" s="4">
        <v>46361.0</v>
      </c>
      <c r="B159" s="10">
        <f t="shared" ref="B159:E159" si="158">RANDBETWEEN(500,5000)</f>
        <v>679</v>
      </c>
      <c r="C159" s="10">
        <f t="shared" si="158"/>
        <v>2773</v>
      </c>
      <c r="D159" s="10">
        <f t="shared" si="158"/>
        <v>3402</v>
      </c>
      <c r="E159" s="10">
        <f t="shared" si="158"/>
        <v>4731</v>
      </c>
    </row>
    <row r="160" ht="15.75" customHeight="1">
      <c r="A160" s="4">
        <v>46362.0</v>
      </c>
      <c r="B160" s="10">
        <f t="shared" ref="B160:E160" si="159">RANDBETWEEN(500,5000)</f>
        <v>3851</v>
      </c>
      <c r="C160" s="10">
        <f t="shared" si="159"/>
        <v>4571</v>
      </c>
      <c r="D160" s="10">
        <f t="shared" si="159"/>
        <v>4839</v>
      </c>
      <c r="E160" s="10">
        <f t="shared" si="159"/>
        <v>2134</v>
      </c>
    </row>
    <row r="161" ht="15.75" customHeight="1">
      <c r="A161" s="4">
        <v>46363.0</v>
      </c>
      <c r="B161" s="10">
        <f t="shared" ref="B161:E161" si="160">RANDBETWEEN(500,5000)</f>
        <v>4337</v>
      </c>
      <c r="C161" s="10">
        <f t="shared" si="160"/>
        <v>4290</v>
      </c>
      <c r="D161" s="10">
        <f t="shared" si="160"/>
        <v>3345</v>
      </c>
      <c r="E161" s="10">
        <f t="shared" si="160"/>
        <v>2593</v>
      </c>
    </row>
    <row r="162" ht="15.75" customHeight="1">
      <c r="A162" s="4">
        <v>46364.0</v>
      </c>
      <c r="B162" s="10">
        <f t="shared" ref="B162:E162" si="161">RANDBETWEEN(500,5000)</f>
        <v>864</v>
      </c>
      <c r="C162" s="10">
        <f t="shared" si="161"/>
        <v>2834</v>
      </c>
      <c r="D162" s="10">
        <f t="shared" si="161"/>
        <v>1989</v>
      </c>
      <c r="E162" s="10">
        <f t="shared" si="161"/>
        <v>2466</v>
      </c>
    </row>
    <row r="163" ht="15.75" customHeight="1">
      <c r="A163" s="4">
        <v>46365.0</v>
      </c>
      <c r="B163" s="10">
        <f t="shared" ref="B163:E163" si="162">RANDBETWEEN(500,5000)</f>
        <v>1894</v>
      </c>
      <c r="C163" s="10">
        <f t="shared" si="162"/>
        <v>2933</v>
      </c>
      <c r="D163" s="10">
        <f t="shared" si="162"/>
        <v>1476</v>
      </c>
      <c r="E163" s="10">
        <f t="shared" si="162"/>
        <v>2699</v>
      </c>
    </row>
    <row r="164" ht="15.75" customHeight="1">
      <c r="A164" s="4">
        <v>46366.0</v>
      </c>
      <c r="B164" s="10">
        <f t="shared" ref="B164:E164" si="163">RANDBETWEEN(500,5000)</f>
        <v>2031</v>
      </c>
      <c r="C164" s="10">
        <f t="shared" si="163"/>
        <v>1763</v>
      </c>
      <c r="D164" s="10">
        <f t="shared" si="163"/>
        <v>4793</v>
      </c>
      <c r="E164" s="10">
        <f t="shared" si="163"/>
        <v>4000</v>
      </c>
    </row>
    <row r="165" ht="15.75" customHeight="1">
      <c r="A165" s="4">
        <v>46367.0</v>
      </c>
      <c r="B165" s="10">
        <f t="shared" ref="B165:E165" si="164">RANDBETWEEN(500,5000)</f>
        <v>4689</v>
      </c>
      <c r="C165" s="10">
        <f t="shared" si="164"/>
        <v>2842</v>
      </c>
      <c r="D165" s="10">
        <f t="shared" si="164"/>
        <v>1425</v>
      </c>
      <c r="E165" s="10">
        <f t="shared" si="164"/>
        <v>4622</v>
      </c>
    </row>
    <row r="166" ht="15.75" customHeight="1">
      <c r="A166" s="4">
        <v>46368.0</v>
      </c>
      <c r="B166" s="10">
        <f t="shared" ref="B166:E166" si="165">RANDBETWEEN(500,5000)</f>
        <v>2286</v>
      </c>
      <c r="C166" s="10">
        <f t="shared" si="165"/>
        <v>1512</v>
      </c>
      <c r="D166" s="10">
        <f t="shared" si="165"/>
        <v>3297</v>
      </c>
      <c r="E166" s="10">
        <f t="shared" si="165"/>
        <v>1462</v>
      </c>
    </row>
    <row r="167" ht="15.75" customHeight="1">
      <c r="A167" s="4">
        <v>46369.0</v>
      </c>
      <c r="B167" s="10">
        <f t="shared" ref="B167:E167" si="166">RANDBETWEEN(500,5000)</f>
        <v>2306</v>
      </c>
      <c r="C167" s="10">
        <f t="shared" si="166"/>
        <v>4157</v>
      </c>
      <c r="D167" s="10">
        <f t="shared" si="166"/>
        <v>4164</v>
      </c>
      <c r="E167" s="10">
        <f t="shared" si="166"/>
        <v>3980</v>
      </c>
    </row>
    <row r="168" ht="15.75" customHeight="1">
      <c r="A168" s="4">
        <v>46370.0</v>
      </c>
      <c r="B168" s="10">
        <f t="shared" ref="B168:E168" si="167">RANDBETWEEN(500,5000)</f>
        <v>1516</v>
      </c>
      <c r="C168" s="10">
        <f t="shared" si="167"/>
        <v>2574</v>
      </c>
      <c r="D168" s="10">
        <f t="shared" si="167"/>
        <v>2075</v>
      </c>
      <c r="E168" s="10">
        <f t="shared" si="167"/>
        <v>1989</v>
      </c>
    </row>
    <row r="169" ht="15.75" customHeight="1">
      <c r="A169" s="4">
        <v>46371.0</v>
      </c>
      <c r="B169" s="10">
        <f t="shared" ref="B169:E169" si="168">RANDBETWEEN(500,5000)</f>
        <v>1970</v>
      </c>
      <c r="C169" s="10">
        <f t="shared" si="168"/>
        <v>761</v>
      </c>
      <c r="D169" s="10">
        <f t="shared" si="168"/>
        <v>4500</v>
      </c>
      <c r="E169" s="10">
        <f t="shared" si="168"/>
        <v>2511</v>
      </c>
    </row>
    <row r="170" ht="15.75" customHeight="1">
      <c r="A170" s="4">
        <v>46372.0</v>
      </c>
      <c r="B170" s="10">
        <f t="shared" ref="B170:E170" si="169">RANDBETWEEN(500,5000)</f>
        <v>915</v>
      </c>
      <c r="C170" s="10">
        <f t="shared" si="169"/>
        <v>1182</v>
      </c>
      <c r="D170" s="10">
        <f t="shared" si="169"/>
        <v>3276</v>
      </c>
      <c r="E170" s="10">
        <f t="shared" si="169"/>
        <v>4425</v>
      </c>
    </row>
    <row r="171" ht="15.75" customHeight="1">
      <c r="A171" s="4">
        <v>46373.0</v>
      </c>
      <c r="B171" s="10">
        <f t="shared" ref="B171:E171" si="170">RANDBETWEEN(500,5000)</f>
        <v>2119</v>
      </c>
      <c r="C171" s="10">
        <f t="shared" si="170"/>
        <v>4216</v>
      </c>
      <c r="D171" s="10">
        <f t="shared" si="170"/>
        <v>2209</v>
      </c>
      <c r="E171" s="10">
        <f t="shared" si="170"/>
        <v>1344</v>
      </c>
    </row>
    <row r="172" ht="15.75" customHeight="1">
      <c r="A172" s="4">
        <v>46374.0</v>
      </c>
      <c r="B172" s="10">
        <f t="shared" ref="B172:E172" si="171">RANDBETWEEN(500,5000)</f>
        <v>1831</v>
      </c>
      <c r="C172" s="10">
        <f t="shared" si="171"/>
        <v>2827</v>
      </c>
      <c r="D172" s="10">
        <f t="shared" si="171"/>
        <v>4694</v>
      </c>
      <c r="E172" s="10">
        <f t="shared" si="171"/>
        <v>4082</v>
      </c>
    </row>
    <row r="173" ht="15.75" customHeight="1">
      <c r="A173" s="4">
        <v>46375.0</v>
      </c>
      <c r="B173" s="10">
        <f t="shared" ref="B173:E173" si="172">RANDBETWEEN(500,5000)</f>
        <v>2982</v>
      </c>
      <c r="C173" s="10">
        <f t="shared" si="172"/>
        <v>4316</v>
      </c>
      <c r="D173" s="10">
        <f t="shared" si="172"/>
        <v>3453</v>
      </c>
      <c r="E173" s="10">
        <f t="shared" si="172"/>
        <v>2198</v>
      </c>
    </row>
    <row r="174" ht="15.75" customHeight="1">
      <c r="A174" s="4">
        <v>46376.0</v>
      </c>
      <c r="B174" s="10">
        <f t="shared" ref="B174:E174" si="173">RANDBETWEEN(500,5000)</f>
        <v>2382</v>
      </c>
      <c r="C174" s="10">
        <f t="shared" si="173"/>
        <v>1719</v>
      </c>
      <c r="D174" s="10">
        <f t="shared" si="173"/>
        <v>652</v>
      </c>
      <c r="E174" s="10">
        <f t="shared" si="173"/>
        <v>3484</v>
      </c>
    </row>
    <row r="175" ht="15.75" customHeight="1">
      <c r="A175" s="4">
        <v>46377.0</v>
      </c>
      <c r="B175" s="10">
        <f t="shared" ref="B175:E175" si="174">RANDBETWEEN(500,5000)</f>
        <v>4038</v>
      </c>
      <c r="C175" s="10">
        <f t="shared" si="174"/>
        <v>1439</v>
      </c>
      <c r="D175" s="10">
        <f t="shared" si="174"/>
        <v>1740</v>
      </c>
      <c r="E175" s="10">
        <f t="shared" si="174"/>
        <v>3155</v>
      </c>
    </row>
    <row r="176" ht="15.75" customHeight="1">
      <c r="A176" s="4">
        <v>46378.0</v>
      </c>
      <c r="B176" s="10">
        <f t="shared" ref="B176:E176" si="175">RANDBETWEEN(500,5000)</f>
        <v>2068</v>
      </c>
      <c r="C176" s="10">
        <f t="shared" si="175"/>
        <v>1128</v>
      </c>
      <c r="D176" s="10">
        <f t="shared" si="175"/>
        <v>1467</v>
      </c>
      <c r="E176" s="10">
        <f t="shared" si="175"/>
        <v>4513</v>
      </c>
    </row>
    <row r="177" ht="15.75" customHeight="1">
      <c r="A177" s="4">
        <v>46379.0</v>
      </c>
      <c r="B177" s="10">
        <f t="shared" ref="B177:E177" si="176">RANDBETWEEN(500,5000)</f>
        <v>4903</v>
      </c>
      <c r="C177" s="10">
        <f t="shared" si="176"/>
        <v>3058</v>
      </c>
      <c r="D177" s="10">
        <f t="shared" si="176"/>
        <v>4408</v>
      </c>
      <c r="E177" s="10">
        <f t="shared" si="176"/>
        <v>1602</v>
      </c>
    </row>
    <row r="178" ht="15.75" customHeight="1">
      <c r="A178" s="4">
        <v>46380.0</v>
      </c>
      <c r="B178" s="10">
        <f t="shared" ref="B178:E178" si="177">RANDBETWEEN(500,5000)</f>
        <v>4217</v>
      </c>
      <c r="C178" s="10">
        <f t="shared" si="177"/>
        <v>2899</v>
      </c>
      <c r="D178" s="10">
        <f t="shared" si="177"/>
        <v>2400</v>
      </c>
      <c r="E178" s="10">
        <f t="shared" si="177"/>
        <v>2317</v>
      </c>
    </row>
    <row r="179" ht="15.75" customHeight="1">
      <c r="A179" s="4">
        <v>46381.0</v>
      </c>
      <c r="B179" s="10">
        <f t="shared" ref="B179:E179" si="178">RANDBETWEEN(500,5000)</f>
        <v>4738</v>
      </c>
      <c r="C179" s="10">
        <f t="shared" si="178"/>
        <v>3454</v>
      </c>
      <c r="D179" s="10">
        <f t="shared" si="178"/>
        <v>2475</v>
      </c>
      <c r="E179" s="10">
        <f t="shared" si="178"/>
        <v>1062</v>
      </c>
    </row>
    <row r="180" ht="15.75" customHeight="1">
      <c r="A180" s="4">
        <v>46382.0</v>
      </c>
      <c r="B180" s="10">
        <f t="shared" ref="B180:E180" si="179">RANDBETWEEN(500,5000)</f>
        <v>2008</v>
      </c>
      <c r="C180" s="10">
        <f t="shared" si="179"/>
        <v>1636</v>
      </c>
      <c r="D180" s="10">
        <f t="shared" si="179"/>
        <v>621</v>
      </c>
      <c r="E180" s="10">
        <f t="shared" si="179"/>
        <v>3575</v>
      </c>
    </row>
    <row r="181" ht="15.75" customHeight="1">
      <c r="A181" s="4">
        <v>46383.0</v>
      </c>
      <c r="B181" s="10">
        <f t="shared" ref="B181:E181" si="180">RANDBETWEEN(500,5000)</f>
        <v>899</v>
      </c>
      <c r="C181" s="10">
        <f t="shared" si="180"/>
        <v>1480</v>
      </c>
      <c r="D181" s="10">
        <f t="shared" si="180"/>
        <v>3685</v>
      </c>
      <c r="E181" s="10">
        <f t="shared" si="180"/>
        <v>4305</v>
      </c>
    </row>
    <row r="182" ht="15.75" customHeight="1">
      <c r="A182" s="4">
        <v>46384.0</v>
      </c>
      <c r="B182" s="10">
        <f t="shared" ref="B182:E182" si="181">RANDBETWEEN(500,5000)</f>
        <v>2454</v>
      </c>
      <c r="C182" s="10">
        <f t="shared" si="181"/>
        <v>1963</v>
      </c>
      <c r="D182" s="10">
        <f t="shared" si="181"/>
        <v>1615</v>
      </c>
      <c r="E182" s="10">
        <f t="shared" si="181"/>
        <v>648</v>
      </c>
    </row>
    <row r="183" ht="15.75" customHeight="1">
      <c r="A183" s="4">
        <v>46385.0</v>
      </c>
      <c r="B183" s="10">
        <f t="shared" ref="B183:E183" si="182">RANDBETWEEN(500,5000)</f>
        <v>1303</v>
      </c>
      <c r="C183" s="10">
        <f t="shared" si="182"/>
        <v>545</v>
      </c>
      <c r="D183" s="10">
        <f t="shared" si="182"/>
        <v>4395</v>
      </c>
      <c r="E183" s="10">
        <f t="shared" si="182"/>
        <v>3589</v>
      </c>
    </row>
    <row r="184" ht="15.75" customHeight="1">
      <c r="A184" s="4">
        <v>46386.0</v>
      </c>
      <c r="B184" s="10">
        <f t="shared" ref="B184:E184" si="183">RANDBETWEEN(500,5000)</f>
        <v>4324</v>
      </c>
      <c r="C184" s="10">
        <f t="shared" si="183"/>
        <v>3965</v>
      </c>
      <c r="D184" s="10">
        <f t="shared" si="183"/>
        <v>3864</v>
      </c>
      <c r="E184" s="10">
        <f t="shared" si="183"/>
        <v>1142</v>
      </c>
    </row>
    <row r="185" ht="15.75" customHeight="1">
      <c r="A185" s="4">
        <v>46387.0</v>
      </c>
      <c r="B185" s="10">
        <f t="shared" ref="B185:E185" si="184">RANDBETWEEN(500,5000)</f>
        <v>2514</v>
      </c>
      <c r="C185" s="10">
        <f t="shared" si="184"/>
        <v>1259</v>
      </c>
      <c r="D185" s="10">
        <f t="shared" si="184"/>
        <v>555</v>
      </c>
      <c r="E185" s="10">
        <f t="shared" si="184"/>
        <v>4190</v>
      </c>
    </row>
    <row r="186" ht="15.75" customHeight="1">
      <c r="A186" s="4">
        <v>46388.0</v>
      </c>
      <c r="B186" s="10">
        <f t="shared" ref="B186:E186" si="185">RANDBETWEEN(500,5000)</f>
        <v>2307</v>
      </c>
      <c r="C186" s="10">
        <f t="shared" si="185"/>
        <v>3813</v>
      </c>
      <c r="D186" s="10">
        <f t="shared" si="185"/>
        <v>2987</v>
      </c>
      <c r="E186" s="10">
        <f t="shared" si="185"/>
        <v>1196</v>
      </c>
    </row>
    <row r="187" ht="15.75" customHeight="1">
      <c r="A187" s="4">
        <v>46389.0</v>
      </c>
      <c r="B187" s="10">
        <f t="shared" ref="B187:E187" si="186">RANDBETWEEN(500,5000)</f>
        <v>3108</v>
      </c>
      <c r="C187" s="10">
        <f t="shared" si="186"/>
        <v>3220</v>
      </c>
      <c r="D187" s="10">
        <f t="shared" si="186"/>
        <v>2823</v>
      </c>
      <c r="E187" s="10">
        <f t="shared" si="186"/>
        <v>3568</v>
      </c>
    </row>
    <row r="188" ht="15.75" customHeight="1">
      <c r="A188" s="4">
        <v>46390.0</v>
      </c>
      <c r="B188" s="10">
        <f t="shared" ref="B188:E188" si="187">RANDBETWEEN(500,5000)</f>
        <v>1678</v>
      </c>
      <c r="C188" s="10">
        <f t="shared" si="187"/>
        <v>596</v>
      </c>
      <c r="D188" s="10">
        <f t="shared" si="187"/>
        <v>1239</v>
      </c>
      <c r="E188" s="10">
        <f t="shared" si="187"/>
        <v>2296</v>
      </c>
    </row>
    <row r="189" ht="15.75" customHeight="1">
      <c r="A189" s="4">
        <v>46391.0</v>
      </c>
      <c r="B189" s="10">
        <f t="shared" ref="B189:E189" si="188">RANDBETWEEN(500,5000)</f>
        <v>513</v>
      </c>
      <c r="C189" s="10">
        <f t="shared" si="188"/>
        <v>877</v>
      </c>
      <c r="D189" s="10">
        <f t="shared" si="188"/>
        <v>4709</v>
      </c>
      <c r="E189" s="10">
        <f t="shared" si="188"/>
        <v>588</v>
      </c>
    </row>
    <row r="190" ht="15.75" customHeight="1">
      <c r="A190" s="4">
        <v>46392.0</v>
      </c>
      <c r="B190" s="10">
        <f t="shared" ref="B190:E190" si="189">RANDBETWEEN(500,5000)</f>
        <v>3131</v>
      </c>
      <c r="C190" s="10">
        <f t="shared" si="189"/>
        <v>1934</v>
      </c>
      <c r="D190" s="10">
        <f t="shared" si="189"/>
        <v>954</v>
      </c>
      <c r="E190" s="10">
        <f t="shared" si="189"/>
        <v>2709</v>
      </c>
    </row>
    <row r="191" ht="15.75" customHeight="1">
      <c r="A191" s="4">
        <v>46393.0</v>
      </c>
      <c r="B191" s="10">
        <f t="shared" ref="B191:E191" si="190">RANDBETWEEN(500,5000)</f>
        <v>719</v>
      </c>
      <c r="C191" s="10">
        <f t="shared" si="190"/>
        <v>1481</v>
      </c>
      <c r="D191" s="10">
        <f t="shared" si="190"/>
        <v>787</v>
      </c>
      <c r="E191" s="10">
        <f t="shared" si="190"/>
        <v>2524</v>
      </c>
    </row>
    <row r="192" ht="15.75" customHeight="1">
      <c r="A192" s="4">
        <v>46394.0</v>
      </c>
      <c r="B192" s="10">
        <f t="shared" ref="B192:E192" si="191">RANDBETWEEN(500,5000)</f>
        <v>4215</v>
      </c>
      <c r="C192" s="10">
        <f t="shared" si="191"/>
        <v>2941</v>
      </c>
      <c r="D192" s="10">
        <f t="shared" si="191"/>
        <v>2916</v>
      </c>
      <c r="E192" s="10">
        <f t="shared" si="191"/>
        <v>3163</v>
      </c>
    </row>
    <row r="193" ht="15.75" customHeight="1">
      <c r="A193" s="4">
        <v>46395.0</v>
      </c>
      <c r="B193" s="10">
        <f t="shared" ref="B193:E193" si="192">RANDBETWEEN(500,5000)</f>
        <v>1110</v>
      </c>
      <c r="C193" s="10">
        <f t="shared" si="192"/>
        <v>4759</v>
      </c>
      <c r="D193" s="10">
        <f t="shared" si="192"/>
        <v>1070</v>
      </c>
      <c r="E193" s="10">
        <f t="shared" si="192"/>
        <v>1746</v>
      </c>
    </row>
    <row r="194" ht="15.75" customHeight="1">
      <c r="A194" s="4">
        <v>46396.0</v>
      </c>
      <c r="B194" s="10">
        <f t="shared" ref="B194:E194" si="193">RANDBETWEEN(500,5000)</f>
        <v>2134</v>
      </c>
      <c r="C194" s="10">
        <f t="shared" si="193"/>
        <v>2839</v>
      </c>
      <c r="D194" s="10">
        <f t="shared" si="193"/>
        <v>3393</v>
      </c>
      <c r="E194" s="10">
        <f t="shared" si="193"/>
        <v>2171</v>
      </c>
    </row>
    <row r="195" ht="15.75" customHeight="1">
      <c r="A195" s="4">
        <v>46397.0</v>
      </c>
      <c r="B195" s="10">
        <f t="shared" ref="B195:E195" si="194">RANDBETWEEN(500,5000)</f>
        <v>3209</v>
      </c>
      <c r="C195" s="10">
        <f t="shared" si="194"/>
        <v>4294</v>
      </c>
      <c r="D195" s="10">
        <f t="shared" si="194"/>
        <v>2212</v>
      </c>
      <c r="E195" s="10">
        <f t="shared" si="194"/>
        <v>577</v>
      </c>
    </row>
    <row r="196" ht="15.75" customHeight="1">
      <c r="A196" s="4">
        <v>46398.0</v>
      </c>
      <c r="B196" s="10">
        <f t="shared" ref="B196:E196" si="195">RANDBETWEEN(500,5000)</f>
        <v>2395</v>
      </c>
      <c r="C196" s="10">
        <f t="shared" si="195"/>
        <v>4935</v>
      </c>
      <c r="D196" s="10">
        <f t="shared" si="195"/>
        <v>2826</v>
      </c>
      <c r="E196" s="10">
        <f t="shared" si="195"/>
        <v>2840</v>
      </c>
    </row>
    <row r="197" ht="15.75" customHeight="1">
      <c r="A197" s="4">
        <v>46399.0</v>
      </c>
      <c r="B197" s="10">
        <f t="shared" ref="B197:E197" si="196">RANDBETWEEN(500,5000)</f>
        <v>1979</v>
      </c>
      <c r="C197" s="10">
        <f t="shared" si="196"/>
        <v>677</v>
      </c>
      <c r="D197" s="10">
        <f t="shared" si="196"/>
        <v>859</v>
      </c>
      <c r="E197" s="10">
        <f t="shared" si="196"/>
        <v>3860</v>
      </c>
    </row>
    <row r="198" ht="15.75" customHeight="1">
      <c r="A198" s="4">
        <v>46400.0</v>
      </c>
      <c r="B198" s="10">
        <f t="shared" ref="B198:E198" si="197">RANDBETWEEN(500,5000)</f>
        <v>4676</v>
      </c>
      <c r="C198" s="10">
        <f t="shared" si="197"/>
        <v>4343</v>
      </c>
      <c r="D198" s="10">
        <f t="shared" si="197"/>
        <v>3004</v>
      </c>
      <c r="E198" s="10">
        <f t="shared" si="197"/>
        <v>512</v>
      </c>
    </row>
    <row r="199" ht="15.75" customHeight="1">
      <c r="A199" s="4">
        <v>46401.0</v>
      </c>
      <c r="B199" s="10">
        <f t="shared" ref="B199:E199" si="198">RANDBETWEEN(500,5000)</f>
        <v>1779</v>
      </c>
      <c r="C199" s="10">
        <f t="shared" si="198"/>
        <v>565</v>
      </c>
      <c r="D199" s="10">
        <f t="shared" si="198"/>
        <v>1864</v>
      </c>
      <c r="E199" s="10">
        <f t="shared" si="198"/>
        <v>4465</v>
      </c>
    </row>
    <row r="200" ht="15.75" customHeight="1">
      <c r="A200" s="4">
        <v>46402.0</v>
      </c>
      <c r="B200" s="10">
        <f t="shared" ref="B200:E200" si="199">RANDBETWEEN(500,5000)</f>
        <v>2028</v>
      </c>
      <c r="C200" s="10">
        <f t="shared" si="199"/>
        <v>4513</v>
      </c>
      <c r="D200" s="10">
        <f t="shared" si="199"/>
        <v>627</v>
      </c>
      <c r="E200" s="10">
        <f t="shared" si="199"/>
        <v>2661</v>
      </c>
    </row>
    <row r="201" ht="15.75" customHeight="1">
      <c r="A201" s="4">
        <v>46403.0</v>
      </c>
      <c r="B201" s="10">
        <f t="shared" ref="B201:E201" si="200">RANDBETWEEN(500,5000)</f>
        <v>2592</v>
      </c>
      <c r="C201" s="10">
        <f t="shared" si="200"/>
        <v>2485</v>
      </c>
      <c r="D201" s="10">
        <f t="shared" si="200"/>
        <v>4398</v>
      </c>
      <c r="E201" s="10">
        <f t="shared" si="200"/>
        <v>3596</v>
      </c>
    </row>
    <row r="202" ht="15.75" customHeight="1">
      <c r="A202" s="4">
        <v>46404.0</v>
      </c>
      <c r="B202" s="10">
        <f t="shared" ref="B202:E202" si="201">RANDBETWEEN(500,5000)</f>
        <v>3389</v>
      </c>
      <c r="C202" s="10">
        <f t="shared" si="201"/>
        <v>1357</v>
      </c>
      <c r="D202" s="10">
        <f t="shared" si="201"/>
        <v>3518</v>
      </c>
      <c r="E202" s="10">
        <f t="shared" si="201"/>
        <v>1752</v>
      </c>
    </row>
    <row r="203" ht="15.75" customHeight="1">
      <c r="A203" s="4">
        <v>46405.0</v>
      </c>
      <c r="B203" s="10">
        <f t="shared" ref="B203:E203" si="202">RANDBETWEEN(500,5000)</f>
        <v>4791</v>
      </c>
      <c r="C203" s="10">
        <f t="shared" si="202"/>
        <v>3319</v>
      </c>
      <c r="D203" s="10">
        <f t="shared" si="202"/>
        <v>544</v>
      </c>
      <c r="E203" s="10">
        <f t="shared" si="202"/>
        <v>1198</v>
      </c>
    </row>
    <row r="204" ht="15.75" customHeight="1">
      <c r="A204" s="4">
        <v>46406.0</v>
      </c>
      <c r="B204" s="10">
        <f t="shared" ref="B204:E204" si="203">RANDBETWEEN(500,5000)</f>
        <v>3429</v>
      </c>
      <c r="C204" s="10">
        <f t="shared" si="203"/>
        <v>4691</v>
      </c>
      <c r="D204" s="10">
        <f t="shared" si="203"/>
        <v>841</v>
      </c>
      <c r="E204" s="10">
        <f t="shared" si="203"/>
        <v>4003</v>
      </c>
    </row>
    <row r="205" ht="15.75" customHeight="1">
      <c r="A205" s="4">
        <v>46407.0</v>
      </c>
      <c r="B205" s="10">
        <f t="shared" ref="B205:E205" si="204">RANDBETWEEN(500,5000)</f>
        <v>2892</v>
      </c>
      <c r="C205" s="10">
        <f t="shared" si="204"/>
        <v>2668</v>
      </c>
      <c r="D205" s="10">
        <f t="shared" si="204"/>
        <v>3813</v>
      </c>
      <c r="E205" s="10">
        <f t="shared" si="204"/>
        <v>2344</v>
      </c>
    </row>
    <row r="206" ht="15.75" customHeight="1">
      <c r="A206" s="4">
        <v>46408.0</v>
      </c>
      <c r="B206" s="10">
        <f t="shared" ref="B206:E206" si="205">RANDBETWEEN(500,5000)</f>
        <v>1902</v>
      </c>
      <c r="C206" s="10">
        <f t="shared" si="205"/>
        <v>1566</v>
      </c>
      <c r="D206" s="10">
        <f t="shared" si="205"/>
        <v>2770</v>
      </c>
      <c r="E206" s="10">
        <f t="shared" si="205"/>
        <v>1942</v>
      </c>
    </row>
    <row r="207" ht="15.75" customHeight="1">
      <c r="A207" s="4">
        <v>46409.0</v>
      </c>
      <c r="B207" s="10">
        <f t="shared" ref="B207:E207" si="206">RANDBETWEEN(500,5000)</f>
        <v>1250</v>
      </c>
      <c r="C207" s="10">
        <f t="shared" si="206"/>
        <v>4989</v>
      </c>
      <c r="D207" s="10">
        <f t="shared" si="206"/>
        <v>1795</v>
      </c>
      <c r="E207" s="10">
        <f t="shared" si="206"/>
        <v>3788</v>
      </c>
    </row>
    <row r="208" ht="15.75" customHeight="1">
      <c r="A208" s="4">
        <v>46410.0</v>
      </c>
      <c r="B208" s="10">
        <f t="shared" ref="B208:E208" si="207">RANDBETWEEN(500,5000)</f>
        <v>1668</v>
      </c>
      <c r="C208" s="10">
        <f t="shared" si="207"/>
        <v>563</v>
      </c>
      <c r="D208" s="10">
        <f t="shared" si="207"/>
        <v>3749</v>
      </c>
      <c r="E208" s="10">
        <f t="shared" si="207"/>
        <v>2342</v>
      </c>
    </row>
    <row r="209" ht="15.75" customHeight="1">
      <c r="A209" s="4">
        <v>46411.0</v>
      </c>
      <c r="B209" s="10">
        <f t="shared" ref="B209:E209" si="208">RANDBETWEEN(500,5000)</f>
        <v>4755</v>
      </c>
      <c r="C209" s="10">
        <f t="shared" si="208"/>
        <v>3492</v>
      </c>
      <c r="D209" s="10">
        <f t="shared" si="208"/>
        <v>4825</v>
      </c>
      <c r="E209" s="10">
        <f t="shared" si="208"/>
        <v>1027</v>
      </c>
    </row>
    <row r="210" ht="15.75" customHeight="1">
      <c r="A210" s="4">
        <v>46412.0</v>
      </c>
      <c r="B210" s="10">
        <f t="shared" ref="B210:E210" si="209">RANDBETWEEN(500,5000)</f>
        <v>1991</v>
      </c>
      <c r="C210" s="10">
        <f t="shared" si="209"/>
        <v>2358</v>
      </c>
      <c r="D210" s="10">
        <f t="shared" si="209"/>
        <v>2816</v>
      </c>
      <c r="E210" s="10">
        <f t="shared" si="209"/>
        <v>3982</v>
      </c>
    </row>
    <row r="211" ht="15.75" customHeight="1">
      <c r="A211" s="4">
        <v>46413.0</v>
      </c>
      <c r="B211" s="10">
        <f t="shared" ref="B211:E211" si="210">RANDBETWEEN(500,5000)</f>
        <v>2879</v>
      </c>
      <c r="C211" s="10">
        <f t="shared" si="210"/>
        <v>2555</v>
      </c>
      <c r="D211" s="10">
        <f t="shared" si="210"/>
        <v>865</v>
      </c>
      <c r="E211" s="10">
        <f t="shared" si="210"/>
        <v>786</v>
      </c>
    </row>
    <row r="212" ht="15.75" customHeight="1">
      <c r="A212" s="4">
        <v>46414.0</v>
      </c>
      <c r="B212" s="10">
        <f t="shared" ref="B212:E212" si="211">RANDBETWEEN(500,5000)</f>
        <v>3671</v>
      </c>
      <c r="C212" s="10">
        <f t="shared" si="211"/>
        <v>2146</v>
      </c>
      <c r="D212" s="10">
        <f t="shared" si="211"/>
        <v>1157</v>
      </c>
      <c r="E212" s="10">
        <f t="shared" si="211"/>
        <v>1880</v>
      </c>
    </row>
    <row r="213" ht="15.75" customHeight="1">
      <c r="A213" s="4">
        <v>46415.0</v>
      </c>
      <c r="B213" s="10">
        <f t="shared" ref="B213:E213" si="212">RANDBETWEEN(500,5000)</f>
        <v>4130</v>
      </c>
      <c r="C213" s="10">
        <f t="shared" si="212"/>
        <v>3842</v>
      </c>
      <c r="D213" s="10">
        <f t="shared" si="212"/>
        <v>4356</v>
      </c>
      <c r="E213" s="10">
        <f t="shared" si="212"/>
        <v>3040</v>
      </c>
    </row>
    <row r="214" ht="15.75" customHeight="1">
      <c r="A214" s="4">
        <v>46416.0</v>
      </c>
      <c r="B214" s="10">
        <f t="shared" ref="B214:E214" si="213">RANDBETWEEN(500,5000)</f>
        <v>3672</v>
      </c>
      <c r="C214" s="10">
        <f t="shared" si="213"/>
        <v>4239</v>
      </c>
      <c r="D214" s="10">
        <f t="shared" si="213"/>
        <v>1388</v>
      </c>
      <c r="E214" s="10">
        <f t="shared" si="213"/>
        <v>1023</v>
      </c>
    </row>
    <row r="215" ht="15.75" customHeight="1">
      <c r="A215" s="4">
        <v>46417.0</v>
      </c>
      <c r="B215" s="10">
        <f t="shared" ref="B215:E215" si="214">RANDBETWEEN(500,5000)</f>
        <v>1236</v>
      </c>
      <c r="C215" s="10">
        <f t="shared" si="214"/>
        <v>4371</v>
      </c>
      <c r="D215" s="10">
        <f t="shared" si="214"/>
        <v>4870</v>
      </c>
      <c r="E215" s="10">
        <f t="shared" si="214"/>
        <v>4222</v>
      </c>
    </row>
    <row r="216" ht="15.75" customHeight="1">
      <c r="A216" s="4">
        <v>46418.0</v>
      </c>
      <c r="B216" s="10">
        <f t="shared" ref="B216:E216" si="215">RANDBETWEEN(500,5000)</f>
        <v>1054</v>
      </c>
      <c r="C216" s="10">
        <f t="shared" si="215"/>
        <v>1647</v>
      </c>
      <c r="D216" s="10">
        <f t="shared" si="215"/>
        <v>4049</v>
      </c>
      <c r="E216" s="10">
        <f t="shared" si="215"/>
        <v>2236</v>
      </c>
    </row>
    <row r="217" ht="15.75" customHeight="1">
      <c r="A217" s="4">
        <v>46419.0</v>
      </c>
      <c r="B217" s="10">
        <f t="shared" ref="B217:E217" si="216">RANDBETWEEN(500,5000)</f>
        <v>1094</v>
      </c>
      <c r="C217" s="10">
        <f t="shared" si="216"/>
        <v>511</v>
      </c>
      <c r="D217" s="10">
        <f t="shared" si="216"/>
        <v>1140</v>
      </c>
      <c r="E217" s="10">
        <f t="shared" si="216"/>
        <v>3854</v>
      </c>
    </row>
    <row r="218" ht="15.75" customHeight="1">
      <c r="A218" s="4">
        <v>46420.0</v>
      </c>
      <c r="B218" s="10">
        <f t="shared" ref="B218:E218" si="217">RANDBETWEEN(500,5000)</f>
        <v>4487</v>
      </c>
      <c r="C218" s="10">
        <f t="shared" si="217"/>
        <v>612</v>
      </c>
      <c r="D218" s="10">
        <f t="shared" si="217"/>
        <v>698</v>
      </c>
      <c r="E218" s="10">
        <f t="shared" si="217"/>
        <v>4508</v>
      </c>
    </row>
    <row r="219" ht="15.75" customHeight="1">
      <c r="A219" s="4">
        <v>46421.0</v>
      </c>
      <c r="B219" s="10">
        <f t="shared" ref="B219:E219" si="218">RANDBETWEEN(500,5000)</f>
        <v>2412</v>
      </c>
      <c r="C219" s="10">
        <f t="shared" si="218"/>
        <v>1707</v>
      </c>
      <c r="D219" s="10">
        <f t="shared" si="218"/>
        <v>3455</v>
      </c>
      <c r="E219" s="10">
        <f t="shared" si="218"/>
        <v>4737</v>
      </c>
    </row>
    <row r="220" ht="15.75" customHeight="1">
      <c r="A220" s="4">
        <v>46422.0</v>
      </c>
      <c r="B220" s="10">
        <f t="shared" ref="B220:E220" si="219">RANDBETWEEN(500,5000)</f>
        <v>3079</v>
      </c>
      <c r="C220" s="10">
        <f t="shared" si="219"/>
        <v>3073</v>
      </c>
      <c r="D220" s="10">
        <f t="shared" si="219"/>
        <v>789</v>
      </c>
      <c r="E220" s="10">
        <f t="shared" si="219"/>
        <v>1952</v>
      </c>
    </row>
    <row r="221" ht="15.75" customHeight="1">
      <c r="A221" s="4">
        <v>46423.0</v>
      </c>
      <c r="B221" s="10">
        <f t="shared" ref="B221:E221" si="220">RANDBETWEEN(500,5000)</f>
        <v>2866</v>
      </c>
      <c r="C221" s="10">
        <f t="shared" si="220"/>
        <v>1972</v>
      </c>
      <c r="D221" s="10">
        <f t="shared" si="220"/>
        <v>3442</v>
      </c>
      <c r="E221" s="10">
        <f t="shared" si="220"/>
        <v>2010</v>
      </c>
    </row>
    <row r="222" ht="15.75" customHeight="1">
      <c r="A222" s="4">
        <v>46424.0</v>
      </c>
      <c r="B222" s="10">
        <f t="shared" ref="B222:E222" si="221">RANDBETWEEN(500,5000)</f>
        <v>1539</v>
      </c>
      <c r="C222" s="10">
        <f t="shared" si="221"/>
        <v>2329</v>
      </c>
      <c r="D222" s="10">
        <f t="shared" si="221"/>
        <v>2438</v>
      </c>
      <c r="E222" s="10">
        <f t="shared" si="221"/>
        <v>4171</v>
      </c>
    </row>
    <row r="223" ht="15.75" customHeight="1">
      <c r="A223" s="4">
        <v>46425.0</v>
      </c>
      <c r="B223" s="10">
        <f t="shared" ref="B223:E223" si="222">RANDBETWEEN(500,5000)</f>
        <v>2982</v>
      </c>
      <c r="C223" s="10">
        <f t="shared" si="222"/>
        <v>2645</v>
      </c>
      <c r="D223" s="10">
        <f t="shared" si="222"/>
        <v>867</v>
      </c>
      <c r="E223" s="10">
        <f t="shared" si="222"/>
        <v>2452</v>
      </c>
    </row>
    <row r="224" ht="15.75" customHeight="1">
      <c r="A224" s="4">
        <v>46426.0</v>
      </c>
      <c r="B224" s="10">
        <f t="shared" ref="B224:E224" si="223">RANDBETWEEN(500,5000)</f>
        <v>875</v>
      </c>
      <c r="C224" s="10">
        <f t="shared" si="223"/>
        <v>4372</v>
      </c>
      <c r="D224" s="10">
        <f t="shared" si="223"/>
        <v>637</v>
      </c>
      <c r="E224" s="10">
        <f t="shared" si="223"/>
        <v>3404</v>
      </c>
    </row>
    <row r="225" ht="15.75" customHeight="1">
      <c r="A225" s="4">
        <v>46427.0</v>
      </c>
      <c r="B225" s="10">
        <f t="shared" ref="B225:E225" si="224">RANDBETWEEN(500,5000)</f>
        <v>4108</v>
      </c>
      <c r="C225" s="10">
        <f t="shared" si="224"/>
        <v>1683</v>
      </c>
      <c r="D225" s="10">
        <f t="shared" si="224"/>
        <v>4897</v>
      </c>
      <c r="E225" s="10">
        <f t="shared" si="224"/>
        <v>1552</v>
      </c>
    </row>
    <row r="226" ht="15.75" customHeight="1">
      <c r="A226" s="4">
        <v>46428.0</v>
      </c>
      <c r="B226" s="10">
        <f t="shared" ref="B226:E226" si="225">RANDBETWEEN(500,5000)</f>
        <v>3248</v>
      </c>
      <c r="C226" s="10">
        <f t="shared" si="225"/>
        <v>1199</v>
      </c>
      <c r="D226" s="10">
        <f t="shared" si="225"/>
        <v>2662</v>
      </c>
      <c r="E226" s="10">
        <f t="shared" si="225"/>
        <v>1396</v>
      </c>
    </row>
    <row r="227" ht="15.75" customHeight="1">
      <c r="A227" s="4">
        <v>46429.0</v>
      </c>
      <c r="B227" s="10">
        <f t="shared" ref="B227:E227" si="226">RANDBETWEEN(500,5000)</f>
        <v>3907</v>
      </c>
      <c r="C227" s="10">
        <f t="shared" si="226"/>
        <v>1459</v>
      </c>
      <c r="D227" s="10">
        <f t="shared" si="226"/>
        <v>3140</v>
      </c>
      <c r="E227" s="10">
        <f t="shared" si="226"/>
        <v>1241</v>
      </c>
    </row>
    <row r="228" ht="15.75" customHeight="1">
      <c r="A228" s="4">
        <v>46430.0</v>
      </c>
      <c r="B228" s="10">
        <f t="shared" ref="B228:E228" si="227">RANDBETWEEN(500,5000)</f>
        <v>2212</v>
      </c>
      <c r="C228" s="10">
        <f t="shared" si="227"/>
        <v>3811</v>
      </c>
      <c r="D228" s="10">
        <f t="shared" si="227"/>
        <v>3631</v>
      </c>
      <c r="E228" s="10">
        <f t="shared" si="227"/>
        <v>1610</v>
      </c>
    </row>
    <row r="229" ht="15.75" customHeight="1">
      <c r="A229" s="4">
        <v>46431.0</v>
      </c>
      <c r="B229" s="10">
        <f t="shared" ref="B229:E229" si="228">RANDBETWEEN(500,5000)</f>
        <v>4061</v>
      </c>
      <c r="C229" s="10">
        <f t="shared" si="228"/>
        <v>1204</v>
      </c>
      <c r="D229" s="10">
        <f t="shared" si="228"/>
        <v>3774</v>
      </c>
      <c r="E229" s="10">
        <f t="shared" si="228"/>
        <v>2072</v>
      </c>
    </row>
    <row r="230" ht="15.75" customHeight="1">
      <c r="A230" s="4">
        <v>46432.0</v>
      </c>
      <c r="B230" s="10">
        <f t="shared" ref="B230:E230" si="229">RANDBETWEEN(500,5000)</f>
        <v>2252</v>
      </c>
      <c r="C230" s="10">
        <f t="shared" si="229"/>
        <v>2367</v>
      </c>
      <c r="D230" s="10">
        <f t="shared" si="229"/>
        <v>4242</v>
      </c>
      <c r="E230" s="10">
        <f t="shared" si="229"/>
        <v>4667</v>
      </c>
    </row>
    <row r="231" ht="15.75" customHeight="1">
      <c r="A231" s="4">
        <v>46433.0</v>
      </c>
      <c r="B231" s="10">
        <f t="shared" ref="B231:E231" si="230">RANDBETWEEN(500,5000)</f>
        <v>1154</v>
      </c>
      <c r="C231" s="10">
        <f t="shared" si="230"/>
        <v>3180</v>
      </c>
      <c r="D231" s="10">
        <f t="shared" si="230"/>
        <v>2055</v>
      </c>
      <c r="E231" s="10">
        <f t="shared" si="230"/>
        <v>3704</v>
      </c>
    </row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E1041DE-0C9B-40EA-A195-CFD1AE087C88}" filter="1" showAutoFilter="1">
      <autoFilter ref="$A$1:$E$231"/>
    </customSheetView>
  </customSheetViews>
  <printOptions/>
  <pageMargins bottom="0.75" footer="0.0" header="0.0" left="0.7" right="0.7" top="0.75"/>
  <pageSetup fitToHeight="0"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0"/>
  <cols>
    <col customWidth="1" min="1" max="1" width="12.63"/>
    <col customWidth="1" min="2" max="2" width="25.25"/>
    <col customWidth="1" hidden="1" min="3" max="3" width="30.88"/>
    <col customWidth="1" hidden="1" min="4" max="4" width="30.38"/>
    <col customWidth="1" min="5" max="56" width="4.63"/>
    <col customWidth="1" min="57" max="58" width="5.5"/>
    <col customWidth="1" min="59" max="59" width="14.5"/>
    <col customWidth="1" min="60" max="60" width="12.13"/>
    <col customWidth="1" min="61" max="64" width="7.63"/>
  </cols>
  <sheetData>
    <row r="1" ht="121.5" customHeight="1">
      <c r="A1" s="3" t="s">
        <v>0</v>
      </c>
      <c r="B1" s="3" t="s">
        <v>5</v>
      </c>
      <c r="C1" s="3" t="s">
        <v>6</v>
      </c>
      <c r="D1" s="3" t="s">
        <v>7</v>
      </c>
      <c r="E1" s="6" t="s">
        <v>8</v>
      </c>
      <c r="F1" s="7"/>
      <c r="G1" s="8" t="s">
        <v>10</v>
      </c>
      <c r="H1" s="7"/>
      <c r="I1" s="8" t="s">
        <v>12</v>
      </c>
      <c r="J1" s="7"/>
      <c r="K1" s="12" t="s">
        <v>14</v>
      </c>
      <c r="L1" s="7"/>
      <c r="M1" s="12" t="s">
        <v>16</v>
      </c>
      <c r="N1" s="7"/>
      <c r="O1" s="8" t="s">
        <v>18</v>
      </c>
      <c r="P1" s="7"/>
      <c r="Q1" s="8" t="s">
        <v>20</v>
      </c>
      <c r="R1" s="7"/>
      <c r="S1" s="12" t="s">
        <v>21</v>
      </c>
      <c r="T1" s="7"/>
      <c r="U1" s="12" t="s">
        <v>23</v>
      </c>
      <c r="V1" s="7"/>
      <c r="W1" s="12" t="s">
        <v>25</v>
      </c>
      <c r="X1" s="7"/>
      <c r="Y1" s="12" t="s">
        <v>26</v>
      </c>
      <c r="Z1" s="7"/>
      <c r="AA1" s="12" t="s">
        <v>28</v>
      </c>
      <c r="AB1" s="7"/>
      <c r="AC1" s="8" t="s">
        <v>29</v>
      </c>
      <c r="AD1" s="7"/>
      <c r="AE1" s="12" t="s">
        <v>31</v>
      </c>
      <c r="AF1" s="7"/>
      <c r="AG1" s="12" t="s">
        <v>33</v>
      </c>
      <c r="AH1" s="7"/>
      <c r="AI1" s="12" t="s">
        <v>35</v>
      </c>
      <c r="AJ1" s="7"/>
      <c r="AK1" s="12" t="s">
        <v>36</v>
      </c>
      <c r="AL1" s="7"/>
      <c r="AM1" s="12" t="s">
        <v>38</v>
      </c>
      <c r="AN1" s="7"/>
      <c r="AO1" s="12" t="s">
        <v>41</v>
      </c>
      <c r="AP1" s="7"/>
      <c r="AQ1" s="8" t="s">
        <v>45</v>
      </c>
      <c r="AR1" s="7"/>
      <c r="AS1" s="12" t="s">
        <v>49</v>
      </c>
      <c r="AT1" s="7"/>
      <c r="AU1" s="12" t="s">
        <v>53</v>
      </c>
      <c r="AV1" s="7"/>
      <c r="AW1" s="12" t="s">
        <v>57</v>
      </c>
      <c r="AX1" s="7"/>
      <c r="AY1" s="12" t="s">
        <v>60</v>
      </c>
      <c r="AZ1" s="7"/>
      <c r="BA1" s="12" t="s">
        <v>64</v>
      </c>
      <c r="BB1" s="7"/>
      <c r="BC1" s="8" t="s">
        <v>67</v>
      </c>
      <c r="BD1" s="7"/>
      <c r="BE1" s="25" t="s">
        <v>70</v>
      </c>
      <c r="BF1" s="7"/>
      <c r="BG1" s="26" t="s">
        <v>74</v>
      </c>
      <c r="BH1" s="26" t="s">
        <v>75</v>
      </c>
    </row>
    <row r="2">
      <c r="A2" s="27"/>
      <c r="B2" s="27"/>
      <c r="C2" s="27"/>
      <c r="D2" s="27"/>
      <c r="E2" s="28" t="s">
        <v>78</v>
      </c>
      <c r="F2" s="31" t="s">
        <v>79</v>
      </c>
      <c r="G2" s="32" t="s">
        <v>78</v>
      </c>
      <c r="H2" s="31" t="s">
        <v>79</v>
      </c>
      <c r="I2" s="32" t="s">
        <v>78</v>
      </c>
      <c r="J2" s="31" t="s">
        <v>79</v>
      </c>
      <c r="K2" s="32" t="s">
        <v>78</v>
      </c>
      <c r="L2" s="31" t="s">
        <v>79</v>
      </c>
      <c r="M2" s="32" t="s">
        <v>78</v>
      </c>
      <c r="N2" s="31" t="s">
        <v>79</v>
      </c>
      <c r="O2" s="32" t="s">
        <v>78</v>
      </c>
      <c r="P2" s="31" t="s">
        <v>79</v>
      </c>
      <c r="Q2" s="32" t="s">
        <v>78</v>
      </c>
      <c r="R2" s="31" t="s">
        <v>79</v>
      </c>
      <c r="S2" s="32" t="s">
        <v>78</v>
      </c>
      <c r="T2" s="31" t="s">
        <v>79</v>
      </c>
      <c r="U2" s="32" t="s">
        <v>78</v>
      </c>
      <c r="V2" s="31" t="s">
        <v>79</v>
      </c>
      <c r="W2" s="32" t="s">
        <v>78</v>
      </c>
      <c r="X2" s="31" t="s">
        <v>79</v>
      </c>
      <c r="Y2" s="32" t="s">
        <v>78</v>
      </c>
      <c r="Z2" s="31" t="s">
        <v>79</v>
      </c>
      <c r="AA2" s="32" t="s">
        <v>78</v>
      </c>
      <c r="AB2" s="31" t="s">
        <v>79</v>
      </c>
      <c r="AC2" s="32" t="s">
        <v>78</v>
      </c>
      <c r="AD2" s="31" t="s">
        <v>79</v>
      </c>
      <c r="AE2" s="32" t="s">
        <v>78</v>
      </c>
      <c r="AF2" s="31" t="s">
        <v>79</v>
      </c>
      <c r="AG2" s="32" t="s">
        <v>78</v>
      </c>
      <c r="AH2" s="31" t="s">
        <v>79</v>
      </c>
      <c r="AI2" s="32" t="s">
        <v>78</v>
      </c>
      <c r="AJ2" s="31" t="s">
        <v>79</v>
      </c>
      <c r="AK2" s="32" t="s">
        <v>78</v>
      </c>
      <c r="AL2" s="31" t="s">
        <v>79</v>
      </c>
      <c r="AM2" s="32" t="s">
        <v>78</v>
      </c>
      <c r="AN2" s="31" t="s">
        <v>79</v>
      </c>
      <c r="AO2" s="32" t="s">
        <v>78</v>
      </c>
      <c r="AP2" s="31" t="s">
        <v>79</v>
      </c>
      <c r="AQ2" s="32" t="s">
        <v>78</v>
      </c>
      <c r="AR2" s="31" t="s">
        <v>79</v>
      </c>
      <c r="AS2" s="32" t="s">
        <v>78</v>
      </c>
      <c r="AT2" s="31" t="s">
        <v>79</v>
      </c>
      <c r="AU2" s="32" t="s">
        <v>78</v>
      </c>
      <c r="AV2" s="31" t="s">
        <v>79</v>
      </c>
      <c r="AW2" s="32" t="s">
        <v>78</v>
      </c>
      <c r="AX2" s="31" t="s">
        <v>79</v>
      </c>
      <c r="AY2" s="32" t="s">
        <v>78</v>
      </c>
      <c r="AZ2" s="31" t="s">
        <v>79</v>
      </c>
      <c r="BA2" s="32" t="s">
        <v>78</v>
      </c>
      <c r="BB2" s="31" t="s">
        <v>79</v>
      </c>
      <c r="BC2" s="32" t="s">
        <v>78</v>
      </c>
      <c r="BD2" s="31" t="s">
        <v>79</v>
      </c>
      <c r="BE2" s="32" t="s">
        <v>78</v>
      </c>
      <c r="BF2" s="31" t="s">
        <v>79</v>
      </c>
      <c r="BG2" s="36"/>
      <c r="BH2" s="36"/>
      <c r="BI2" s="36"/>
      <c r="BJ2" s="36"/>
      <c r="BK2" s="36"/>
      <c r="BL2" s="36"/>
    </row>
    <row r="3">
      <c r="A3" s="38"/>
      <c r="B3" s="39"/>
      <c r="C3" s="39"/>
      <c r="D3" s="39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2"/>
      <c r="BG3" s="43"/>
      <c r="BH3" s="43"/>
      <c r="BI3" s="43"/>
      <c r="BJ3" s="43"/>
      <c r="BK3" s="43"/>
      <c r="BL3" s="43"/>
    </row>
    <row r="4">
      <c r="A4" s="44">
        <v>46261.0</v>
      </c>
      <c r="B4" s="45" t="s">
        <v>95</v>
      </c>
      <c r="C4" s="46" t="s">
        <v>96</v>
      </c>
      <c r="D4" s="47" t="s">
        <v>98</v>
      </c>
      <c r="E4" s="49">
        <f t="shared" ref="E4:E38" si="6">ROUNDUP(F4/3,0)</f>
        <v>2</v>
      </c>
      <c r="F4" s="50">
        <f t="shared" ref="F4:F29" si="7">RANDBETWEEN(0,4)</f>
        <v>4</v>
      </c>
      <c r="G4" s="49">
        <f t="shared" ref="G4:G38" si="8">ROUNDUP(H4/3,0)</f>
        <v>1</v>
      </c>
      <c r="H4" s="50">
        <f t="shared" ref="H4:H29" si="9">RANDBETWEEN(0,4)</f>
        <v>3</v>
      </c>
      <c r="I4" s="49">
        <f t="shared" ref="I4:I38" si="10">ROUNDUP(J4/3,0)</f>
        <v>1</v>
      </c>
      <c r="J4" s="50">
        <f t="shared" ref="J4:J29" si="11">RANDBETWEEN(0,4)</f>
        <v>2</v>
      </c>
      <c r="K4" s="53">
        <f t="shared" ref="K4:K38" si="12">ROUNDUP(L4/3,0)</f>
        <v>1</v>
      </c>
      <c r="L4" s="54">
        <f t="shared" ref="L4:L29" si="13">RANDBETWEEN(0,4)</f>
        <v>1</v>
      </c>
      <c r="M4" s="53">
        <f t="shared" ref="M4:M38" si="14">ROUNDUP(N4/3,0)</f>
        <v>1</v>
      </c>
      <c r="N4" s="54">
        <f t="shared" ref="N4:N29" si="15">RANDBETWEEN(0,4)</f>
        <v>2</v>
      </c>
      <c r="O4" s="49">
        <f t="shared" ref="O4:P4" si="1">SUM(K4,M4)</f>
        <v>2</v>
      </c>
      <c r="P4" s="50">
        <f t="shared" si="1"/>
        <v>3</v>
      </c>
      <c r="Q4" s="49">
        <f t="shared" ref="Q4:Q38" si="17">ROUNDUP(R4/3,0)</f>
        <v>1</v>
      </c>
      <c r="R4" s="50">
        <f t="shared" ref="R4:R29" si="18">RANDBETWEEN(0,4)</f>
        <v>3</v>
      </c>
      <c r="S4" s="53">
        <f t="shared" ref="S4:S38" si="19">ROUNDUP(T4/3,0)</f>
        <v>1</v>
      </c>
      <c r="T4" s="54">
        <f t="shared" ref="T4:T29" si="20">RANDBETWEEN(0,4)</f>
        <v>3</v>
      </c>
      <c r="U4" s="53">
        <f t="shared" ref="U4:U38" si="21">ROUNDUP(V4/3,0)</f>
        <v>2</v>
      </c>
      <c r="V4" s="54">
        <f t="shared" ref="V4:V29" si="22">RANDBETWEEN(0,4)</f>
        <v>4</v>
      </c>
      <c r="W4" s="53">
        <f t="shared" ref="W4:W38" si="23">ROUNDUP(X4/3,0)</f>
        <v>0</v>
      </c>
      <c r="X4" s="54">
        <f t="shared" ref="X4:X29" si="24">RANDBETWEEN(0,4)</f>
        <v>0</v>
      </c>
      <c r="Y4" s="53">
        <f t="shared" ref="Y4:Y38" si="25">ROUNDUP(Z4/3,0)</f>
        <v>0</v>
      </c>
      <c r="Z4" s="54">
        <f t="shared" ref="Z4:Z29" si="26">RANDBETWEEN(0,4)</f>
        <v>0</v>
      </c>
      <c r="AA4" s="53">
        <f t="shared" ref="AA4:AA38" si="27">ROUNDUP(AB4/3,0)</f>
        <v>1</v>
      </c>
      <c r="AB4" s="54">
        <f t="shared" ref="AB4:AB29" si="28">RANDBETWEEN(0,4)</f>
        <v>2</v>
      </c>
      <c r="AC4" s="49">
        <f t="shared" ref="AC4:AD4" si="2">SUM(S4,U4,W4,Y4,AA4)</f>
        <v>4</v>
      </c>
      <c r="AD4" s="50">
        <f t="shared" si="2"/>
        <v>9</v>
      </c>
      <c r="AE4" s="53">
        <f t="shared" ref="AE4:AE38" si="30">ROUNDUP(AF4/3,0)</f>
        <v>2</v>
      </c>
      <c r="AF4" s="54">
        <f t="shared" ref="AF4:AF29" si="31">RANDBETWEEN(0,4)</f>
        <v>4</v>
      </c>
      <c r="AG4" s="53">
        <f t="shared" ref="AG4:AG38" si="32">ROUNDUP(AH4/3,0)</f>
        <v>1</v>
      </c>
      <c r="AH4" s="54">
        <f t="shared" ref="AH4:AH29" si="33">RANDBETWEEN(0,4)</f>
        <v>1</v>
      </c>
      <c r="AI4" s="53">
        <f t="shared" ref="AI4:AI38" si="34">ROUNDUP(AJ4/3,0)</f>
        <v>1</v>
      </c>
      <c r="AJ4" s="54">
        <f t="shared" ref="AJ4:AJ29" si="35">RANDBETWEEN(0,4)</f>
        <v>3</v>
      </c>
      <c r="AK4" s="53">
        <f t="shared" ref="AK4:AK38" si="36">ROUNDUP(AL4/3,0)</f>
        <v>2</v>
      </c>
      <c r="AL4" s="54">
        <f t="shared" ref="AL4:AL29" si="37">RANDBETWEEN(0,4)</f>
        <v>4</v>
      </c>
      <c r="AM4" s="53">
        <f t="shared" ref="AM4:AM38" si="38">ROUNDUP(AN4/3,0)</f>
        <v>2</v>
      </c>
      <c r="AN4" s="54">
        <f t="shared" ref="AN4:AN29" si="39">RANDBETWEEN(0,4)</f>
        <v>4</v>
      </c>
      <c r="AO4" s="53">
        <f t="shared" ref="AO4:AO38" si="40">ROUNDUP(AP4/3,0)</f>
        <v>1</v>
      </c>
      <c r="AP4" s="54">
        <f t="shared" ref="AP4:AP29" si="41">RANDBETWEEN(0,4)</f>
        <v>1</v>
      </c>
      <c r="AQ4" s="49">
        <f t="shared" ref="AQ4:AR4" si="3">SUM(AG4,AI4,AK4,AM4,AO4)</f>
        <v>7</v>
      </c>
      <c r="AR4" s="50">
        <f t="shared" si="3"/>
        <v>13</v>
      </c>
      <c r="AS4" s="53">
        <f t="shared" ref="AS4:AS38" si="43">ROUNDUP(AT4/3,0)</f>
        <v>2</v>
      </c>
      <c r="AT4" s="54">
        <f t="shared" ref="AT4:AT29" si="44">RANDBETWEEN(0,4)</f>
        <v>4</v>
      </c>
      <c r="AU4" s="53">
        <f t="shared" ref="AU4:AU38" si="45">ROUNDUP(AV4/3,0)</f>
        <v>0</v>
      </c>
      <c r="AV4" s="54">
        <f t="shared" ref="AV4:AV29" si="46">RANDBETWEEN(0,4)</f>
        <v>0</v>
      </c>
      <c r="AW4" s="53">
        <f t="shared" ref="AW4:AW38" si="47">ROUNDUP(AX4/3,0)</f>
        <v>1</v>
      </c>
      <c r="AX4" s="54">
        <f t="shared" ref="AX4:AX29" si="48">RANDBETWEEN(0,4)</f>
        <v>2</v>
      </c>
      <c r="AY4" s="53">
        <f t="shared" ref="AY4:AY38" si="49">ROUNDUP(AZ4/3,0)</f>
        <v>1</v>
      </c>
      <c r="AZ4" s="54">
        <f t="shared" ref="AZ4:AZ29" si="50">RANDBETWEEN(0,4)</f>
        <v>2</v>
      </c>
      <c r="BA4" s="53">
        <f t="shared" ref="BA4:BA38" si="51">ROUNDUP(BB4/3,0)</f>
        <v>2</v>
      </c>
      <c r="BB4" s="54">
        <f t="shared" ref="BB4:BB29" si="52">RANDBETWEEN(0,4)</f>
        <v>4</v>
      </c>
      <c r="BC4" s="49">
        <f t="shared" ref="BC4:BD4" si="4">SUM(AS4,AU4,AW4,AY4,BA4)</f>
        <v>6</v>
      </c>
      <c r="BD4" s="50">
        <f t="shared" si="4"/>
        <v>12</v>
      </c>
      <c r="BE4" s="68">
        <f t="shared" ref="BE4:BF4" si="5">SUM(E4,G4,I4,O4,Q4,AC4,AQ4,BC4)</f>
        <v>24</v>
      </c>
      <c r="BF4" s="69">
        <f t="shared" si="5"/>
        <v>49</v>
      </c>
      <c r="BG4" s="46" t="str">
        <f>BF4*'ОВгП_РАО'!$B$2</f>
        <v>#REF!</v>
      </c>
      <c r="BH4" s="46" t="str">
        <f>'ОВгП_РАО'!$B$2</f>
        <v>#REF!</v>
      </c>
    </row>
    <row r="5">
      <c r="A5" s="71">
        <f t="shared" ref="A5:A38" si="55">A4</f>
        <v>46261</v>
      </c>
      <c r="B5" s="45" t="s">
        <v>115</v>
      </c>
      <c r="C5" s="46" t="s">
        <v>96</v>
      </c>
      <c r="D5" s="47" t="s">
        <v>98</v>
      </c>
      <c r="E5" s="73">
        <f t="shared" si="6"/>
        <v>1</v>
      </c>
      <c r="F5" s="50">
        <f t="shared" si="7"/>
        <v>3</v>
      </c>
      <c r="G5" s="73">
        <f t="shared" si="8"/>
        <v>1</v>
      </c>
      <c r="H5" s="50">
        <f t="shared" si="9"/>
        <v>2</v>
      </c>
      <c r="I5" s="73">
        <f t="shared" si="10"/>
        <v>0</v>
      </c>
      <c r="J5" s="50">
        <f t="shared" si="11"/>
        <v>0</v>
      </c>
      <c r="K5" s="53">
        <f t="shared" si="12"/>
        <v>1</v>
      </c>
      <c r="L5" s="54">
        <f t="shared" si="13"/>
        <v>2</v>
      </c>
      <c r="M5" s="53">
        <f t="shared" si="14"/>
        <v>2</v>
      </c>
      <c r="N5" s="54">
        <f t="shared" si="15"/>
        <v>4</v>
      </c>
      <c r="O5" s="49">
        <f t="shared" ref="O5:P5" si="16">SUM(K5,M5)</f>
        <v>3</v>
      </c>
      <c r="P5" s="50">
        <f t="shared" si="16"/>
        <v>6</v>
      </c>
      <c r="Q5" s="73">
        <f t="shared" si="17"/>
        <v>1</v>
      </c>
      <c r="R5" s="50">
        <f t="shared" si="18"/>
        <v>3</v>
      </c>
      <c r="S5" s="53">
        <f t="shared" si="19"/>
        <v>1</v>
      </c>
      <c r="T5" s="54">
        <f t="shared" si="20"/>
        <v>1</v>
      </c>
      <c r="U5" s="53">
        <f t="shared" si="21"/>
        <v>1</v>
      </c>
      <c r="V5" s="54">
        <f t="shared" si="22"/>
        <v>3</v>
      </c>
      <c r="W5" s="53">
        <f t="shared" si="23"/>
        <v>1</v>
      </c>
      <c r="X5" s="54">
        <f t="shared" si="24"/>
        <v>2</v>
      </c>
      <c r="Y5" s="53">
        <f t="shared" si="25"/>
        <v>2</v>
      </c>
      <c r="Z5" s="54">
        <f t="shared" si="26"/>
        <v>4</v>
      </c>
      <c r="AA5" s="53">
        <f t="shared" si="27"/>
        <v>1</v>
      </c>
      <c r="AB5" s="54">
        <f t="shared" si="28"/>
        <v>1</v>
      </c>
      <c r="AC5" s="49">
        <f t="shared" ref="AC5:AD5" si="29">SUM(S5,U5,W5,Y5,AA5)</f>
        <v>6</v>
      </c>
      <c r="AD5" s="50">
        <f t="shared" si="29"/>
        <v>11</v>
      </c>
      <c r="AE5" s="53">
        <f t="shared" si="30"/>
        <v>1</v>
      </c>
      <c r="AF5" s="54">
        <f t="shared" si="31"/>
        <v>3</v>
      </c>
      <c r="AG5" s="53">
        <f t="shared" si="32"/>
        <v>2</v>
      </c>
      <c r="AH5" s="54">
        <f t="shared" si="33"/>
        <v>4</v>
      </c>
      <c r="AI5" s="53">
        <f t="shared" si="34"/>
        <v>1</v>
      </c>
      <c r="AJ5" s="54">
        <f t="shared" si="35"/>
        <v>1</v>
      </c>
      <c r="AK5" s="53">
        <f t="shared" si="36"/>
        <v>1</v>
      </c>
      <c r="AL5" s="54">
        <f t="shared" si="37"/>
        <v>1</v>
      </c>
      <c r="AM5" s="53">
        <f t="shared" si="38"/>
        <v>1</v>
      </c>
      <c r="AN5" s="54">
        <f t="shared" si="39"/>
        <v>3</v>
      </c>
      <c r="AO5" s="53">
        <f t="shared" si="40"/>
        <v>2</v>
      </c>
      <c r="AP5" s="54">
        <f t="shared" si="41"/>
        <v>4</v>
      </c>
      <c r="AQ5" s="49">
        <f t="shared" ref="AQ5:AR5" si="42">SUM(AG5,AI5,AK5,AM5,AO5)</f>
        <v>7</v>
      </c>
      <c r="AR5" s="50">
        <f t="shared" si="42"/>
        <v>13</v>
      </c>
      <c r="AS5" s="53">
        <f t="shared" si="43"/>
        <v>0</v>
      </c>
      <c r="AT5" s="54">
        <f t="shared" si="44"/>
        <v>0</v>
      </c>
      <c r="AU5" s="53">
        <f t="shared" si="45"/>
        <v>2</v>
      </c>
      <c r="AV5" s="54">
        <f t="shared" si="46"/>
        <v>4</v>
      </c>
      <c r="AW5" s="53">
        <f t="shared" si="47"/>
        <v>1</v>
      </c>
      <c r="AX5" s="54">
        <f t="shared" si="48"/>
        <v>3</v>
      </c>
      <c r="AY5" s="53">
        <f t="shared" si="49"/>
        <v>1</v>
      </c>
      <c r="AZ5" s="54">
        <f t="shared" si="50"/>
        <v>1</v>
      </c>
      <c r="BA5" s="53">
        <f t="shared" si="51"/>
        <v>1</v>
      </c>
      <c r="BB5" s="54">
        <f t="shared" si="52"/>
        <v>3</v>
      </c>
      <c r="BC5" s="49">
        <f t="shared" ref="BC5:BD5" si="53">SUM(AS5,AU5,AW5,AY5,BA5)</f>
        <v>5</v>
      </c>
      <c r="BD5" s="50">
        <f t="shared" si="53"/>
        <v>11</v>
      </c>
      <c r="BE5" s="68">
        <f t="shared" ref="BE5:BF5" si="54">SUM(E5,G5,I5,O5,Q5,AC5,AQ5,BC5)</f>
        <v>24</v>
      </c>
      <c r="BF5" s="69">
        <f t="shared" si="54"/>
        <v>49</v>
      </c>
      <c r="BG5" s="46" t="str">
        <f>BF5*'ОВгП_РАО'!$B$3</f>
        <v>#REF!</v>
      </c>
      <c r="BH5" s="46" t="str">
        <f>'ОВгП_РАО'!$B$3</f>
        <v>#REF!</v>
      </c>
    </row>
    <row r="6">
      <c r="A6" s="80">
        <f t="shared" si="55"/>
        <v>46261</v>
      </c>
      <c r="B6" s="45" t="s">
        <v>116</v>
      </c>
      <c r="C6" s="46" t="s">
        <v>96</v>
      </c>
      <c r="D6" s="47" t="s">
        <v>98</v>
      </c>
      <c r="E6" s="73">
        <f t="shared" si="6"/>
        <v>1</v>
      </c>
      <c r="F6" s="50">
        <f t="shared" si="7"/>
        <v>2</v>
      </c>
      <c r="G6" s="73">
        <f t="shared" si="8"/>
        <v>2</v>
      </c>
      <c r="H6" s="50">
        <f t="shared" si="9"/>
        <v>4</v>
      </c>
      <c r="I6" s="73">
        <f t="shared" si="10"/>
        <v>1</v>
      </c>
      <c r="J6" s="50">
        <f t="shared" si="11"/>
        <v>3</v>
      </c>
      <c r="K6" s="53">
        <f t="shared" si="12"/>
        <v>0</v>
      </c>
      <c r="L6" s="54">
        <f t="shared" si="13"/>
        <v>0</v>
      </c>
      <c r="M6" s="53">
        <f t="shared" si="14"/>
        <v>0</v>
      </c>
      <c r="N6" s="54">
        <f t="shared" si="15"/>
        <v>0</v>
      </c>
      <c r="O6" s="49">
        <f t="shared" ref="O6:P6" si="56">SUM(K6,M6)</f>
        <v>0</v>
      </c>
      <c r="P6" s="50">
        <f t="shared" si="56"/>
        <v>0</v>
      </c>
      <c r="Q6" s="73">
        <f t="shared" si="17"/>
        <v>1</v>
      </c>
      <c r="R6" s="50">
        <f t="shared" si="18"/>
        <v>2</v>
      </c>
      <c r="S6" s="53">
        <f t="shared" si="19"/>
        <v>1</v>
      </c>
      <c r="T6" s="54">
        <f t="shared" si="20"/>
        <v>1</v>
      </c>
      <c r="U6" s="53">
        <f t="shared" si="21"/>
        <v>1</v>
      </c>
      <c r="V6" s="54">
        <f t="shared" si="22"/>
        <v>3</v>
      </c>
      <c r="W6" s="53">
        <f t="shared" si="23"/>
        <v>1</v>
      </c>
      <c r="X6" s="54">
        <f t="shared" si="24"/>
        <v>3</v>
      </c>
      <c r="Y6" s="53">
        <f t="shared" si="25"/>
        <v>1</v>
      </c>
      <c r="Z6" s="54">
        <f t="shared" si="26"/>
        <v>2</v>
      </c>
      <c r="AA6" s="53">
        <f t="shared" si="27"/>
        <v>1</v>
      </c>
      <c r="AB6" s="54">
        <f t="shared" si="28"/>
        <v>3</v>
      </c>
      <c r="AC6" s="49">
        <f t="shared" ref="AC6:AD6" si="57">SUM(S6,U6,W6,Y6,AA6)</f>
        <v>5</v>
      </c>
      <c r="AD6" s="50">
        <f t="shared" si="57"/>
        <v>12</v>
      </c>
      <c r="AE6" s="53">
        <f t="shared" si="30"/>
        <v>1</v>
      </c>
      <c r="AF6" s="54">
        <f t="shared" si="31"/>
        <v>3</v>
      </c>
      <c r="AG6" s="53">
        <f t="shared" si="32"/>
        <v>1</v>
      </c>
      <c r="AH6" s="54">
        <f t="shared" si="33"/>
        <v>1</v>
      </c>
      <c r="AI6" s="53">
        <f t="shared" si="34"/>
        <v>1</v>
      </c>
      <c r="AJ6" s="54">
        <f t="shared" si="35"/>
        <v>1</v>
      </c>
      <c r="AK6" s="53">
        <f t="shared" si="36"/>
        <v>1</v>
      </c>
      <c r="AL6" s="54">
        <f t="shared" si="37"/>
        <v>2</v>
      </c>
      <c r="AM6" s="53">
        <f t="shared" si="38"/>
        <v>1</v>
      </c>
      <c r="AN6" s="54">
        <f t="shared" si="39"/>
        <v>1</v>
      </c>
      <c r="AO6" s="53">
        <f t="shared" si="40"/>
        <v>1</v>
      </c>
      <c r="AP6" s="54">
        <f t="shared" si="41"/>
        <v>1</v>
      </c>
      <c r="AQ6" s="49">
        <f t="shared" ref="AQ6:AR6" si="58">SUM(AG6,AI6,AK6,AM6,AO6)</f>
        <v>5</v>
      </c>
      <c r="AR6" s="50">
        <f t="shared" si="58"/>
        <v>6</v>
      </c>
      <c r="AS6" s="53">
        <f t="shared" si="43"/>
        <v>0</v>
      </c>
      <c r="AT6" s="54">
        <f t="shared" si="44"/>
        <v>0</v>
      </c>
      <c r="AU6" s="53">
        <f t="shared" si="45"/>
        <v>1</v>
      </c>
      <c r="AV6" s="54">
        <f t="shared" si="46"/>
        <v>1</v>
      </c>
      <c r="AW6" s="53">
        <f t="shared" si="47"/>
        <v>1</v>
      </c>
      <c r="AX6" s="54">
        <f t="shared" si="48"/>
        <v>1</v>
      </c>
      <c r="AY6" s="53">
        <f t="shared" si="49"/>
        <v>1</v>
      </c>
      <c r="AZ6" s="54">
        <f t="shared" si="50"/>
        <v>2</v>
      </c>
      <c r="BA6" s="53">
        <f t="shared" si="51"/>
        <v>1</v>
      </c>
      <c r="BB6" s="54">
        <f t="shared" si="52"/>
        <v>2</v>
      </c>
      <c r="BC6" s="49">
        <f t="shared" ref="BC6:BD6" si="59">SUM(AS6,AU6,AW6,AY6,BA6)</f>
        <v>4</v>
      </c>
      <c r="BD6" s="50">
        <f t="shared" si="59"/>
        <v>6</v>
      </c>
      <c r="BE6" s="68">
        <f t="shared" ref="BE6:BF6" si="60">SUM(E6,G6,I6,O6,Q6,AC6,AQ6,BC6)</f>
        <v>19</v>
      </c>
      <c r="BF6" s="69">
        <f t="shared" si="60"/>
        <v>35</v>
      </c>
      <c r="BG6" s="46" t="str">
        <f>BF6*'ОВгП_РАО'!$B$4</f>
        <v>#REF!</v>
      </c>
      <c r="BH6" s="46" t="str">
        <f>'ОВгП_РАО'!$B$4</f>
        <v>#REF!</v>
      </c>
    </row>
    <row r="7">
      <c r="A7" s="80">
        <f t="shared" si="55"/>
        <v>46261</v>
      </c>
      <c r="B7" s="45" t="s">
        <v>117</v>
      </c>
      <c r="C7" s="46" t="s">
        <v>96</v>
      </c>
      <c r="D7" s="47" t="s">
        <v>98</v>
      </c>
      <c r="E7" s="73">
        <f t="shared" si="6"/>
        <v>1</v>
      </c>
      <c r="F7" s="50">
        <f t="shared" si="7"/>
        <v>3</v>
      </c>
      <c r="G7" s="73">
        <f t="shared" si="8"/>
        <v>1</v>
      </c>
      <c r="H7" s="50">
        <f t="shared" si="9"/>
        <v>2</v>
      </c>
      <c r="I7" s="73">
        <f t="shared" si="10"/>
        <v>1</v>
      </c>
      <c r="J7" s="50">
        <f t="shared" si="11"/>
        <v>2</v>
      </c>
      <c r="K7" s="53">
        <f t="shared" si="12"/>
        <v>1</v>
      </c>
      <c r="L7" s="54">
        <f t="shared" si="13"/>
        <v>1</v>
      </c>
      <c r="M7" s="53">
        <f t="shared" si="14"/>
        <v>0</v>
      </c>
      <c r="N7" s="54">
        <f t="shared" si="15"/>
        <v>0</v>
      </c>
      <c r="O7" s="49">
        <f t="shared" ref="O7:P7" si="61">SUM(K7,M7)</f>
        <v>1</v>
      </c>
      <c r="P7" s="50">
        <f t="shared" si="61"/>
        <v>1</v>
      </c>
      <c r="Q7" s="73">
        <f t="shared" si="17"/>
        <v>2</v>
      </c>
      <c r="R7" s="50">
        <f t="shared" si="18"/>
        <v>4</v>
      </c>
      <c r="S7" s="53">
        <f t="shared" si="19"/>
        <v>1</v>
      </c>
      <c r="T7" s="54">
        <f t="shared" si="20"/>
        <v>1</v>
      </c>
      <c r="U7" s="53">
        <f t="shared" si="21"/>
        <v>1</v>
      </c>
      <c r="V7" s="54">
        <f t="shared" si="22"/>
        <v>3</v>
      </c>
      <c r="W7" s="53">
        <f t="shared" si="23"/>
        <v>1</v>
      </c>
      <c r="X7" s="54">
        <f t="shared" si="24"/>
        <v>3</v>
      </c>
      <c r="Y7" s="53">
        <f t="shared" si="25"/>
        <v>1</v>
      </c>
      <c r="Z7" s="54">
        <f t="shared" si="26"/>
        <v>1</v>
      </c>
      <c r="AA7" s="53">
        <f t="shared" si="27"/>
        <v>1</v>
      </c>
      <c r="AB7" s="54">
        <f t="shared" si="28"/>
        <v>1</v>
      </c>
      <c r="AC7" s="49">
        <f t="shared" ref="AC7:AD7" si="62">SUM(S7,U7,W7,Y7,AA7)</f>
        <v>5</v>
      </c>
      <c r="AD7" s="50">
        <f t="shared" si="62"/>
        <v>9</v>
      </c>
      <c r="AE7" s="53">
        <f t="shared" si="30"/>
        <v>1</v>
      </c>
      <c r="AF7" s="54">
        <f t="shared" si="31"/>
        <v>2</v>
      </c>
      <c r="AG7" s="53">
        <f t="shared" si="32"/>
        <v>0</v>
      </c>
      <c r="AH7" s="54">
        <f t="shared" si="33"/>
        <v>0</v>
      </c>
      <c r="AI7" s="53">
        <f t="shared" si="34"/>
        <v>2</v>
      </c>
      <c r="AJ7" s="54">
        <f t="shared" si="35"/>
        <v>4</v>
      </c>
      <c r="AK7" s="53">
        <f t="shared" si="36"/>
        <v>2</v>
      </c>
      <c r="AL7" s="54">
        <f t="shared" si="37"/>
        <v>4</v>
      </c>
      <c r="AM7" s="53">
        <f t="shared" si="38"/>
        <v>0</v>
      </c>
      <c r="AN7" s="54">
        <f t="shared" si="39"/>
        <v>0</v>
      </c>
      <c r="AO7" s="53">
        <f t="shared" si="40"/>
        <v>2</v>
      </c>
      <c r="AP7" s="54">
        <f t="shared" si="41"/>
        <v>4</v>
      </c>
      <c r="AQ7" s="49">
        <f t="shared" ref="AQ7:AR7" si="63">SUM(AG7,AI7,AK7,AM7,AO7)</f>
        <v>6</v>
      </c>
      <c r="AR7" s="50">
        <f t="shared" si="63"/>
        <v>12</v>
      </c>
      <c r="AS7" s="53">
        <f t="shared" si="43"/>
        <v>1</v>
      </c>
      <c r="AT7" s="54">
        <f t="shared" si="44"/>
        <v>1</v>
      </c>
      <c r="AU7" s="53">
        <f t="shared" si="45"/>
        <v>1</v>
      </c>
      <c r="AV7" s="54">
        <f t="shared" si="46"/>
        <v>1</v>
      </c>
      <c r="AW7" s="53">
        <f t="shared" si="47"/>
        <v>1</v>
      </c>
      <c r="AX7" s="54">
        <f t="shared" si="48"/>
        <v>1</v>
      </c>
      <c r="AY7" s="53">
        <f t="shared" si="49"/>
        <v>1</v>
      </c>
      <c r="AZ7" s="54">
        <f t="shared" si="50"/>
        <v>3</v>
      </c>
      <c r="BA7" s="53">
        <f t="shared" si="51"/>
        <v>0</v>
      </c>
      <c r="BB7" s="54">
        <f t="shared" si="52"/>
        <v>0</v>
      </c>
      <c r="BC7" s="49">
        <f t="shared" ref="BC7:BD7" si="64">SUM(AS7,AU7,AW7,AY7,BA7)</f>
        <v>4</v>
      </c>
      <c r="BD7" s="50">
        <f t="shared" si="64"/>
        <v>6</v>
      </c>
      <c r="BE7" s="68">
        <f t="shared" ref="BE7:BF7" si="65">SUM(E7,G7,I7,O7,Q7,AC7,AQ7,BC7)</f>
        <v>21</v>
      </c>
      <c r="BF7" s="69">
        <f t="shared" si="65"/>
        <v>39</v>
      </c>
      <c r="BG7" s="46" t="str">
        <f>BF7*'ОВгП_РАО'!$B$5</f>
        <v>#REF!</v>
      </c>
      <c r="BH7" s="46" t="str">
        <f>'ОВгП_РАО'!$B$5</f>
        <v>#REF!</v>
      </c>
    </row>
    <row r="8">
      <c r="A8" s="80">
        <f t="shared" si="55"/>
        <v>46261</v>
      </c>
      <c r="B8" s="45" t="s">
        <v>118</v>
      </c>
      <c r="C8" s="45" t="s">
        <v>96</v>
      </c>
      <c r="D8" s="47" t="s">
        <v>98</v>
      </c>
      <c r="E8" s="73">
        <f t="shared" si="6"/>
        <v>1</v>
      </c>
      <c r="F8" s="50">
        <f t="shared" si="7"/>
        <v>2</v>
      </c>
      <c r="G8" s="73">
        <f t="shared" si="8"/>
        <v>1</v>
      </c>
      <c r="H8" s="50">
        <f t="shared" si="9"/>
        <v>3</v>
      </c>
      <c r="I8" s="73">
        <f t="shared" si="10"/>
        <v>1</v>
      </c>
      <c r="J8" s="50">
        <f t="shared" si="11"/>
        <v>1</v>
      </c>
      <c r="K8" s="53">
        <f t="shared" si="12"/>
        <v>1</v>
      </c>
      <c r="L8" s="54">
        <f t="shared" si="13"/>
        <v>3</v>
      </c>
      <c r="M8" s="53">
        <f t="shared" si="14"/>
        <v>0</v>
      </c>
      <c r="N8" s="54">
        <f t="shared" si="15"/>
        <v>0</v>
      </c>
      <c r="O8" s="49">
        <f t="shared" ref="O8:P8" si="66">SUM(K8,M8)</f>
        <v>1</v>
      </c>
      <c r="P8" s="50">
        <f t="shared" si="66"/>
        <v>3</v>
      </c>
      <c r="Q8" s="73">
        <f t="shared" si="17"/>
        <v>1</v>
      </c>
      <c r="R8" s="50">
        <f t="shared" si="18"/>
        <v>1</v>
      </c>
      <c r="S8" s="53">
        <f t="shared" si="19"/>
        <v>1</v>
      </c>
      <c r="T8" s="54">
        <f t="shared" si="20"/>
        <v>3</v>
      </c>
      <c r="U8" s="53">
        <f t="shared" si="21"/>
        <v>1</v>
      </c>
      <c r="V8" s="54">
        <f t="shared" si="22"/>
        <v>2</v>
      </c>
      <c r="W8" s="53">
        <f t="shared" si="23"/>
        <v>0</v>
      </c>
      <c r="X8" s="54">
        <f t="shared" si="24"/>
        <v>0</v>
      </c>
      <c r="Y8" s="53">
        <f t="shared" si="25"/>
        <v>2</v>
      </c>
      <c r="Z8" s="54">
        <f t="shared" si="26"/>
        <v>4</v>
      </c>
      <c r="AA8" s="53">
        <f t="shared" si="27"/>
        <v>1</v>
      </c>
      <c r="AB8" s="54">
        <f t="shared" si="28"/>
        <v>3</v>
      </c>
      <c r="AC8" s="49">
        <f t="shared" ref="AC8:AD8" si="67">SUM(S8,U8,W8,Y8,AA8)</f>
        <v>5</v>
      </c>
      <c r="AD8" s="50">
        <f t="shared" si="67"/>
        <v>12</v>
      </c>
      <c r="AE8" s="53">
        <f t="shared" si="30"/>
        <v>1</v>
      </c>
      <c r="AF8" s="54">
        <f t="shared" si="31"/>
        <v>1</v>
      </c>
      <c r="AG8" s="53">
        <f t="shared" si="32"/>
        <v>2</v>
      </c>
      <c r="AH8" s="54">
        <f t="shared" si="33"/>
        <v>4</v>
      </c>
      <c r="AI8" s="53">
        <f t="shared" si="34"/>
        <v>1</v>
      </c>
      <c r="AJ8" s="54">
        <f t="shared" si="35"/>
        <v>3</v>
      </c>
      <c r="AK8" s="53">
        <f t="shared" si="36"/>
        <v>1</v>
      </c>
      <c r="AL8" s="54">
        <f t="shared" si="37"/>
        <v>1</v>
      </c>
      <c r="AM8" s="53">
        <f t="shared" si="38"/>
        <v>2</v>
      </c>
      <c r="AN8" s="54">
        <f t="shared" si="39"/>
        <v>4</v>
      </c>
      <c r="AO8" s="53">
        <f t="shared" si="40"/>
        <v>1</v>
      </c>
      <c r="AP8" s="54">
        <f t="shared" si="41"/>
        <v>3</v>
      </c>
      <c r="AQ8" s="49">
        <f t="shared" ref="AQ8:AR8" si="68">SUM(AG8,AI8,AK8,AM8,AO8)</f>
        <v>7</v>
      </c>
      <c r="AR8" s="50">
        <f t="shared" si="68"/>
        <v>15</v>
      </c>
      <c r="AS8" s="53">
        <f t="shared" si="43"/>
        <v>1</v>
      </c>
      <c r="AT8" s="54">
        <f t="shared" si="44"/>
        <v>3</v>
      </c>
      <c r="AU8" s="53">
        <f t="shared" si="45"/>
        <v>1</v>
      </c>
      <c r="AV8" s="54">
        <f t="shared" si="46"/>
        <v>1</v>
      </c>
      <c r="AW8" s="53">
        <f t="shared" si="47"/>
        <v>2</v>
      </c>
      <c r="AX8" s="54">
        <f t="shared" si="48"/>
        <v>4</v>
      </c>
      <c r="AY8" s="53">
        <f t="shared" si="49"/>
        <v>1</v>
      </c>
      <c r="AZ8" s="54">
        <f t="shared" si="50"/>
        <v>1</v>
      </c>
      <c r="BA8" s="53">
        <f t="shared" si="51"/>
        <v>1</v>
      </c>
      <c r="BB8" s="54">
        <f t="shared" si="52"/>
        <v>1</v>
      </c>
      <c r="BC8" s="49">
        <f t="shared" ref="BC8:BD8" si="69">SUM(AS8,AU8,AW8,AY8,BA8)</f>
        <v>6</v>
      </c>
      <c r="BD8" s="50">
        <f t="shared" si="69"/>
        <v>10</v>
      </c>
      <c r="BE8" s="68">
        <f t="shared" ref="BE8:BF8" si="70">SUM(E8,G8,I8,O8,Q8,AC8,AQ8,BC8)</f>
        <v>23</v>
      </c>
      <c r="BF8" s="69">
        <f t="shared" si="70"/>
        <v>47</v>
      </c>
      <c r="BG8" s="46" t="str">
        <f>BF8*'ОВгП_РАО'!$B$6</f>
        <v>#REF!</v>
      </c>
      <c r="BH8" s="46" t="str">
        <f>'ОВгП_РАО'!$B$6</f>
        <v>#REF!</v>
      </c>
    </row>
    <row r="9">
      <c r="A9" s="80">
        <f t="shared" si="55"/>
        <v>46261</v>
      </c>
      <c r="B9" s="46" t="s">
        <v>119</v>
      </c>
      <c r="C9" s="45" t="s">
        <v>96</v>
      </c>
      <c r="D9" s="47" t="s">
        <v>120</v>
      </c>
      <c r="E9" s="73">
        <f t="shared" si="6"/>
        <v>1</v>
      </c>
      <c r="F9" s="50">
        <f t="shared" si="7"/>
        <v>1</v>
      </c>
      <c r="G9" s="73">
        <f t="shared" si="8"/>
        <v>1</v>
      </c>
      <c r="H9" s="50">
        <f t="shared" si="9"/>
        <v>1</v>
      </c>
      <c r="I9" s="73">
        <f t="shared" si="10"/>
        <v>1</v>
      </c>
      <c r="J9" s="50">
        <f t="shared" si="11"/>
        <v>1</v>
      </c>
      <c r="K9" s="53">
        <f t="shared" si="12"/>
        <v>1</v>
      </c>
      <c r="L9" s="54">
        <f t="shared" si="13"/>
        <v>1</v>
      </c>
      <c r="M9" s="53">
        <f t="shared" si="14"/>
        <v>2</v>
      </c>
      <c r="N9" s="54">
        <f t="shared" si="15"/>
        <v>4</v>
      </c>
      <c r="O9" s="49">
        <f t="shared" ref="O9:P9" si="71">SUM(K9,M9)</f>
        <v>3</v>
      </c>
      <c r="P9" s="50">
        <f t="shared" si="71"/>
        <v>5</v>
      </c>
      <c r="Q9" s="73">
        <f t="shared" si="17"/>
        <v>2</v>
      </c>
      <c r="R9" s="50">
        <f t="shared" si="18"/>
        <v>4</v>
      </c>
      <c r="S9" s="53">
        <f t="shared" si="19"/>
        <v>1</v>
      </c>
      <c r="T9" s="54">
        <f t="shared" si="20"/>
        <v>3</v>
      </c>
      <c r="U9" s="53">
        <f t="shared" si="21"/>
        <v>2</v>
      </c>
      <c r="V9" s="54">
        <f t="shared" si="22"/>
        <v>4</v>
      </c>
      <c r="W9" s="53">
        <f t="shared" si="23"/>
        <v>2</v>
      </c>
      <c r="X9" s="54">
        <f t="shared" si="24"/>
        <v>4</v>
      </c>
      <c r="Y9" s="53">
        <f t="shared" si="25"/>
        <v>0</v>
      </c>
      <c r="Z9" s="54">
        <f t="shared" si="26"/>
        <v>0</v>
      </c>
      <c r="AA9" s="53">
        <f t="shared" si="27"/>
        <v>1</v>
      </c>
      <c r="AB9" s="54">
        <f t="shared" si="28"/>
        <v>3</v>
      </c>
      <c r="AC9" s="49">
        <f t="shared" ref="AC9:AD9" si="72">SUM(S9,U9,W9,Y9,AA9)</f>
        <v>6</v>
      </c>
      <c r="AD9" s="50">
        <f t="shared" si="72"/>
        <v>14</v>
      </c>
      <c r="AE9" s="53">
        <f t="shared" si="30"/>
        <v>1</v>
      </c>
      <c r="AF9" s="54">
        <f t="shared" si="31"/>
        <v>1</v>
      </c>
      <c r="AG9" s="53">
        <f t="shared" si="32"/>
        <v>2</v>
      </c>
      <c r="AH9" s="54">
        <f t="shared" si="33"/>
        <v>4</v>
      </c>
      <c r="AI9" s="53">
        <f t="shared" si="34"/>
        <v>1</v>
      </c>
      <c r="AJ9" s="54">
        <f t="shared" si="35"/>
        <v>3</v>
      </c>
      <c r="AK9" s="53">
        <f t="shared" si="36"/>
        <v>0</v>
      </c>
      <c r="AL9" s="54">
        <f t="shared" si="37"/>
        <v>0</v>
      </c>
      <c r="AM9" s="53">
        <f t="shared" si="38"/>
        <v>1</v>
      </c>
      <c r="AN9" s="54">
        <f t="shared" si="39"/>
        <v>3</v>
      </c>
      <c r="AO9" s="53">
        <f t="shared" si="40"/>
        <v>0</v>
      </c>
      <c r="AP9" s="54">
        <f t="shared" si="41"/>
        <v>0</v>
      </c>
      <c r="AQ9" s="49">
        <f t="shared" ref="AQ9:AR9" si="73">SUM(AG9,AI9,AK9,AM9,AO9)</f>
        <v>4</v>
      </c>
      <c r="AR9" s="50">
        <f t="shared" si="73"/>
        <v>10</v>
      </c>
      <c r="AS9" s="53">
        <f t="shared" si="43"/>
        <v>0</v>
      </c>
      <c r="AT9" s="54">
        <f t="shared" si="44"/>
        <v>0</v>
      </c>
      <c r="AU9" s="53">
        <f t="shared" si="45"/>
        <v>2</v>
      </c>
      <c r="AV9" s="54">
        <f t="shared" si="46"/>
        <v>4</v>
      </c>
      <c r="AW9" s="53">
        <f t="shared" si="47"/>
        <v>1</v>
      </c>
      <c r="AX9" s="54">
        <f t="shared" si="48"/>
        <v>3</v>
      </c>
      <c r="AY9" s="53">
        <f t="shared" si="49"/>
        <v>1</v>
      </c>
      <c r="AZ9" s="54">
        <f t="shared" si="50"/>
        <v>1</v>
      </c>
      <c r="BA9" s="53">
        <f t="shared" si="51"/>
        <v>1</v>
      </c>
      <c r="BB9" s="54">
        <f t="shared" si="52"/>
        <v>1</v>
      </c>
      <c r="BC9" s="49">
        <f t="shared" ref="BC9:BD9" si="74">SUM(AS9,AU9,AW9,AY9,BA9)</f>
        <v>5</v>
      </c>
      <c r="BD9" s="50">
        <f t="shared" si="74"/>
        <v>9</v>
      </c>
      <c r="BE9" s="68">
        <f t="shared" ref="BE9:BF9" si="75">SUM(E9,G9,I9,O9,Q9,AC9,AQ9,BC9)</f>
        <v>23</v>
      </c>
      <c r="BF9" s="69">
        <f t="shared" si="75"/>
        <v>45</v>
      </c>
      <c r="BG9" s="46" t="str">
        <f>BF9*'ОВгП_РАО'!$B$7</f>
        <v>#REF!</v>
      </c>
      <c r="BH9" s="46" t="str">
        <f>'ОВгП_РАО'!$B$7</f>
        <v>#REF!</v>
      </c>
    </row>
    <row r="10">
      <c r="A10" s="80">
        <f t="shared" si="55"/>
        <v>46261</v>
      </c>
      <c r="B10" s="45" t="s">
        <v>121</v>
      </c>
      <c r="C10" s="47" t="s">
        <v>122</v>
      </c>
      <c r="D10" s="47" t="s">
        <v>123</v>
      </c>
      <c r="E10" s="73">
        <f t="shared" si="6"/>
        <v>2</v>
      </c>
      <c r="F10" s="50">
        <f t="shared" si="7"/>
        <v>4</v>
      </c>
      <c r="G10" s="73">
        <f t="shared" si="8"/>
        <v>2</v>
      </c>
      <c r="H10" s="50">
        <f t="shared" si="9"/>
        <v>4</v>
      </c>
      <c r="I10" s="73">
        <f t="shared" si="10"/>
        <v>1</v>
      </c>
      <c r="J10" s="50">
        <f t="shared" si="11"/>
        <v>2</v>
      </c>
      <c r="K10" s="53">
        <f t="shared" si="12"/>
        <v>1</v>
      </c>
      <c r="L10" s="54">
        <f t="shared" si="13"/>
        <v>1</v>
      </c>
      <c r="M10" s="53">
        <f t="shared" si="14"/>
        <v>1</v>
      </c>
      <c r="N10" s="54">
        <f t="shared" si="15"/>
        <v>3</v>
      </c>
      <c r="O10" s="49">
        <f t="shared" ref="O10:P10" si="76">SUM(K10,M10)</f>
        <v>2</v>
      </c>
      <c r="P10" s="50">
        <f t="shared" si="76"/>
        <v>4</v>
      </c>
      <c r="Q10" s="73">
        <f t="shared" si="17"/>
        <v>2</v>
      </c>
      <c r="R10" s="50">
        <f t="shared" si="18"/>
        <v>4</v>
      </c>
      <c r="S10" s="53">
        <f t="shared" si="19"/>
        <v>0</v>
      </c>
      <c r="T10" s="54">
        <f t="shared" si="20"/>
        <v>0</v>
      </c>
      <c r="U10" s="53">
        <f t="shared" si="21"/>
        <v>1</v>
      </c>
      <c r="V10" s="54">
        <f t="shared" si="22"/>
        <v>1</v>
      </c>
      <c r="W10" s="53">
        <f t="shared" si="23"/>
        <v>0</v>
      </c>
      <c r="X10" s="54">
        <f t="shared" si="24"/>
        <v>0</v>
      </c>
      <c r="Y10" s="53">
        <f t="shared" si="25"/>
        <v>2</v>
      </c>
      <c r="Z10" s="54">
        <f t="shared" si="26"/>
        <v>4</v>
      </c>
      <c r="AA10" s="53">
        <f t="shared" si="27"/>
        <v>1</v>
      </c>
      <c r="AB10" s="54">
        <f t="shared" si="28"/>
        <v>3</v>
      </c>
      <c r="AC10" s="49">
        <f t="shared" ref="AC10:AD10" si="77">SUM(S10,U10,W10,Y10,AA10)</f>
        <v>4</v>
      </c>
      <c r="AD10" s="50">
        <f t="shared" si="77"/>
        <v>8</v>
      </c>
      <c r="AE10" s="53">
        <f t="shared" si="30"/>
        <v>2</v>
      </c>
      <c r="AF10" s="54">
        <f t="shared" si="31"/>
        <v>4</v>
      </c>
      <c r="AG10" s="53">
        <f t="shared" si="32"/>
        <v>1</v>
      </c>
      <c r="AH10" s="54">
        <f t="shared" si="33"/>
        <v>3</v>
      </c>
      <c r="AI10" s="53">
        <f t="shared" si="34"/>
        <v>1</v>
      </c>
      <c r="AJ10" s="54">
        <f t="shared" si="35"/>
        <v>1</v>
      </c>
      <c r="AK10" s="53">
        <f t="shared" si="36"/>
        <v>2</v>
      </c>
      <c r="AL10" s="54">
        <f t="shared" si="37"/>
        <v>4</v>
      </c>
      <c r="AM10" s="53">
        <f t="shared" si="38"/>
        <v>1</v>
      </c>
      <c r="AN10" s="54">
        <f t="shared" si="39"/>
        <v>1</v>
      </c>
      <c r="AO10" s="53">
        <f t="shared" si="40"/>
        <v>1</v>
      </c>
      <c r="AP10" s="54">
        <f t="shared" si="41"/>
        <v>2</v>
      </c>
      <c r="AQ10" s="49">
        <f t="shared" ref="AQ10:AR10" si="78">SUM(AG10,AI10,AK10,AM10,AO10)</f>
        <v>6</v>
      </c>
      <c r="AR10" s="50">
        <f t="shared" si="78"/>
        <v>11</v>
      </c>
      <c r="AS10" s="53">
        <f t="shared" si="43"/>
        <v>1</v>
      </c>
      <c r="AT10" s="54">
        <f t="shared" si="44"/>
        <v>2</v>
      </c>
      <c r="AU10" s="53">
        <f t="shared" si="45"/>
        <v>0</v>
      </c>
      <c r="AV10" s="54">
        <f t="shared" si="46"/>
        <v>0</v>
      </c>
      <c r="AW10" s="53">
        <f t="shared" si="47"/>
        <v>1</v>
      </c>
      <c r="AX10" s="54">
        <f t="shared" si="48"/>
        <v>1</v>
      </c>
      <c r="AY10" s="53">
        <f t="shared" si="49"/>
        <v>1</v>
      </c>
      <c r="AZ10" s="54">
        <f t="shared" si="50"/>
        <v>3</v>
      </c>
      <c r="BA10" s="53">
        <f t="shared" si="51"/>
        <v>0</v>
      </c>
      <c r="BB10" s="54">
        <f t="shared" si="52"/>
        <v>0</v>
      </c>
      <c r="BC10" s="49">
        <f t="shared" ref="BC10:BD10" si="79">SUM(AS10,AU10,AW10,AY10,BA10)</f>
        <v>3</v>
      </c>
      <c r="BD10" s="50">
        <f t="shared" si="79"/>
        <v>6</v>
      </c>
      <c r="BE10" s="68">
        <f t="shared" ref="BE10:BF10" si="80">SUM(E10,G10,I10,O10,Q10,AC10,AQ10,BC10)</f>
        <v>22</v>
      </c>
      <c r="BF10" s="69">
        <f t="shared" si="80"/>
        <v>43</v>
      </c>
      <c r="BG10" s="46" t="str">
        <f>BF10*'ОВгП_РАО'!$B$8</f>
        <v>#REF!</v>
      </c>
      <c r="BH10" s="46" t="str">
        <f>'ОВгП_РАО'!$B$8</f>
        <v>#REF!</v>
      </c>
    </row>
    <row r="11">
      <c r="A11" s="80">
        <f t="shared" si="55"/>
        <v>46261</v>
      </c>
      <c r="B11" s="46" t="s">
        <v>124</v>
      </c>
      <c r="C11" s="46" t="s">
        <v>125</v>
      </c>
      <c r="D11" s="46" t="s">
        <v>126</v>
      </c>
      <c r="E11" s="73">
        <f t="shared" si="6"/>
        <v>1</v>
      </c>
      <c r="F11" s="50">
        <f t="shared" si="7"/>
        <v>3</v>
      </c>
      <c r="G11" s="73">
        <f t="shared" si="8"/>
        <v>1</v>
      </c>
      <c r="H11" s="50">
        <f t="shared" si="9"/>
        <v>1</v>
      </c>
      <c r="I11" s="73">
        <f t="shared" si="10"/>
        <v>1</v>
      </c>
      <c r="J11" s="50">
        <f t="shared" si="11"/>
        <v>2</v>
      </c>
      <c r="K11" s="53">
        <f t="shared" si="12"/>
        <v>1</v>
      </c>
      <c r="L11" s="54">
        <f t="shared" si="13"/>
        <v>3</v>
      </c>
      <c r="M11" s="53">
        <f t="shared" si="14"/>
        <v>1</v>
      </c>
      <c r="N11" s="54">
        <f t="shared" si="15"/>
        <v>3</v>
      </c>
      <c r="O11" s="49">
        <f t="shared" ref="O11:P11" si="81">SUM(K11,M11)</f>
        <v>2</v>
      </c>
      <c r="P11" s="50">
        <f t="shared" si="81"/>
        <v>6</v>
      </c>
      <c r="Q11" s="73">
        <f t="shared" si="17"/>
        <v>1</v>
      </c>
      <c r="R11" s="50">
        <f t="shared" si="18"/>
        <v>3</v>
      </c>
      <c r="S11" s="53">
        <f t="shared" si="19"/>
        <v>1</v>
      </c>
      <c r="T11" s="54">
        <f t="shared" si="20"/>
        <v>3</v>
      </c>
      <c r="U11" s="53">
        <f t="shared" si="21"/>
        <v>2</v>
      </c>
      <c r="V11" s="54">
        <f t="shared" si="22"/>
        <v>4</v>
      </c>
      <c r="W11" s="53">
        <f t="shared" si="23"/>
        <v>1</v>
      </c>
      <c r="X11" s="54">
        <f t="shared" si="24"/>
        <v>1</v>
      </c>
      <c r="Y11" s="53">
        <f t="shared" si="25"/>
        <v>0</v>
      </c>
      <c r="Z11" s="54">
        <f t="shared" si="26"/>
        <v>0</v>
      </c>
      <c r="AA11" s="53">
        <f t="shared" si="27"/>
        <v>1</v>
      </c>
      <c r="AB11" s="54">
        <f t="shared" si="28"/>
        <v>1</v>
      </c>
      <c r="AC11" s="49">
        <f t="shared" ref="AC11:AD11" si="82">SUM(S11,U11,W11,Y11,AA11)</f>
        <v>5</v>
      </c>
      <c r="AD11" s="50">
        <f t="shared" si="82"/>
        <v>9</v>
      </c>
      <c r="AE11" s="53">
        <f t="shared" si="30"/>
        <v>1</v>
      </c>
      <c r="AF11" s="54">
        <f t="shared" si="31"/>
        <v>2</v>
      </c>
      <c r="AG11" s="53">
        <f t="shared" si="32"/>
        <v>2</v>
      </c>
      <c r="AH11" s="54">
        <f t="shared" si="33"/>
        <v>4</v>
      </c>
      <c r="AI11" s="53">
        <f t="shared" si="34"/>
        <v>2</v>
      </c>
      <c r="AJ11" s="54">
        <f t="shared" si="35"/>
        <v>4</v>
      </c>
      <c r="AK11" s="53">
        <f t="shared" si="36"/>
        <v>0</v>
      </c>
      <c r="AL11" s="54">
        <f t="shared" si="37"/>
        <v>0</v>
      </c>
      <c r="AM11" s="53">
        <f t="shared" si="38"/>
        <v>0</v>
      </c>
      <c r="AN11" s="54">
        <f t="shared" si="39"/>
        <v>0</v>
      </c>
      <c r="AO11" s="53">
        <f t="shared" si="40"/>
        <v>1</v>
      </c>
      <c r="AP11" s="54">
        <f t="shared" si="41"/>
        <v>3</v>
      </c>
      <c r="AQ11" s="49">
        <f t="shared" ref="AQ11:AR11" si="83">SUM(AG11,AI11,AK11,AM11,AO11)</f>
        <v>5</v>
      </c>
      <c r="AR11" s="50">
        <f t="shared" si="83"/>
        <v>11</v>
      </c>
      <c r="AS11" s="53">
        <f t="shared" si="43"/>
        <v>2</v>
      </c>
      <c r="AT11" s="54">
        <f t="shared" si="44"/>
        <v>4</v>
      </c>
      <c r="AU11" s="53">
        <f t="shared" si="45"/>
        <v>2</v>
      </c>
      <c r="AV11" s="54">
        <f t="shared" si="46"/>
        <v>4</v>
      </c>
      <c r="AW11" s="53">
        <f t="shared" si="47"/>
        <v>0</v>
      </c>
      <c r="AX11" s="54">
        <f t="shared" si="48"/>
        <v>0</v>
      </c>
      <c r="AY11" s="53">
        <f t="shared" si="49"/>
        <v>1</v>
      </c>
      <c r="AZ11" s="54">
        <f t="shared" si="50"/>
        <v>2</v>
      </c>
      <c r="BA11" s="53">
        <f t="shared" si="51"/>
        <v>2</v>
      </c>
      <c r="BB11" s="54">
        <f t="shared" si="52"/>
        <v>4</v>
      </c>
      <c r="BC11" s="49">
        <f t="shared" ref="BC11:BD11" si="84">SUM(AS11,AU11,AW11,AY11,BA11)</f>
        <v>7</v>
      </c>
      <c r="BD11" s="50">
        <f t="shared" si="84"/>
        <v>14</v>
      </c>
      <c r="BE11" s="68">
        <f t="shared" ref="BE11:BF11" si="85">SUM(E11,G11,I11,O11,Q11,AC11,AQ11,BC11)</f>
        <v>23</v>
      </c>
      <c r="BF11" s="69">
        <f t="shared" si="85"/>
        <v>49</v>
      </c>
      <c r="BG11" s="46" t="str">
        <f>BF11*'ОВгП_РАО'!$B$9</f>
        <v>#REF!</v>
      </c>
      <c r="BH11" s="46" t="str">
        <f>'ОВгП_РАО'!$B$9</f>
        <v>#REF!</v>
      </c>
    </row>
    <row r="12">
      <c r="A12" s="80">
        <f t="shared" si="55"/>
        <v>46261</v>
      </c>
      <c r="B12" s="46" t="s">
        <v>127</v>
      </c>
      <c r="C12" s="46" t="s">
        <v>125</v>
      </c>
      <c r="D12" s="46" t="s">
        <v>126</v>
      </c>
      <c r="E12" s="73">
        <f t="shared" si="6"/>
        <v>1</v>
      </c>
      <c r="F12" s="50">
        <f t="shared" si="7"/>
        <v>3</v>
      </c>
      <c r="G12" s="73">
        <f t="shared" si="8"/>
        <v>1</v>
      </c>
      <c r="H12" s="50">
        <f t="shared" si="9"/>
        <v>3</v>
      </c>
      <c r="I12" s="73">
        <f t="shared" si="10"/>
        <v>1</v>
      </c>
      <c r="J12" s="50">
        <f t="shared" si="11"/>
        <v>3</v>
      </c>
      <c r="K12" s="53">
        <f t="shared" si="12"/>
        <v>2</v>
      </c>
      <c r="L12" s="54">
        <f t="shared" si="13"/>
        <v>4</v>
      </c>
      <c r="M12" s="53">
        <f t="shared" si="14"/>
        <v>1</v>
      </c>
      <c r="N12" s="54">
        <f t="shared" si="15"/>
        <v>2</v>
      </c>
      <c r="O12" s="49">
        <f t="shared" ref="O12:P12" si="86">SUM(K12,M12)</f>
        <v>3</v>
      </c>
      <c r="P12" s="50">
        <f t="shared" si="86"/>
        <v>6</v>
      </c>
      <c r="Q12" s="73">
        <f t="shared" si="17"/>
        <v>1</v>
      </c>
      <c r="R12" s="50">
        <f t="shared" si="18"/>
        <v>2</v>
      </c>
      <c r="S12" s="53">
        <f t="shared" si="19"/>
        <v>0</v>
      </c>
      <c r="T12" s="54">
        <f t="shared" si="20"/>
        <v>0</v>
      </c>
      <c r="U12" s="53">
        <f t="shared" si="21"/>
        <v>0</v>
      </c>
      <c r="V12" s="54">
        <f t="shared" si="22"/>
        <v>0</v>
      </c>
      <c r="W12" s="53">
        <f t="shared" si="23"/>
        <v>1</v>
      </c>
      <c r="X12" s="54">
        <f t="shared" si="24"/>
        <v>2</v>
      </c>
      <c r="Y12" s="53">
        <f t="shared" si="25"/>
        <v>0</v>
      </c>
      <c r="Z12" s="54">
        <f t="shared" si="26"/>
        <v>0</v>
      </c>
      <c r="AA12" s="53">
        <f t="shared" si="27"/>
        <v>1</v>
      </c>
      <c r="AB12" s="54">
        <f t="shared" si="28"/>
        <v>3</v>
      </c>
      <c r="AC12" s="49">
        <f t="shared" ref="AC12:AD12" si="87">SUM(S12,U12,W12,Y12,AA12)</f>
        <v>2</v>
      </c>
      <c r="AD12" s="50">
        <f t="shared" si="87"/>
        <v>5</v>
      </c>
      <c r="AE12" s="53">
        <f t="shared" si="30"/>
        <v>1</v>
      </c>
      <c r="AF12" s="54">
        <f t="shared" si="31"/>
        <v>3</v>
      </c>
      <c r="AG12" s="53">
        <f t="shared" si="32"/>
        <v>1</v>
      </c>
      <c r="AH12" s="54">
        <f t="shared" si="33"/>
        <v>1</v>
      </c>
      <c r="AI12" s="53">
        <f t="shared" si="34"/>
        <v>1</v>
      </c>
      <c r="AJ12" s="54">
        <f t="shared" si="35"/>
        <v>2</v>
      </c>
      <c r="AK12" s="53">
        <f t="shared" si="36"/>
        <v>1</v>
      </c>
      <c r="AL12" s="54">
        <f t="shared" si="37"/>
        <v>2</v>
      </c>
      <c r="AM12" s="53">
        <f t="shared" si="38"/>
        <v>1</v>
      </c>
      <c r="AN12" s="54">
        <f t="shared" si="39"/>
        <v>1</v>
      </c>
      <c r="AO12" s="53">
        <f t="shared" si="40"/>
        <v>1</v>
      </c>
      <c r="AP12" s="54">
        <f t="shared" si="41"/>
        <v>1</v>
      </c>
      <c r="AQ12" s="49">
        <f t="shared" ref="AQ12:AR12" si="88">SUM(AG12,AI12,AK12,AM12,AO12)</f>
        <v>5</v>
      </c>
      <c r="AR12" s="50">
        <f t="shared" si="88"/>
        <v>7</v>
      </c>
      <c r="AS12" s="53">
        <f t="shared" si="43"/>
        <v>1</v>
      </c>
      <c r="AT12" s="54">
        <f t="shared" si="44"/>
        <v>1</v>
      </c>
      <c r="AU12" s="53">
        <f t="shared" si="45"/>
        <v>1</v>
      </c>
      <c r="AV12" s="54">
        <f t="shared" si="46"/>
        <v>3</v>
      </c>
      <c r="AW12" s="53">
        <f t="shared" si="47"/>
        <v>0</v>
      </c>
      <c r="AX12" s="54">
        <f t="shared" si="48"/>
        <v>0</v>
      </c>
      <c r="AY12" s="53">
        <f t="shared" si="49"/>
        <v>1</v>
      </c>
      <c r="AZ12" s="54">
        <f t="shared" si="50"/>
        <v>1</v>
      </c>
      <c r="BA12" s="53">
        <f t="shared" si="51"/>
        <v>1</v>
      </c>
      <c r="BB12" s="54">
        <f t="shared" si="52"/>
        <v>1</v>
      </c>
      <c r="BC12" s="49">
        <f t="shared" ref="BC12:BD12" si="89">SUM(AS12,AU12,AW12,AY12,BA12)</f>
        <v>4</v>
      </c>
      <c r="BD12" s="50">
        <f t="shared" si="89"/>
        <v>6</v>
      </c>
      <c r="BE12" s="68">
        <f t="shared" ref="BE12:BF12" si="90">SUM(E12,G12,I12,O12,Q12,AC12,AQ12,BC12)</f>
        <v>18</v>
      </c>
      <c r="BF12" s="69">
        <f t="shared" si="90"/>
        <v>35</v>
      </c>
      <c r="BG12" s="46" t="str">
        <f>BF12*'ОВгП_РАО'!$B$10</f>
        <v>#REF!</v>
      </c>
      <c r="BH12" s="46" t="str">
        <f>'ОВгП_РАО'!$B$10</f>
        <v>#REF!</v>
      </c>
    </row>
    <row r="13">
      <c r="A13" s="80">
        <f t="shared" si="55"/>
        <v>46261</v>
      </c>
      <c r="B13" s="46" t="s">
        <v>128</v>
      </c>
      <c r="C13" s="46" t="s">
        <v>125</v>
      </c>
      <c r="D13" s="46" t="s">
        <v>126</v>
      </c>
      <c r="E13" s="73">
        <f t="shared" si="6"/>
        <v>0</v>
      </c>
      <c r="F13" s="50">
        <f t="shared" si="7"/>
        <v>0</v>
      </c>
      <c r="G13" s="73">
        <f t="shared" si="8"/>
        <v>0</v>
      </c>
      <c r="H13" s="50">
        <f t="shared" si="9"/>
        <v>0</v>
      </c>
      <c r="I13" s="73">
        <f t="shared" si="10"/>
        <v>1</v>
      </c>
      <c r="J13" s="50">
        <f t="shared" si="11"/>
        <v>1</v>
      </c>
      <c r="K13" s="53">
        <f t="shared" si="12"/>
        <v>1</v>
      </c>
      <c r="L13" s="54">
        <f t="shared" si="13"/>
        <v>2</v>
      </c>
      <c r="M13" s="53">
        <f t="shared" si="14"/>
        <v>2</v>
      </c>
      <c r="N13" s="54">
        <f t="shared" si="15"/>
        <v>4</v>
      </c>
      <c r="O13" s="49">
        <f t="shared" ref="O13:P13" si="91">SUM(K13,M13)</f>
        <v>3</v>
      </c>
      <c r="P13" s="50">
        <f t="shared" si="91"/>
        <v>6</v>
      </c>
      <c r="Q13" s="73">
        <f t="shared" si="17"/>
        <v>2</v>
      </c>
      <c r="R13" s="50">
        <f t="shared" si="18"/>
        <v>4</v>
      </c>
      <c r="S13" s="53">
        <f t="shared" si="19"/>
        <v>1</v>
      </c>
      <c r="T13" s="54">
        <f t="shared" si="20"/>
        <v>3</v>
      </c>
      <c r="U13" s="53">
        <f t="shared" si="21"/>
        <v>0</v>
      </c>
      <c r="V13" s="54">
        <f t="shared" si="22"/>
        <v>0</v>
      </c>
      <c r="W13" s="53">
        <f t="shared" si="23"/>
        <v>0</v>
      </c>
      <c r="X13" s="54">
        <f t="shared" si="24"/>
        <v>0</v>
      </c>
      <c r="Y13" s="53">
        <f t="shared" si="25"/>
        <v>2</v>
      </c>
      <c r="Z13" s="54">
        <f t="shared" si="26"/>
        <v>4</v>
      </c>
      <c r="AA13" s="53">
        <f t="shared" si="27"/>
        <v>1</v>
      </c>
      <c r="AB13" s="54">
        <f t="shared" si="28"/>
        <v>2</v>
      </c>
      <c r="AC13" s="49">
        <f t="shared" ref="AC13:AD13" si="92">SUM(S13,U13,W13,Y13,AA13)</f>
        <v>4</v>
      </c>
      <c r="AD13" s="50">
        <f t="shared" si="92"/>
        <v>9</v>
      </c>
      <c r="AE13" s="53">
        <f t="shared" si="30"/>
        <v>1</v>
      </c>
      <c r="AF13" s="54">
        <f t="shared" si="31"/>
        <v>2</v>
      </c>
      <c r="AG13" s="53">
        <f t="shared" si="32"/>
        <v>0</v>
      </c>
      <c r="AH13" s="54">
        <f t="shared" si="33"/>
        <v>0</v>
      </c>
      <c r="AI13" s="53">
        <f t="shared" si="34"/>
        <v>1</v>
      </c>
      <c r="AJ13" s="54">
        <f t="shared" si="35"/>
        <v>3</v>
      </c>
      <c r="AK13" s="53">
        <f t="shared" si="36"/>
        <v>1</v>
      </c>
      <c r="AL13" s="54">
        <f t="shared" si="37"/>
        <v>3</v>
      </c>
      <c r="AM13" s="53">
        <f t="shared" si="38"/>
        <v>1</v>
      </c>
      <c r="AN13" s="54">
        <f t="shared" si="39"/>
        <v>1</v>
      </c>
      <c r="AO13" s="53">
        <f t="shared" si="40"/>
        <v>1</v>
      </c>
      <c r="AP13" s="54">
        <f t="shared" si="41"/>
        <v>3</v>
      </c>
      <c r="AQ13" s="49">
        <f t="shared" ref="AQ13:AR13" si="93">SUM(AG13,AI13,AK13,AM13,AO13)</f>
        <v>4</v>
      </c>
      <c r="AR13" s="50">
        <f t="shared" si="93"/>
        <v>10</v>
      </c>
      <c r="AS13" s="53">
        <f t="shared" si="43"/>
        <v>1</v>
      </c>
      <c r="AT13" s="54">
        <f t="shared" si="44"/>
        <v>3</v>
      </c>
      <c r="AU13" s="53">
        <f t="shared" si="45"/>
        <v>1</v>
      </c>
      <c r="AV13" s="54">
        <f t="shared" si="46"/>
        <v>2</v>
      </c>
      <c r="AW13" s="53">
        <f t="shared" si="47"/>
        <v>1</v>
      </c>
      <c r="AX13" s="54">
        <f t="shared" si="48"/>
        <v>2</v>
      </c>
      <c r="AY13" s="53">
        <f t="shared" si="49"/>
        <v>2</v>
      </c>
      <c r="AZ13" s="54">
        <f t="shared" si="50"/>
        <v>4</v>
      </c>
      <c r="BA13" s="53">
        <f t="shared" si="51"/>
        <v>1</v>
      </c>
      <c r="BB13" s="54">
        <f t="shared" si="52"/>
        <v>2</v>
      </c>
      <c r="BC13" s="49">
        <f t="shared" ref="BC13:BD13" si="94">SUM(AS13,AU13,AW13,AY13,BA13)</f>
        <v>6</v>
      </c>
      <c r="BD13" s="50">
        <f t="shared" si="94"/>
        <v>13</v>
      </c>
      <c r="BE13" s="68">
        <f t="shared" ref="BE13:BF13" si="95">SUM(E13,G13,I13,O13,Q13,AC13,AQ13,BC13)</f>
        <v>20</v>
      </c>
      <c r="BF13" s="69">
        <f t="shared" si="95"/>
        <v>43</v>
      </c>
      <c r="BG13" s="46" t="str">
        <f>BF13*'ОВгП_РАО'!$B$11</f>
        <v>#REF!</v>
      </c>
      <c r="BH13" s="46" t="str">
        <f>'ОВгП_РАО'!$B$11</f>
        <v>#REF!</v>
      </c>
    </row>
    <row r="14">
      <c r="A14" s="80">
        <f t="shared" si="55"/>
        <v>46261</v>
      </c>
      <c r="B14" s="45" t="s">
        <v>129</v>
      </c>
      <c r="C14" s="46" t="s">
        <v>125</v>
      </c>
      <c r="D14" s="45" t="s">
        <v>130</v>
      </c>
      <c r="E14" s="73">
        <f t="shared" si="6"/>
        <v>0</v>
      </c>
      <c r="F14" s="50">
        <f t="shared" si="7"/>
        <v>0</v>
      </c>
      <c r="G14" s="73">
        <f t="shared" si="8"/>
        <v>1</v>
      </c>
      <c r="H14" s="50">
        <f t="shared" si="9"/>
        <v>3</v>
      </c>
      <c r="I14" s="73">
        <f t="shared" si="10"/>
        <v>1</v>
      </c>
      <c r="J14" s="50">
        <f t="shared" si="11"/>
        <v>1</v>
      </c>
      <c r="K14" s="53">
        <f t="shared" si="12"/>
        <v>2</v>
      </c>
      <c r="L14" s="54">
        <f t="shared" si="13"/>
        <v>4</v>
      </c>
      <c r="M14" s="53">
        <f t="shared" si="14"/>
        <v>1</v>
      </c>
      <c r="N14" s="54">
        <f t="shared" si="15"/>
        <v>2</v>
      </c>
      <c r="O14" s="49">
        <f t="shared" ref="O14:P14" si="96">SUM(K14,M14)</f>
        <v>3</v>
      </c>
      <c r="P14" s="50">
        <f t="shared" si="96"/>
        <v>6</v>
      </c>
      <c r="Q14" s="73">
        <f t="shared" si="17"/>
        <v>2</v>
      </c>
      <c r="R14" s="50">
        <f t="shared" si="18"/>
        <v>4</v>
      </c>
      <c r="S14" s="53">
        <f t="shared" si="19"/>
        <v>1</v>
      </c>
      <c r="T14" s="54">
        <f t="shared" si="20"/>
        <v>2</v>
      </c>
      <c r="U14" s="53">
        <f t="shared" si="21"/>
        <v>0</v>
      </c>
      <c r="V14" s="54">
        <f t="shared" si="22"/>
        <v>0</v>
      </c>
      <c r="W14" s="53">
        <f t="shared" si="23"/>
        <v>1</v>
      </c>
      <c r="X14" s="54">
        <f t="shared" si="24"/>
        <v>3</v>
      </c>
      <c r="Y14" s="53">
        <f t="shared" si="25"/>
        <v>1</v>
      </c>
      <c r="Z14" s="54">
        <f t="shared" si="26"/>
        <v>3</v>
      </c>
      <c r="AA14" s="53">
        <f t="shared" si="27"/>
        <v>2</v>
      </c>
      <c r="AB14" s="54">
        <f t="shared" si="28"/>
        <v>4</v>
      </c>
      <c r="AC14" s="49">
        <f t="shared" ref="AC14:AD14" si="97">SUM(S14,U14,W14,Y14,AA14)</f>
        <v>5</v>
      </c>
      <c r="AD14" s="50">
        <f t="shared" si="97"/>
        <v>12</v>
      </c>
      <c r="AE14" s="53">
        <f t="shared" si="30"/>
        <v>0</v>
      </c>
      <c r="AF14" s="54">
        <f t="shared" si="31"/>
        <v>0</v>
      </c>
      <c r="AG14" s="53">
        <f t="shared" si="32"/>
        <v>1</v>
      </c>
      <c r="AH14" s="54">
        <f t="shared" si="33"/>
        <v>2</v>
      </c>
      <c r="AI14" s="53">
        <f t="shared" si="34"/>
        <v>1</v>
      </c>
      <c r="AJ14" s="54">
        <f t="shared" si="35"/>
        <v>1</v>
      </c>
      <c r="AK14" s="53">
        <f t="shared" si="36"/>
        <v>1</v>
      </c>
      <c r="AL14" s="54">
        <f t="shared" si="37"/>
        <v>2</v>
      </c>
      <c r="AM14" s="53">
        <f t="shared" si="38"/>
        <v>1</v>
      </c>
      <c r="AN14" s="54">
        <f t="shared" si="39"/>
        <v>2</v>
      </c>
      <c r="AO14" s="53">
        <f t="shared" si="40"/>
        <v>2</v>
      </c>
      <c r="AP14" s="54">
        <f t="shared" si="41"/>
        <v>4</v>
      </c>
      <c r="AQ14" s="49">
        <f t="shared" ref="AQ14:AR14" si="98">SUM(AG14,AI14,AK14,AM14,AO14)</f>
        <v>6</v>
      </c>
      <c r="AR14" s="50">
        <f t="shared" si="98"/>
        <v>11</v>
      </c>
      <c r="AS14" s="53">
        <f t="shared" si="43"/>
        <v>1</v>
      </c>
      <c r="AT14" s="54">
        <f t="shared" si="44"/>
        <v>1</v>
      </c>
      <c r="AU14" s="53">
        <f t="shared" si="45"/>
        <v>1</v>
      </c>
      <c r="AV14" s="54">
        <f t="shared" si="46"/>
        <v>3</v>
      </c>
      <c r="AW14" s="53">
        <f t="shared" si="47"/>
        <v>1</v>
      </c>
      <c r="AX14" s="54">
        <f t="shared" si="48"/>
        <v>1</v>
      </c>
      <c r="AY14" s="53">
        <f t="shared" si="49"/>
        <v>0</v>
      </c>
      <c r="AZ14" s="54">
        <f t="shared" si="50"/>
        <v>0</v>
      </c>
      <c r="BA14" s="53">
        <f t="shared" si="51"/>
        <v>1</v>
      </c>
      <c r="BB14" s="54">
        <f t="shared" si="52"/>
        <v>1</v>
      </c>
      <c r="BC14" s="49">
        <f t="shared" ref="BC14:BD14" si="99">SUM(AS14,AU14,AW14,AY14,BA14)</f>
        <v>4</v>
      </c>
      <c r="BD14" s="50">
        <f t="shared" si="99"/>
        <v>6</v>
      </c>
      <c r="BE14" s="68">
        <f t="shared" ref="BE14:BF14" si="100">SUM(E14,G14,I14,O14,Q14,AC14,AQ14,BC14)</f>
        <v>22</v>
      </c>
      <c r="BF14" s="69">
        <f t="shared" si="100"/>
        <v>43</v>
      </c>
      <c r="BG14" s="46" t="str">
        <f>BF14*'ОВгП_РАО'!$B$12</f>
        <v>#REF!</v>
      </c>
      <c r="BH14" s="46" t="str">
        <f>'ОВгП_РАО'!$B$12</f>
        <v>#REF!</v>
      </c>
    </row>
    <row r="15">
      <c r="A15" s="80">
        <f t="shared" si="55"/>
        <v>46261</v>
      </c>
      <c r="B15" s="47" t="s">
        <v>131</v>
      </c>
      <c r="C15" s="47" t="s">
        <v>122</v>
      </c>
      <c r="D15" s="47" t="s">
        <v>123</v>
      </c>
      <c r="E15" s="73">
        <f t="shared" si="6"/>
        <v>1</v>
      </c>
      <c r="F15" s="50">
        <f t="shared" si="7"/>
        <v>1</v>
      </c>
      <c r="G15" s="73">
        <f t="shared" si="8"/>
        <v>1</v>
      </c>
      <c r="H15" s="50">
        <f t="shared" si="9"/>
        <v>2</v>
      </c>
      <c r="I15" s="73">
        <f t="shared" si="10"/>
        <v>1</v>
      </c>
      <c r="J15" s="50">
        <f t="shared" si="11"/>
        <v>2</v>
      </c>
      <c r="K15" s="53">
        <f t="shared" si="12"/>
        <v>1</v>
      </c>
      <c r="L15" s="54">
        <f t="shared" si="13"/>
        <v>1</v>
      </c>
      <c r="M15" s="53">
        <f t="shared" si="14"/>
        <v>0</v>
      </c>
      <c r="N15" s="54">
        <f t="shared" si="15"/>
        <v>0</v>
      </c>
      <c r="O15" s="49">
        <f t="shared" ref="O15:P15" si="101">SUM(K15,M15)</f>
        <v>1</v>
      </c>
      <c r="P15" s="50">
        <f t="shared" si="101"/>
        <v>1</v>
      </c>
      <c r="Q15" s="73">
        <f t="shared" si="17"/>
        <v>1</v>
      </c>
      <c r="R15" s="50">
        <f t="shared" si="18"/>
        <v>3</v>
      </c>
      <c r="S15" s="53">
        <f t="shared" si="19"/>
        <v>0</v>
      </c>
      <c r="T15" s="54">
        <f t="shared" si="20"/>
        <v>0</v>
      </c>
      <c r="U15" s="53">
        <f t="shared" si="21"/>
        <v>1</v>
      </c>
      <c r="V15" s="54">
        <f t="shared" si="22"/>
        <v>2</v>
      </c>
      <c r="W15" s="53">
        <f t="shared" si="23"/>
        <v>0</v>
      </c>
      <c r="X15" s="54">
        <f t="shared" si="24"/>
        <v>0</v>
      </c>
      <c r="Y15" s="53">
        <f t="shared" si="25"/>
        <v>2</v>
      </c>
      <c r="Z15" s="54">
        <f t="shared" si="26"/>
        <v>4</v>
      </c>
      <c r="AA15" s="53">
        <f t="shared" si="27"/>
        <v>1</v>
      </c>
      <c r="AB15" s="54">
        <f t="shared" si="28"/>
        <v>2</v>
      </c>
      <c r="AC15" s="49">
        <f t="shared" ref="AC15:AD15" si="102">SUM(S15,U15,W15,Y15,AA15)</f>
        <v>4</v>
      </c>
      <c r="AD15" s="50">
        <f t="shared" si="102"/>
        <v>8</v>
      </c>
      <c r="AE15" s="53">
        <f t="shared" si="30"/>
        <v>1</v>
      </c>
      <c r="AF15" s="54">
        <f t="shared" si="31"/>
        <v>1</v>
      </c>
      <c r="AG15" s="53">
        <f t="shared" si="32"/>
        <v>2</v>
      </c>
      <c r="AH15" s="54">
        <f t="shared" si="33"/>
        <v>4</v>
      </c>
      <c r="AI15" s="53">
        <f t="shared" si="34"/>
        <v>1</v>
      </c>
      <c r="AJ15" s="54">
        <f t="shared" si="35"/>
        <v>3</v>
      </c>
      <c r="AK15" s="53">
        <f t="shared" si="36"/>
        <v>2</v>
      </c>
      <c r="AL15" s="54">
        <f t="shared" si="37"/>
        <v>4</v>
      </c>
      <c r="AM15" s="53">
        <f t="shared" si="38"/>
        <v>1</v>
      </c>
      <c r="AN15" s="54">
        <f t="shared" si="39"/>
        <v>3</v>
      </c>
      <c r="AO15" s="53">
        <f t="shared" si="40"/>
        <v>2</v>
      </c>
      <c r="AP15" s="54">
        <f t="shared" si="41"/>
        <v>4</v>
      </c>
      <c r="AQ15" s="49">
        <f t="shared" ref="AQ15:AR15" si="103">SUM(AG15,AI15,AK15,AM15,AO15)</f>
        <v>8</v>
      </c>
      <c r="AR15" s="50">
        <f t="shared" si="103"/>
        <v>18</v>
      </c>
      <c r="AS15" s="53">
        <f t="shared" si="43"/>
        <v>1</v>
      </c>
      <c r="AT15" s="54">
        <f t="shared" si="44"/>
        <v>2</v>
      </c>
      <c r="AU15" s="53">
        <f t="shared" si="45"/>
        <v>1</v>
      </c>
      <c r="AV15" s="54">
        <f t="shared" si="46"/>
        <v>1</v>
      </c>
      <c r="AW15" s="53">
        <f t="shared" si="47"/>
        <v>1</v>
      </c>
      <c r="AX15" s="54">
        <f t="shared" si="48"/>
        <v>1</v>
      </c>
      <c r="AY15" s="53">
        <f t="shared" si="49"/>
        <v>0</v>
      </c>
      <c r="AZ15" s="54">
        <f t="shared" si="50"/>
        <v>0</v>
      </c>
      <c r="BA15" s="53">
        <f t="shared" si="51"/>
        <v>2</v>
      </c>
      <c r="BB15" s="54">
        <f t="shared" si="52"/>
        <v>4</v>
      </c>
      <c r="BC15" s="49">
        <f t="shared" ref="BC15:BD15" si="104">SUM(AS15,AU15,AW15,AY15,BA15)</f>
        <v>5</v>
      </c>
      <c r="BD15" s="50">
        <f t="shared" si="104"/>
        <v>8</v>
      </c>
      <c r="BE15" s="68">
        <f t="shared" ref="BE15:BF15" si="105">SUM(E15,G15,I15,O15,Q15,AC15,AQ15,BC15)</f>
        <v>22</v>
      </c>
      <c r="BF15" s="69">
        <f t="shared" si="105"/>
        <v>43</v>
      </c>
      <c r="BG15" s="46" t="str">
        <f>BF15*'ОВгП_РАО'!$B$13</f>
        <v>#REF!</v>
      </c>
      <c r="BH15" s="46" t="str">
        <f>'ОВгП_РАО'!$B$13</f>
        <v>#REF!</v>
      </c>
    </row>
    <row r="16">
      <c r="A16" s="80">
        <f t="shared" si="55"/>
        <v>46261</v>
      </c>
      <c r="B16" s="47" t="s">
        <v>132</v>
      </c>
      <c r="C16" s="47" t="s">
        <v>122</v>
      </c>
      <c r="D16" s="47" t="s">
        <v>123</v>
      </c>
      <c r="E16" s="73">
        <f t="shared" si="6"/>
        <v>1</v>
      </c>
      <c r="F16" s="50">
        <f t="shared" si="7"/>
        <v>1</v>
      </c>
      <c r="G16" s="73">
        <f t="shared" si="8"/>
        <v>1</v>
      </c>
      <c r="H16" s="50">
        <f t="shared" si="9"/>
        <v>1</v>
      </c>
      <c r="I16" s="73">
        <f t="shared" si="10"/>
        <v>1</v>
      </c>
      <c r="J16" s="50">
        <f t="shared" si="11"/>
        <v>1</v>
      </c>
      <c r="K16" s="53">
        <f t="shared" si="12"/>
        <v>0</v>
      </c>
      <c r="L16" s="54">
        <f t="shared" si="13"/>
        <v>0</v>
      </c>
      <c r="M16" s="53">
        <f t="shared" si="14"/>
        <v>1</v>
      </c>
      <c r="N16" s="54">
        <f t="shared" si="15"/>
        <v>2</v>
      </c>
      <c r="O16" s="49">
        <f t="shared" ref="O16:P16" si="106">SUM(K16,M16)</f>
        <v>1</v>
      </c>
      <c r="P16" s="50">
        <f t="shared" si="106"/>
        <v>2</v>
      </c>
      <c r="Q16" s="73">
        <f t="shared" si="17"/>
        <v>1</v>
      </c>
      <c r="R16" s="50">
        <f t="shared" si="18"/>
        <v>3</v>
      </c>
      <c r="S16" s="53">
        <f t="shared" si="19"/>
        <v>1</v>
      </c>
      <c r="T16" s="54">
        <f t="shared" si="20"/>
        <v>1</v>
      </c>
      <c r="U16" s="53">
        <f t="shared" si="21"/>
        <v>0</v>
      </c>
      <c r="V16" s="54">
        <f t="shared" si="22"/>
        <v>0</v>
      </c>
      <c r="W16" s="53">
        <f t="shared" si="23"/>
        <v>2</v>
      </c>
      <c r="X16" s="54">
        <f t="shared" si="24"/>
        <v>4</v>
      </c>
      <c r="Y16" s="53">
        <f t="shared" si="25"/>
        <v>1</v>
      </c>
      <c r="Z16" s="54">
        <f t="shared" si="26"/>
        <v>1</v>
      </c>
      <c r="AA16" s="53">
        <f t="shared" si="27"/>
        <v>1</v>
      </c>
      <c r="AB16" s="54">
        <f t="shared" si="28"/>
        <v>2</v>
      </c>
      <c r="AC16" s="49">
        <f t="shared" ref="AC16:AD16" si="107">SUM(S16,U16,W16,Y16,AA16)</f>
        <v>5</v>
      </c>
      <c r="AD16" s="50">
        <f t="shared" si="107"/>
        <v>8</v>
      </c>
      <c r="AE16" s="53">
        <f t="shared" si="30"/>
        <v>2</v>
      </c>
      <c r="AF16" s="54">
        <f t="shared" si="31"/>
        <v>4</v>
      </c>
      <c r="AG16" s="53">
        <f t="shared" si="32"/>
        <v>1</v>
      </c>
      <c r="AH16" s="54">
        <f t="shared" si="33"/>
        <v>3</v>
      </c>
      <c r="AI16" s="53">
        <f t="shared" si="34"/>
        <v>1</v>
      </c>
      <c r="AJ16" s="54">
        <f t="shared" si="35"/>
        <v>3</v>
      </c>
      <c r="AK16" s="53">
        <f t="shared" si="36"/>
        <v>1</v>
      </c>
      <c r="AL16" s="54">
        <f t="shared" si="37"/>
        <v>1</v>
      </c>
      <c r="AM16" s="53">
        <f t="shared" si="38"/>
        <v>1</v>
      </c>
      <c r="AN16" s="54">
        <f t="shared" si="39"/>
        <v>2</v>
      </c>
      <c r="AO16" s="53">
        <f t="shared" si="40"/>
        <v>2</v>
      </c>
      <c r="AP16" s="54">
        <f t="shared" si="41"/>
        <v>4</v>
      </c>
      <c r="AQ16" s="49">
        <f t="shared" ref="AQ16:AR16" si="108">SUM(AG16,AI16,AK16,AM16,AO16)</f>
        <v>6</v>
      </c>
      <c r="AR16" s="50">
        <f t="shared" si="108"/>
        <v>13</v>
      </c>
      <c r="AS16" s="53">
        <f t="shared" si="43"/>
        <v>1</v>
      </c>
      <c r="AT16" s="54">
        <f t="shared" si="44"/>
        <v>2</v>
      </c>
      <c r="AU16" s="53">
        <f t="shared" si="45"/>
        <v>1</v>
      </c>
      <c r="AV16" s="54">
        <f t="shared" si="46"/>
        <v>1</v>
      </c>
      <c r="AW16" s="53">
        <f t="shared" si="47"/>
        <v>1</v>
      </c>
      <c r="AX16" s="54">
        <f t="shared" si="48"/>
        <v>1</v>
      </c>
      <c r="AY16" s="53">
        <f t="shared" si="49"/>
        <v>1</v>
      </c>
      <c r="AZ16" s="54">
        <f t="shared" si="50"/>
        <v>3</v>
      </c>
      <c r="BA16" s="53">
        <f t="shared" si="51"/>
        <v>0</v>
      </c>
      <c r="BB16" s="54">
        <f t="shared" si="52"/>
        <v>0</v>
      </c>
      <c r="BC16" s="49">
        <f t="shared" ref="BC16:BD16" si="109">SUM(AS16,AU16,AW16,AY16,BA16)</f>
        <v>4</v>
      </c>
      <c r="BD16" s="50">
        <f t="shared" si="109"/>
        <v>7</v>
      </c>
      <c r="BE16" s="68">
        <f t="shared" ref="BE16:BF16" si="110">SUM(E16,G16,I16,O16,Q16,AC16,AQ16,BC16)</f>
        <v>20</v>
      </c>
      <c r="BF16" s="69">
        <f t="shared" si="110"/>
        <v>36</v>
      </c>
      <c r="BG16" s="46" t="str">
        <f>BF16*'ОВгП_РАО'!$B$14</f>
        <v>#REF!</v>
      </c>
      <c r="BH16" s="46" t="str">
        <f>'ОВгП_РАО'!$B$14</f>
        <v>#REF!</v>
      </c>
    </row>
    <row r="17">
      <c r="A17" s="80">
        <f t="shared" si="55"/>
        <v>46261</v>
      </c>
      <c r="B17" s="47" t="s">
        <v>133</v>
      </c>
      <c r="C17" s="47" t="s">
        <v>122</v>
      </c>
      <c r="D17" s="47" t="s">
        <v>123</v>
      </c>
      <c r="E17" s="73">
        <f t="shared" si="6"/>
        <v>2</v>
      </c>
      <c r="F17" s="50">
        <f t="shared" si="7"/>
        <v>4</v>
      </c>
      <c r="G17" s="73">
        <f t="shared" si="8"/>
        <v>2</v>
      </c>
      <c r="H17" s="50">
        <f t="shared" si="9"/>
        <v>4</v>
      </c>
      <c r="I17" s="73">
        <f t="shared" si="10"/>
        <v>1</v>
      </c>
      <c r="J17" s="50">
        <f t="shared" si="11"/>
        <v>3</v>
      </c>
      <c r="K17" s="53">
        <f t="shared" si="12"/>
        <v>0</v>
      </c>
      <c r="L17" s="54">
        <f t="shared" si="13"/>
        <v>0</v>
      </c>
      <c r="M17" s="53">
        <f t="shared" si="14"/>
        <v>1</v>
      </c>
      <c r="N17" s="54">
        <f t="shared" si="15"/>
        <v>2</v>
      </c>
      <c r="O17" s="49">
        <f t="shared" ref="O17:P17" si="111">SUM(K17,M17)</f>
        <v>1</v>
      </c>
      <c r="P17" s="50">
        <f t="shared" si="111"/>
        <v>2</v>
      </c>
      <c r="Q17" s="73">
        <f t="shared" si="17"/>
        <v>2</v>
      </c>
      <c r="R17" s="50">
        <f t="shared" si="18"/>
        <v>4</v>
      </c>
      <c r="S17" s="53">
        <f t="shared" si="19"/>
        <v>2</v>
      </c>
      <c r="T17" s="54">
        <f t="shared" si="20"/>
        <v>4</v>
      </c>
      <c r="U17" s="53">
        <f t="shared" si="21"/>
        <v>1</v>
      </c>
      <c r="V17" s="54">
        <f t="shared" si="22"/>
        <v>2</v>
      </c>
      <c r="W17" s="53">
        <f t="shared" si="23"/>
        <v>2</v>
      </c>
      <c r="X17" s="54">
        <f t="shared" si="24"/>
        <v>4</v>
      </c>
      <c r="Y17" s="53">
        <f t="shared" si="25"/>
        <v>1</v>
      </c>
      <c r="Z17" s="54">
        <f t="shared" si="26"/>
        <v>1</v>
      </c>
      <c r="AA17" s="53">
        <f t="shared" si="27"/>
        <v>0</v>
      </c>
      <c r="AB17" s="54">
        <f t="shared" si="28"/>
        <v>0</v>
      </c>
      <c r="AC17" s="49">
        <f t="shared" ref="AC17:AD17" si="112">SUM(S17,U17,W17,Y17,AA17)</f>
        <v>6</v>
      </c>
      <c r="AD17" s="50">
        <f t="shared" si="112"/>
        <v>11</v>
      </c>
      <c r="AE17" s="53">
        <f t="shared" si="30"/>
        <v>1</v>
      </c>
      <c r="AF17" s="54">
        <f t="shared" si="31"/>
        <v>3</v>
      </c>
      <c r="AG17" s="53">
        <f t="shared" si="32"/>
        <v>2</v>
      </c>
      <c r="AH17" s="54">
        <f t="shared" si="33"/>
        <v>4</v>
      </c>
      <c r="AI17" s="53">
        <f t="shared" si="34"/>
        <v>1</v>
      </c>
      <c r="AJ17" s="54">
        <f t="shared" si="35"/>
        <v>2</v>
      </c>
      <c r="AK17" s="53">
        <f t="shared" si="36"/>
        <v>2</v>
      </c>
      <c r="AL17" s="54">
        <f t="shared" si="37"/>
        <v>4</v>
      </c>
      <c r="AM17" s="53">
        <f t="shared" si="38"/>
        <v>0</v>
      </c>
      <c r="AN17" s="54">
        <f t="shared" si="39"/>
        <v>0</v>
      </c>
      <c r="AO17" s="53">
        <f t="shared" si="40"/>
        <v>2</v>
      </c>
      <c r="AP17" s="54">
        <f t="shared" si="41"/>
        <v>4</v>
      </c>
      <c r="AQ17" s="49">
        <f t="shared" ref="AQ17:AR17" si="113">SUM(AG17,AI17,AK17,AM17,AO17)</f>
        <v>7</v>
      </c>
      <c r="AR17" s="50">
        <f t="shared" si="113"/>
        <v>14</v>
      </c>
      <c r="AS17" s="53">
        <f t="shared" si="43"/>
        <v>0</v>
      </c>
      <c r="AT17" s="54">
        <f t="shared" si="44"/>
        <v>0</v>
      </c>
      <c r="AU17" s="53">
        <f t="shared" si="45"/>
        <v>2</v>
      </c>
      <c r="AV17" s="54">
        <f t="shared" si="46"/>
        <v>4</v>
      </c>
      <c r="AW17" s="53">
        <f t="shared" si="47"/>
        <v>1</v>
      </c>
      <c r="AX17" s="54">
        <f t="shared" si="48"/>
        <v>2</v>
      </c>
      <c r="AY17" s="53">
        <f t="shared" si="49"/>
        <v>0</v>
      </c>
      <c r="AZ17" s="54">
        <f t="shared" si="50"/>
        <v>0</v>
      </c>
      <c r="BA17" s="53">
        <f t="shared" si="51"/>
        <v>0</v>
      </c>
      <c r="BB17" s="54">
        <f t="shared" si="52"/>
        <v>0</v>
      </c>
      <c r="BC17" s="49">
        <f t="shared" ref="BC17:BD17" si="114">SUM(AS17,AU17,AW17,AY17,BA17)</f>
        <v>3</v>
      </c>
      <c r="BD17" s="50">
        <f t="shared" si="114"/>
        <v>6</v>
      </c>
      <c r="BE17" s="68">
        <f t="shared" ref="BE17:BF17" si="115">SUM(E17,G17,I17,O17,Q17,AC17,AQ17,BC17)</f>
        <v>24</v>
      </c>
      <c r="BF17" s="69">
        <f t="shared" si="115"/>
        <v>48</v>
      </c>
      <c r="BG17" s="46" t="str">
        <f>BF17*'ОВгП_РАО'!$B$15</f>
        <v>#REF!</v>
      </c>
      <c r="BH17" s="46" t="str">
        <f>'ОВгП_РАО'!$B$15</f>
        <v>#REF!</v>
      </c>
    </row>
    <row r="18">
      <c r="A18" s="80">
        <f t="shared" si="55"/>
        <v>46261</v>
      </c>
      <c r="B18" s="47" t="s">
        <v>134</v>
      </c>
      <c r="C18" s="47" t="s">
        <v>122</v>
      </c>
      <c r="D18" s="47" t="s">
        <v>123</v>
      </c>
      <c r="E18" s="73">
        <f t="shared" si="6"/>
        <v>2</v>
      </c>
      <c r="F18" s="50">
        <f t="shared" si="7"/>
        <v>4</v>
      </c>
      <c r="G18" s="73">
        <f t="shared" si="8"/>
        <v>1</v>
      </c>
      <c r="H18" s="50">
        <f t="shared" si="9"/>
        <v>2</v>
      </c>
      <c r="I18" s="73">
        <f t="shared" si="10"/>
        <v>1</v>
      </c>
      <c r="J18" s="50">
        <f t="shared" si="11"/>
        <v>3</v>
      </c>
      <c r="K18" s="53">
        <f t="shared" si="12"/>
        <v>0</v>
      </c>
      <c r="L18" s="54">
        <f t="shared" si="13"/>
        <v>0</v>
      </c>
      <c r="M18" s="53">
        <f t="shared" si="14"/>
        <v>1</v>
      </c>
      <c r="N18" s="54">
        <f t="shared" si="15"/>
        <v>3</v>
      </c>
      <c r="O18" s="49">
        <f t="shared" ref="O18:P18" si="116">SUM(K18,M18)</f>
        <v>1</v>
      </c>
      <c r="P18" s="50">
        <f t="shared" si="116"/>
        <v>3</v>
      </c>
      <c r="Q18" s="73">
        <f t="shared" si="17"/>
        <v>1</v>
      </c>
      <c r="R18" s="50">
        <f t="shared" si="18"/>
        <v>1</v>
      </c>
      <c r="S18" s="53">
        <f t="shared" si="19"/>
        <v>1</v>
      </c>
      <c r="T18" s="54">
        <f t="shared" si="20"/>
        <v>3</v>
      </c>
      <c r="U18" s="53">
        <f t="shared" si="21"/>
        <v>0</v>
      </c>
      <c r="V18" s="54">
        <f t="shared" si="22"/>
        <v>0</v>
      </c>
      <c r="W18" s="53">
        <f t="shared" si="23"/>
        <v>0</v>
      </c>
      <c r="X18" s="54">
        <f t="shared" si="24"/>
        <v>0</v>
      </c>
      <c r="Y18" s="53">
        <f t="shared" si="25"/>
        <v>0</v>
      </c>
      <c r="Z18" s="54">
        <f t="shared" si="26"/>
        <v>0</v>
      </c>
      <c r="AA18" s="53">
        <f t="shared" si="27"/>
        <v>1</v>
      </c>
      <c r="AB18" s="54">
        <f t="shared" si="28"/>
        <v>1</v>
      </c>
      <c r="AC18" s="49">
        <f t="shared" ref="AC18:AD18" si="117">SUM(S18,U18,W18,Y18,AA18)</f>
        <v>2</v>
      </c>
      <c r="AD18" s="50">
        <f t="shared" si="117"/>
        <v>4</v>
      </c>
      <c r="AE18" s="53">
        <f t="shared" si="30"/>
        <v>1</v>
      </c>
      <c r="AF18" s="54">
        <f t="shared" si="31"/>
        <v>3</v>
      </c>
      <c r="AG18" s="53">
        <f t="shared" si="32"/>
        <v>2</v>
      </c>
      <c r="AH18" s="54">
        <f t="shared" si="33"/>
        <v>4</v>
      </c>
      <c r="AI18" s="53">
        <f t="shared" si="34"/>
        <v>1</v>
      </c>
      <c r="AJ18" s="54">
        <f t="shared" si="35"/>
        <v>3</v>
      </c>
      <c r="AK18" s="53">
        <f t="shared" si="36"/>
        <v>1</v>
      </c>
      <c r="AL18" s="54">
        <f t="shared" si="37"/>
        <v>2</v>
      </c>
      <c r="AM18" s="53">
        <f t="shared" si="38"/>
        <v>1</v>
      </c>
      <c r="AN18" s="54">
        <f t="shared" si="39"/>
        <v>1</v>
      </c>
      <c r="AO18" s="53">
        <f t="shared" si="40"/>
        <v>1</v>
      </c>
      <c r="AP18" s="54">
        <f t="shared" si="41"/>
        <v>3</v>
      </c>
      <c r="AQ18" s="49">
        <f t="shared" ref="AQ18:AR18" si="118">SUM(AG18,AI18,AK18,AM18,AO18)</f>
        <v>6</v>
      </c>
      <c r="AR18" s="50">
        <f t="shared" si="118"/>
        <v>13</v>
      </c>
      <c r="AS18" s="53">
        <f t="shared" si="43"/>
        <v>1</v>
      </c>
      <c r="AT18" s="54">
        <f t="shared" si="44"/>
        <v>3</v>
      </c>
      <c r="AU18" s="53">
        <f t="shared" si="45"/>
        <v>1</v>
      </c>
      <c r="AV18" s="54">
        <f t="shared" si="46"/>
        <v>2</v>
      </c>
      <c r="AW18" s="53">
        <f t="shared" si="47"/>
        <v>2</v>
      </c>
      <c r="AX18" s="54">
        <f t="shared" si="48"/>
        <v>4</v>
      </c>
      <c r="AY18" s="53">
        <f t="shared" si="49"/>
        <v>1</v>
      </c>
      <c r="AZ18" s="54">
        <f t="shared" si="50"/>
        <v>1</v>
      </c>
      <c r="BA18" s="53">
        <f t="shared" si="51"/>
        <v>1</v>
      </c>
      <c r="BB18" s="54">
        <f t="shared" si="52"/>
        <v>3</v>
      </c>
      <c r="BC18" s="49">
        <f t="shared" ref="BC18:BD18" si="119">SUM(AS18,AU18,AW18,AY18,BA18)</f>
        <v>6</v>
      </c>
      <c r="BD18" s="50">
        <f t="shared" si="119"/>
        <v>13</v>
      </c>
      <c r="BE18" s="68">
        <f t="shared" ref="BE18:BF18" si="120">SUM(E18,G18,I18,O18,Q18,AC18,AQ18,BC18)</f>
        <v>20</v>
      </c>
      <c r="BF18" s="69">
        <f t="shared" si="120"/>
        <v>43</v>
      </c>
      <c r="BG18" s="46" t="str">
        <f>BF18*'ОВгП_РАО'!$B$16</f>
        <v>#REF!</v>
      </c>
      <c r="BH18" s="46" t="str">
        <f>'ОВгП_РАО'!$B$16</f>
        <v>#REF!</v>
      </c>
    </row>
    <row r="19">
      <c r="A19" s="80">
        <f t="shared" si="55"/>
        <v>46261</v>
      </c>
      <c r="B19" s="129" t="s">
        <v>135</v>
      </c>
      <c r="C19" s="47" t="s">
        <v>122</v>
      </c>
      <c r="D19" s="47" t="s">
        <v>136</v>
      </c>
      <c r="E19" s="73">
        <f t="shared" si="6"/>
        <v>2</v>
      </c>
      <c r="F19" s="50">
        <f t="shared" si="7"/>
        <v>4</v>
      </c>
      <c r="G19" s="73">
        <f t="shared" si="8"/>
        <v>1</v>
      </c>
      <c r="H19" s="50">
        <f t="shared" si="9"/>
        <v>1</v>
      </c>
      <c r="I19" s="73">
        <f t="shared" si="10"/>
        <v>1</v>
      </c>
      <c r="J19" s="50">
        <f t="shared" si="11"/>
        <v>3</v>
      </c>
      <c r="K19" s="53">
        <f t="shared" si="12"/>
        <v>1</v>
      </c>
      <c r="L19" s="54">
        <f t="shared" si="13"/>
        <v>2</v>
      </c>
      <c r="M19" s="53">
        <f t="shared" si="14"/>
        <v>1</v>
      </c>
      <c r="N19" s="54">
        <f t="shared" si="15"/>
        <v>3</v>
      </c>
      <c r="O19" s="49">
        <f t="shared" ref="O19:P19" si="121">SUM(K19,M19)</f>
        <v>2</v>
      </c>
      <c r="P19" s="50">
        <f t="shared" si="121"/>
        <v>5</v>
      </c>
      <c r="Q19" s="73">
        <f t="shared" si="17"/>
        <v>2</v>
      </c>
      <c r="R19" s="50">
        <f t="shared" si="18"/>
        <v>4</v>
      </c>
      <c r="S19" s="53">
        <f t="shared" si="19"/>
        <v>1</v>
      </c>
      <c r="T19" s="54">
        <f t="shared" si="20"/>
        <v>2</v>
      </c>
      <c r="U19" s="53">
        <f t="shared" si="21"/>
        <v>1</v>
      </c>
      <c r="V19" s="54">
        <f t="shared" si="22"/>
        <v>1</v>
      </c>
      <c r="W19" s="53">
        <f t="shared" si="23"/>
        <v>0</v>
      </c>
      <c r="X19" s="54">
        <f t="shared" si="24"/>
        <v>0</v>
      </c>
      <c r="Y19" s="53">
        <f t="shared" si="25"/>
        <v>1</v>
      </c>
      <c r="Z19" s="54">
        <f t="shared" si="26"/>
        <v>1</v>
      </c>
      <c r="AA19" s="53">
        <f t="shared" si="27"/>
        <v>2</v>
      </c>
      <c r="AB19" s="54">
        <f t="shared" si="28"/>
        <v>4</v>
      </c>
      <c r="AC19" s="49">
        <f t="shared" ref="AC19:AD19" si="122">SUM(S19,U19,W19,Y19,AA19)</f>
        <v>5</v>
      </c>
      <c r="AD19" s="50">
        <f t="shared" si="122"/>
        <v>8</v>
      </c>
      <c r="AE19" s="53">
        <f t="shared" si="30"/>
        <v>1</v>
      </c>
      <c r="AF19" s="54">
        <f t="shared" si="31"/>
        <v>2</v>
      </c>
      <c r="AG19" s="53">
        <f t="shared" si="32"/>
        <v>1</v>
      </c>
      <c r="AH19" s="54">
        <f t="shared" si="33"/>
        <v>1</v>
      </c>
      <c r="AI19" s="53">
        <f t="shared" si="34"/>
        <v>1</v>
      </c>
      <c r="AJ19" s="54">
        <f t="shared" si="35"/>
        <v>1</v>
      </c>
      <c r="AK19" s="53">
        <f t="shared" si="36"/>
        <v>0</v>
      </c>
      <c r="AL19" s="54">
        <f t="shared" si="37"/>
        <v>0</v>
      </c>
      <c r="AM19" s="53">
        <f t="shared" si="38"/>
        <v>1</v>
      </c>
      <c r="AN19" s="54">
        <f t="shared" si="39"/>
        <v>3</v>
      </c>
      <c r="AO19" s="53">
        <f t="shared" si="40"/>
        <v>1</v>
      </c>
      <c r="AP19" s="54">
        <f t="shared" si="41"/>
        <v>1</v>
      </c>
      <c r="AQ19" s="49">
        <f t="shared" ref="AQ19:AR19" si="123">SUM(AG19,AI19,AK19,AM19,AO19)</f>
        <v>4</v>
      </c>
      <c r="AR19" s="50">
        <f t="shared" si="123"/>
        <v>6</v>
      </c>
      <c r="AS19" s="53">
        <f t="shared" si="43"/>
        <v>0</v>
      </c>
      <c r="AT19" s="54">
        <f t="shared" si="44"/>
        <v>0</v>
      </c>
      <c r="AU19" s="53">
        <f t="shared" si="45"/>
        <v>1</v>
      </c>
      <c r="AV19" s="54">
        <f t="shared" si="46"/>
        <v>2</v>
      </c>
      <c r="AW19" s="53">
        <f t="shared" si="47"/>
        <v>1</v>
      </c>
      <c r="AX19" s="54">
        <f t="shared" si="48"/>
        <v>2</v>
      </c>
      <c r="AY19" s="53">
        <f t="shared" si="49"/>
        <v>1</v>
      </c>
      <c r="AZ19" s="54">
        <f t="shared" si="50"/>
        <v>1</v>
      </c>
      <c r="BA19" s="53">
        <f t="shared" si="51"/>
        <v>0</v>
      </c>
      <c r="BB19" s="54">
        <f t="shared" si="52"/>
        <v>0</v>
      </c>
      <c r="BC19" s="49">
        <f t="shared" ref="BC19:BD19" si="124">SUM(AS19,AU19,AW19,AY19,BA19)</f>
        <v>3</v>
      </c>
      <c r="BD19" s="50">
        <f t="shared" si="124"/>
        <v>5</v>
      </c>
      <c r="BE19" s="68">
        <f t="shared" ref="BE19:BF19" si="125">SUM(E19,G19,I19,O19,Q19,AC19,AQ19,BC19)</f>
        <v>20</v>
      </c>
      <c r="BF19" s="69">
        <f t="shared" si="125"/>
        <v>36</v>
      </c>
      <c r="BG19" s="46" t="str">
        <f>BF19*'ОВгП_РАО'!$B$17</f>
        <v>#REF!</v>
      </c>
      <c r="BH19" s="46" t="str">
        <f>'ОВгП_РАО'!$B$17</f>
        <v>#REF!</v>
      </c>
    </row>
    <row r="20">
      <c r="A20" s="80">
        <f t="shared" si="55"/>
        <v>46261</v>
      </c>
      <c r="B20" s="129" t="s">
        <v>137</v>
      </c>
      <c r="C20" s="47" t="s">
        <v>122</v>
      </c>
      <c r="D20" s="47" t="s">
        <v>136</v>
      </c>
      <c r="E20" s="73">
        <f t="shared" si="6"/>
        <v>1</v>
      </c>
      <c r="F20" s="50">
        <f t="shared" si="7"/>
        <v>2</v>
      </c>
      <c r="G20" s="73">
        <f t="shared" si="8"/>
        <v>0</v>
      </c>
      <c r="H20" s="50">
        <f t="shared" si="9"/>
        <v>0</v>
      </c>
      <c r="I20" s="73">
        <f t="shared" si="10"/>
        <v>1</v>
      </c>
      <c r="J20" s="50">
        <f t="shared" si="11"/>
        <v>2</v>
      </c>
      <c r="K20" s="53">
        <f t="shared" si="12"/>
        <v>1</v>
      </c>
      <c r="L20" s="54">
        <f t="shared" si="13"/>
        <v>2</v>
      </c>
      <c r="M20" s="53">
        <f t="shared" si="14"/>
        <v>0</v>
      </c>
      <c r="N20" s="54">
        <f t="shared" si="15"/>
        <v>0</v>
      </c>
      <c r="O20" s="49">
        <f t="shared" ref="O20:P20" si="126">SUM(K20,M20)</f>
        <v>1</v>
      </c>
      <c r="P20" s="50">
        <f t="shared" si="126"/>
        <v>2</v>
      </c>
      <c r="Q20" s="73">
        <f t="shared" si="17"/>
        <v>1</v>
      </c>
      <c r="R20" s="50">
        <f t="shared" si="18"/>
        <v>2</v>
      </c>
      <c r="S20" s="53">
        <f t="shared" si="19"/>
        <v>1</v>
      </c>
      <c r="T20" s="54">
        <f t="shared" si="20"/>
        <v>3</v>
      </c>
      <c r="U20" s="53">
        <f t="shared" si="21"/>
        <v>1</v>
      </c>
      <c r="V20" s="54">
        <f t="shared" si="22"/>
        <v>1</v>
      </c>
      <c r="W20" s="53">
        <f t="shared" si="23"/>
        <v>2</v>
      </c>
      <c r="X20" s="54">
        <f t="shared" si="24"/>
        <v>4</v>
      </c>
      <c r="Y20" s="53">
        <f t="shared" si="25"/>
        <v>2</v>
      </c>
      <c r="Z20" s="54">
        <f t="shared" si="26"/>
        <v>4</v>
      </c>
      <c r="AA20" s="53">
        <f t="shared" si="27"/>
        <v>1</v>
      </c>
      <c r="AB20" s="54">
        <f t="shared" si="28"/>
        <v>2</v>
      </c>
      <c r="AC20" s="49">
        <f t="shared" ref="AC20:AD20" si="127">SUM(S20,U20,W20,Y20,AA20)</f>
        <v>7</v>
      </c>
      <c r="AD20" s="50">
        <f t="shared" si="127"/>
        <v>14</v>
      </c>
      <c r="AE20" s="53">
        <f t="shared" si="30"/>
        <v>1</v>
      </c>
      <c r="AF20" s="54">
        <f t="shared" si="31"/>
        <v>2</v>
      </c>
      <c r="AG20" s="53">
        <f t="shared" si="32"/>
        <v>0</v>
      </c>
      <c r="AH20" s="54">
        <f t="shared" si="33"/>
        <v>0</v>
      </c>
      <c r="AI20" s="53">
        <f t="shared" si="34"/>
        <v>1</v>
      </c>
      <c r="AJ20" s="54">
        <f t="shared" si="35"/>
        <v>1</v>
      </c>
      <c r="AK20" s="53">
        <f t="shared" si="36"/>
        <v>0</v>
      </c>
      <c r="AL20" s="54">
        <f t="shared" si="37"/>
        <v>0</v>
      </c>
      <c r="AM20" s="53">
        <f t="shared" si="38"/>
        <v>0</v>
      </c>
      <c r="AN20" s="54">
        <f t="shared" si="39"/>
        <v>0</v>
      </c>
      <c r="AO20" s="53">
        <f t="shared" si="40"/>
        <v>0</v>
      </c>
      <c r="AP20" s="54">
        <f t="shared" si="41"/>
        <v>0</v>
      </c>
      <c r="AQ20" s="49">
        <f t="shared" ref="AQ20:AR20" si="128">SUM(AG20,AI20,AK20,AM20,AO20)</f>
        <v>1</v>
      </c>
      <c r="AR20" s="50">
        <f t="shared" si="128"/>
        <v>1</v>
      </c>
      <c r="AS20" s="53">
        <f t="shared" si="43"/>
        <v>1</v>
      </c>
      <c r="AT20" s="54">
        <f t="shared" si="44"/>
        <v>1</v>
      </c>
      <c r="AU20" s="53">
        <f t="shared" si="45"/>
        <v>1</v>
      </c>
      <c r="AV20" s="54">
        <f t="shared" si="46"/>
        <v>3</v>
      </c>
      <c r="AW20" s="53">
        <f t="shared" si="47"/>
        <v>1</v>
      </c>
      <c r="AX20" s="54">
        <f t="shared" si="48"/>
        <v>1</v>
      </c>
      <c r="AY20" s="53">
        <f t="shared" si="49"/>
        <v>1</v>
      </c>
      <c r="AZ20" s="54">
        <f t="shared" si="50"/>
        <v>1</v>
      </c>
      <c r="BA20" s="53">
        <f t="shared" si="51"/>
        <v>0</v>
      </c>
      <c r="BB20" s="54">
        <f t="shared" si="52"/>
        <v>0</v>
      </c>
      <c r="BC20" s="49">
        <f t="shared" ref="BC20:BD20" si="129">SUM(AS20,AU20,AW20,AY20,BA20)</f>
        <v>4</v>
      </c>
      <c r="BD20" s="50">
        <f t="shared" si="129"/>
        <v>6</v>
      </c>
      <c r="BE20" s="68">
        <f t="shared" ref="BE20:BF20" si="130">SUM(E20,G20,I20,O20,Q20,AC20,AQ20,BC20)</f>
        <v>16</v>
      </c>
      <c r="BF20" s="69">
        <f t="shared" si="130"/>
        <v>29</v>
      </c>
      <c r="BG20" s="46" t="str">
        <f>BF20*'ОВгП_РАО'!$B$18</f>
        <v>#REF!</v>
      </c>
      <c r="BH20" s="46" t="str">
        <f>'ОВгП_РАО'!$B$18</f>
        <v>#REF!</v>
      </c>
    </row>
    <row r="21" ht="15.75" customHeight="1">
      <c r="A21" s="80">
        <f t="shared" si="55"/>
        <v>46261</v>
      </c>
      <c r="B21" s="129" t="s">
        <v>138</v>
      </c>
      <c r="C21" s="47" t="s">
        <v>122</v>
      </c>
      <c r="D21" s="47" t="s">
        <v>139</v>
      </c>
      <c r="E21" s="73">
        <f t="shared" si="6"/>
        <v>1</v>
      </c>
      <c r="F21" s="50">
        <f t="shared" si="7"/>
        <v>2</v>
      </c>
      <c r="G21" s="73">
        <f t="shared" si="8"/>
        <v>2</v>
      </c>
      <c r="H21" s="50">
        <f t="shared" si="9"/>
        <v>4</v>
      </c>
      <c r="I21" s="73">
        <f t="shared" si="10"/>
        <v>2</v>
      </c>
      <c r="J21" s="50">
        <f t="shared" si="11"/>
        <v>4</v>
      </c>
      <c r="K21" s="53">
        <f t="shared" si="12"/>
        <v>0</v>
      </c>
      <c r="L21" s="54">
        <f t="shared" si="13"/>
        <v>0</v>
      </c>
      <c r="M21" s="53">
        <f t="shared" si="14"/>
        <v>2</v>
      </c>
      <c r="N21" s="54">
        <f t="shared" si="15"/>
        <v>4</v>
      </c>
      <c r="O21" s="49">
        <f t="shared" ref="O21:P21" si="131">SUM(K21,M21)</f>
        <v>2</v>
      </c>
      <c r="P21" s="50">
        <f t="shared" si="131"/>
        <v>4</v>
      </c>
      <c r="Q21" s="73">
        <f t="shared" si="17"/>
        <v>0</v>
      </c>
      <c r="R21" s="50">
        <f t="shared" si="18"/>
        <v>0</v>
      </c>
      <c r="S21" s="53">
        <f t="shared" si="19"/>
        <v>0</v>
      </c>
      <c r="T21" s="54">
        <f t="shared" si="20"/>
        <v>0</v>
      </c>
      <c r="U21" s="53">
        <f t="shared" si="21"/>
        <v>1</v>
      </c>
      <c r="V21" s="54">
        <f t="shared" si="22"/>
        <v>1</v>
      </c>
      <c r="W21" s="53">
        <f t="shared" si="23"/>
        <v>1</v>
      </c>
      <c r="X21" s="54">
        <f t="shared" si="24"/>
        <v>1</v>
      </c>
      <c r="Y21" s="53">
        <f t="shared" si="25"/>
        <v>1</v>
      </c>
      <c r="Z21" s="54">
        <f t="shared" si="26"/>
        <v>3</v>
      </c>
      <c r="AA21" s="53">
        <f t="shared" si="27"/>
        <v>2</v>
      </c>
      <c r="AB21" s="54">
        <f t="shared" si="28"/>
        <v>4</v>
      </c>
      <c r="AC21" s="49">
        <f t="shared" ref="AC21:AD21" si="132">SUM(S21,U21,W21,Y21,AA21)</f>
        <v>5</v>
      </c>
      <c r="AD21" s="50">
        <f t="shared" si="132"/>
        <v>9</v>
      </c>
      <c r="AE21" s="53">
        <f t="shared" si="30"/>
        <v>1</v>
      </c>
      <c r="AF21" s="54">
        <f t="shared" si="31"/>
        <v>1</v>
      </c>
      <c r="AG21" s="53">
        <f t="shared" si="32"/>
        <v>2</v>
      </c>
      <c r="AH21" s="54">
        <f t="shared" si="33"/>
        <v>4</v>
      </c>
      <c r="AI21" s="53">
        <f t="shared" si="34"/>
        <v>2</v>
      </c>
      <c r="AJ21" s="54">
        <f t="shared" si="35"/>
        <v>4</v>
      </c>
      <c r="AK21" s="53">
        <f t="shared" si="36"/>
        <v>0</v>
      </c>
      <c r="AL21" s="54">
        <f t="shared" si="37"/>
        <v>0</v>
      </c>
      <c r="AM21" s="53">
        <f t="shared" si="38"/>
        <v>1</v>
      </c>
      <c r="AN21" s="54">
        <f t="shared" si="39"/>
        <v>3</v>
      </c>
      <c r="AO21" s="53">
        <f t="shared" si="40"/>
        <v>1</v>
      </c>
      <c r="AP21" s="54">
        <f t="shared" si="41"/>
        <v>1</v>
      </c>
      <c r="AQ21" s="49">
        <f t="shared" ref="AQ21:AR21" si="133">SUM(AG21,AI21,AK21,AM21,AO21)</f>
        <v>6</v>
      </c>
      <c r="AR21" s="50">
        <f t="shared" si="133"/>
        <v>12</v>
      </c>
      <c r="AS21" s="53">
        <f t="shared" si="43"/>
        <v>0</v>
      </c>
      <c r="AT21" s="54">
        <f t="shared" si="44"/>
        <v>0</v>
      </c>
      <c r="AU21" s="53">
        <f t="shared" si="45"/>
        <v>2</v>
      </c>
      <c r="AV21" s="54">
        <f t="shared" si="46"/>
        <v>4</v>
      </c>
      <c r="AW21" s="53">
        <f t="shared" si="47"/>
        <v>1</v>
      </c>
      <c r="AX21" s="54">
        <f t="shared" si="48"/>
        <v>3</v>
      </c>
      <c r="AY21" s="53">
        <f t="shared" si="49"/>
        <v>1</v>
      </c>
      <c r="AZ21" s="54">
        <f t="shared" si="50"/>
        <v>1</v>
      </c>
      <c r="BA21" s="53">
        <f t="shared" si="51"/>
        <v>1</v>
      </c>
      <c r="BB21" s="54">
        <f t="shared" si="52"/>
        <v>2</v>
      </c>
      <c r="BC21" s="49">
        <f t="shared" ref="BC21:BD21" si="134">SUM(AS21,AU21,AW21,AY21,BA21)</f>
        <v>5</v>
      </c>
      <c r="BD21" s="50">
        <f t="shared" si="134"/>
        <v>10</v>
      </c>
      <c r="BE21" s="68">
        <f t="shared" ref="BE21:BF21" si="135">SUM(E21,G21,I21,O21,Q21,AC21,AQ21,BC21)</f>
        <v>23</v>
      </c>
      <c r="BF21" s="69">
        <f t="shared" si="135"/>
        <v>45</v>
      </c>
      <c r="BG21" s="46" t="str">
        <f>BF21*'ОВгП_РАО'!$B$19</f>
        <v>#REF!</v>
      </c>
      <c r="BH21" s="46" t="str">
        <f>'ОВгП_РАО'!$B$19</f>
        <v>#REF!</v>
      </c>
    </row>
    <row r="22" ht="15.75" customHeight="1">
      <c r="A22" s="80">
        <f t="shared" si="55"/>
        <v>46261</v>
      </c>
      <c r="B22" s="129" t="s">
        <v>140</v>
      </c>
      <c r="C22" s="47" t="s">
        <v>122</v>
      </c>
      <c r="D22" s="47" t="s">
        <v>139</v>
      </c>
      <c r="E22" s="73">
        <f t="shared" si="6"/>
        <v>1</v>
      </c>
      <c r="F22" s="50">
        <f t="shared" si="7"/>
        <v>2</v>
      </c>
      <c r="G22" s="73">
        <f t="shared" si="8"/>
        <v>2</v>
      </c>
      <c r="H22" s="50">
        <f t="shared" si="9"/>
        <v>4</v>
      </c>
      <c r="I22" s="73">
        <f t="shared" si="10"/>
        <v>1</v>
      </c>
      <c r="J22" s="50">
        <f t="shared" si="11"/>
        <v>2</v>
      </c>
      <c r="K22" s="53">
        <f t="shared" si="12"/>
        <v>0</v>
      </c>
      <c r="L22" s="54">
        <f t="shared" si="13"/>
        <v>0</v>
      </c>
      <c r="M22" s="53">
        <f t="shared" si="14"/>
        <v>2</v>
      </c>
      <c r="N22" s="54">
        <f t="shared" si="15"/>
        <v>4</v>
      </c>
      <c r="O22" s="49">
        <f t="shared" ref="O22:P22" si="136">SUM(K22,M22)</f>
        <v>2</v>
      </c>
      <c r="P22" s="50">
        <f t="shared" si="136"/>
        <v>4</v>
      </c>
      <c r="Q22" s="73">
        <f t="shared" si="17"/>
        <v>2</v>
      </c>
      <c r="R22" s="50">
        <f t="shared" si="18"/>
        <v>4</v>
      </c>
      <c r="S22" s="53">
        <f t="shared" si="19"/>
        <v>1</v>
      </c>
      <c r="T22" s="54">
        <f t="shared" si="20"/>
        <v>2</v>
      </c>
      <c r="U22" s="53">
        <f t="shared" si="21"/>
        <v>1</v>
      </c>
      <c r="V22" s="54">
        <f t="shared" si="22"/>
        <v>1</v>
      </c>
      <c r="W22" s="53">
        <f t="shared" si="23"/>
        <v>1</v>
      </c>
      <c r="X22" s="54">
        <f t="shared" si="24"/>
        <v>2</v>
      </c>
      <c r="Y22" s="53">
        <f t="shared" si="25"/>
        <v>1</v>
      </c>
      <c r="Z22" s="54">
        <f t="shared" si="26"/>
        <v>3</v>
      </c>
      <c r="AA22" s="53">
        <f t="shared" si="27"/>
        <v>1</v>
      </c>
      <c r="AB22" s="54">
        <f t="shared" si="28"/>
        <v>2</v>
      </c>
      <c r="AC22" s="49">
        <f t="shared" ref="AC22:AD22" si="137">SUM(S22,U22,W22,Y22,AA22)</f>
        <v>5</v>
      </c>
      <c r="AD22" s="50">
        <f t="shared" si="137"/>
        <v>10</v>
      </c>
      <c r="AE22" s="53">
        <f t="shared" si="30"/>
        <v>2</v>
      </c>
      <c r="AF22" s="54">
        <f t="shared" si="31"/>
        <v>4</v>
      </c>
      <c r="AG22" s="53">
        <f t="shared" si="32"/>
        <v>1</v>
      </c>
      <c r="AH22" s="54">
        <f t="shared" si="33"/>
        <v>3</v>
      </c>
      <c r="AI22" s="53">
        <f t="shared" si="34"/>
        <v>0</v>
      </c>
      <c r="AJ22" s="54">
        <f t="shared" si="35"/>
        <v>0</v>
      </c>
      <c r="AK22" s="53">
        <f t="shared" si="36"/>
        <v>1</v>
      </c>
      <c r="AL22" s="54">
        <f t="shared" si="37"/>
        <v>3</v>
      </c>
      <c r="AM22" s="53">
        <f t="shared" si="38"/>
        <v>2</v>
      </c>
      <c r="AN22" s="54">
        <f t="shared" si="39"/>
        <v>4</v>
      </c>
      <c r="AO22" s="53">
        <f t="shared" si="40"/>
        <v>1</v>
      </c>
      <c r="AP22" s="54">
        <f t="shared" si="41"/>
        <v>3</v>
      </c>
      <c r="AQ22" s="49">
        <f t="shared" ref="AQ22:AR22" si="138">SUM(AG22,AI22,AK22,AM22,AO22)</f>
        <v>5</v>
      </c>
      <c r="AR22" s="50">
        <f t="shared" si="138"/>
        <v>13</v>
      </c>
      <c r="AS22" s="53">
        <f t="shared" si="43"/>
        <v>2</v>
      </c>
      <c r="AT22" s="54">
        <f t="shared" si="44"/>
        <v>4</v>
      </c>
      <c r="AU22" s="53">
        <f t="shared" si="45"/>
        <v>1</v>
      </c>
      <c r="AV22" s="54">
        <f t="shared" si="46"/>
        <v>2</v>
      </c>
      <c r="AW22" s="53">
        <f t="shared" si="47"/>
        <v>1</v>
      </c>
      <c r="AX22" s="54">
        <f t="shared" si="48"/>
        <v>3</v>
      </c>
      <c r="AY22" s="53">
        <f t="shared" si="49"/>
        <v>1</v>
      </c>
      <c r="AZ22" s="54">
        <f t="shared" si="50"/>
        <v>2</v>
      </c>
      <c r="BA22" s="53">
        <f t="shared" si="51"/>
        <v>2</v>
      </c>
      <c r="BB22" s="54">
        <f t="shared" si="52"/>
        <v>4</v>
      </c>
      <c r="BC22" s="49">
        <f t="shared" ref="BC22:BD22" si="139">SUM(AS22,AU22,AW22,AY22,BA22)</f>
        <v>7</v>
      </c>
      <c r="BD22" s="50">
        <f t="shared" si="139"/>
        <v>15</v>
      </c>
      <c r="BE22" s="68">
        <f t="shared" ref="BE22:BF22" si="140">SUM(E22,G22,I22,O22,Q22,AC22,AQ22,BC22)</f>
        <v>25</v>
      </c>
      <c r="BF22" s="69">
        <f t="shared" si="140"/>
        <v>54</v>
      </c>
      <c r="BG22" s="46" t="str">
        <f>BF22*'ОВгП_РАО'!$B$20</f>
        <v>#REF!</v>
      </c>
      <c r="BH22" s="46" t="str">
        <f>'ОВгП_РАО'!$B$20</f>
        <v>#REF!</v>
      </c>
    </row>
    <row r="23" ht="15.75" customHeight="1">
      <c r="A23" s="80">
        <f t="shared" si="55"/>
        <v>46261</v>
      </c>
      <c r="B23" s="129" t="s">
        <v>141</v>
      </c>
      <c r="C23" s="47" t="s">
        <v>122</v>
      </c>
      <c r="D23" s="47" t="s">
        <v>139</v>
      </c>
      <c r="E23" s="73">
        <f t="shared" si="6"/>
        <v>1</v>
      </c>
      <c r="F23" s="50">
        <f t="shared" si="7"/>
        <v>2</v>
      </c>
      <c r="G23" s="73">
        <f t="shared" si="8"/>
        <v>1</v>
      </c>
      <c r="H23" s="50">
        <f t="shared" si="9"/>
        <v>1</v>
      </c>
      <c r="I23" s="73">
        <f t="shared" si="10"/>
        <v>1</v>
      </c>
      <c r="J23" s="50">
        <f t="shared" si="11"/>
        <v>1</v>
      </c>
      <c r="K23" s="53">
        <f t="shared" si="12"/>
        <v>1</v>
      </c>
      <c r="L23" s="54">
        <f t="shared" si="13"/>
        <v>3</v>
      </c>
      <c r="M23" s="53">
        <f t="shared" si="14"/>
        <v>2</v>
      </c>
      <c r="N23" s="54">
        <f t="shared" si="15"/>
        <v>4</v>
      </c>
      <c r="O23" s="49">
        <f t="shared" ref="O23:P23" si="141">SUM(K23,M23)</f>
        <v>3</v>
      </c>
      <c r="P23" s="50">
        <f t="shared" si="141"/>
        <v>7</v>
      </c>
      <c r="Q23" s="73">
        <f t="shared" si="17"/>
        <v>1</v>
      </c>
      <c r="R23" s="50">
        <f t="shared" si="18"/>
        <v>2</v>
      </c>
      <c r="S23" s="53">
        <f t="shared" si="19"/>
        <v>0</v>
      </c>
      <c r="T23" s="54">
        <f t="shared" si="20"/>
        <v>0</v>
      </c>
      <c r="U23" s="53">
        <f t="shared" si="21"/>
        <v>0</v>
      </c>
      <c r="V23" s="54">
        <f t="shared" si="22"/>
        <v>0</v>
      </c>
      <c r="W23" s="53">
        <f t="shared" si="23"/>
        <v>2</v>
      </c>
      <c r="X23" s="54">
        <f t="shared" si="24"/>
        <v>4</v>
      </c>
      <c r="Y23" s="53">
        <f t="shared" si="25"/>
        <v>2</v>
      </c>
      <c r="Z23" s="54">
        <f t="shared" si="26"/>
        <v>4</v>
      </c>
      <c r="AA23" s="53">
        <f t="shared" si="27"/>
        <v>0</v>
      </c>
      <c r="AB23" s="54">
        <f t="shared" si="28"/>
        <v>0</v>
      </c>
      <c r="AC23" s="49">
        <f t="shared" ref="AC23:AD23" si="142">SUM(S23,U23,W23,Y23,AA23)</f>
        <v>4</v>
      </c>
      <c r="AD23" s="50">
        <f t="shared" si="142"/>
        <v>8</v>
      </c>
      <c r="AE23" s="53">
        <f t="shared" si="30"/>
        <v>2</v>
      </c>
      <c r="AF23" s="54">
        <f t="shared" si="31"/>
        <v>4</v>
      </c>
      <c r="AG23" s="53">
        <f t="shared" si="32"/>
        <v>0</v>
      </c>
      <c r="AH23" s="54">
        <f t="shared" si="33"/>
        <v>0</v>
      </c>
      <c r="AI23" s="53">
        <f t="shared" si="34"/>
        <v>1</v>
      </c>
      <c r="AJ23" s="54">
        <f t="shared" si="35"/>
        <v>2</v>
      </c>
      <c r="AK23" s="53">
        <f t="shared" si="36"/>
        <v>1</v>
      </c>
      <c r="AL23" s="54">
        <f t="shared" si="37"/>
        <v>3</v>
      </c>
      <c r="AM23" s="53">
        <f t="shared" si="38"/>
        <v>1</v>
      </c>
      <c r="AN23" s="54">
        <f t="shared" si="39"/>
        <v>2</v>
      </c>
      <c r="AO23" s="53">
        <f t="shared" si="40"/>
        <v>1</v>
      </c>
      <c r="AP23" s="54">
        <f t="shared" si="41"/>
        <v>3</v>
      </c>
      <c r="AQ23" s="49">
        <f t="shared" ref="AQ23:AR23" si="143">SUM(AG23,AI23,AK23,AM23,AO23)</f>
        <v>4</v>
      </c>
      <c r="AR23" s="50">
        <f t="shared" si="143"/>
        <v>10</v>
      </c>
      <c r="AS23" s="53">
        <f t="shared" si="43"/>
        <v>1</v>
      </c>
      <c r="AT23" s="54">
        <f t="shared" si="44"/>
        <v>2</v>
      </c>
      <c r="AU23" s="53">
        <f t="shared" si="45"/>
        <v>1</v>
      </c>
      <c r="AV23" s="54">
        <f t="shared" si="46"/>
        <v>1</v>
      </c>
      <c r="AW23" s="53">
        <f t="shared" si="47"/>
        <v>1</v>
      </c>
      <c r="AX23" s="54">
        <f t="shared" si="48"/>
        <v>2</v>
      </c>
      <c r="AY23" s="53">
        <f t="shared" si="49"/>
        <v>2</v>
      </c>
      <c r="AZ23" s="54">
        <f t="shared" si="50"/>
        <v>4</v>
      </c>
      <c r="BA23" s="53">
        <f t="shared" si="51"/>
        <v>0</v>
      </c>
      <c r="BB23" s="54">
        <f t="shared" si="52"/>
        <v>0</v>
      </c>
      <c r="BC23" s="49">
        <f t="shared" ref="BC23:BD23" si="144">SUM(AS23,AU23,AW23,AY23,BA23)</f>
        <v>5</v>
      </c>
      <c r="BD23" s="50">
        <f t="shared" si="144"/>
        <v>9</v>
      </c>
      <c r="BE23" s="68">
        <f t="shared" ref="BE23:BF23" si="145">SUM(E23,G23,I23,O23,Q23,AC23,AQ23,BC23)</f>
        <v>20</v>
      </c>
      <c r="BF23" s="69">
        <f t="shared" si="145"/>
        <v>40</v>
      </c>
      <c r="BG23" s="46" t="str">
        <f>BF23*'ОВгП_РАО'!$B$21</f>
        <v>#REF!</v>
      </c>
      <c r="BH23" s="46" t="str">
        <f>'ОВгП_РАО'!$B$21</f>
        <v>#REF!</v>
      </c>
    </row>
    <row r="24" ht="15.75" customHeight="1">
      <c r="A24" s="80">
        <f t="shared" si="55"/>
        <v>46261</v>
      </c>
      <c r="B24" s="47" t="s">
        <v>142</v>
      </c>
      <c r="C24" s="46" t="s">
        <v>96</v>
      </c>
      <c r="D24" s="47" t="s">
        <v>98</v>
      </c>
      <c r="E24" s="73">
        <f t="shared" si="6"/>
        <v>0</v>
      </c>
      <c r="F24" s="50">
        <f t="shared" si="7"/>
        <v>0</v>
      </c>
      <c r="G24" s="73">
        <f t="shared" si="8"/>
        <v>1</v>
      </c>
      <c r="H24" s="50">
        <f t="shared" si="9"/>
        <v>2</v>
      </c>
      <c r="I24" s="73">
        <f t="shared" si="10"/>
        <v>0</v>
      </c>
      <c r="J24" s="50">
        <f t="shared" si="11"/>
        <v>0</v>
      </c>
      <c r="K24" s="53">
        <f t="shared" si="12"/>
        <v>1</v>
      </c>
      <c r="L24" s="54">
        <f t="shared" si="13"/>
        <v>2</v>
      </c>
      <c r="M24" s="53">
        <f t="shared" si="14"/>
        <v>1</v>
      </c>
      <c r="N24" s="54">
        <f t="shared" si="15"/>
        <v>1</v>
      </c>
      <c r="O24" s="49">
        <f t="shared" ref="O24:P24" si="146">SUM(K24,M24)</f>
        <v>2</v>
      </c>
      <c r="P24" s="50">
        <f t="shared" si="146"/>
        <v>3</v>
      </c>
      <c r="Q24" s="73">
        <f t="shared" si="17"/>
        <v>2</v>
      </c>
      <c r="R24" s="50">
        <f t="shared" si="18"/>
        <v>4</v>
      </c>
      <c r="S24" s="53">
        <f t="shared" si="19"/>
        <v>0</v>
      </c>
      <c r="T24" s="54">
        <f t="shared" si="20"/>
        <v>0</v>
      </c>
      <c r="U24" s="53">
        <f t="shared" si="21"/>
        <v>1</v>
      </c>
      <c r="V24" s="54">
        <f t="shared" si="22"/>
        <v>2</v>
      </c>
      <c r="W24" s="53">
        <f t="shared" si="23"/>
        <v>1</v>
      </c>
      <c r="X24" s="54">
        <f t="shared" si="24"/>
        <v>1</v>
      </c>
      <c r="Y24" s="53">
        <f t="shared" si="25"/>
        <v>1</v>
      </c>
      <c r="Z24" s="54">
        <f t="shared" si="26"/>
        <v>1</v>
      </c>
      <c r="AA24" s="53">
        <f t="shared" si="27"/>
        <v>0</v>
      </c>
      <c r="AB24" s="54">
        <f t="shared" si="28"/>
        <v>0</v>
      </c>
      <c r="AC24" s="49">
        <f t="shared" ref="AC24:AD24" si="147">SUM(S24,U24,W24,Y24,AA24)</f>
        <v>3</v>
      </c>
      <c r="AD24" s="50">
        <f t="shared" si="147"/>
        <v>4</v>
      </c>
      <c r="AE24" s="53">
        <f t="shared" si="30"/>
        <v>1</v>
      </c>
      <c r="AF24" s="54">
        <f t="shared" si="31"/>
        <v>3</v>
      </c>
      <c r="AG24" s="53">
        <f t="shared" si="32"/>
        <v>0</v>
      </c>
      <c r="AH24" s="54">
        <f t="shared" si="33"/>
        <v>0</v>
      </c>
      <c r="AI24" s="53">
        <f t="shared" si="34"/>
        <v>1</v>
      </c>
      <c r="AJ24" s="54">
        <f t="shared" si="35"/>
        <v>1</v>
      </c>
      <c r="AK24" s="53">
        <f t="shared" si="36"/>
        <v>2</v>
      </c>
      <c r="AL24" s="54">
        <f t="shared" si="37"/>
        <v>4</v>
      </c>
      <c r="AM24" s="53">
        <f t="shared" si="38"/>
        <v>1</v>
      </c>
      <c r="AN24" s="54">
        <f t="shared" si="39"/>
        <v>2</v>
      </c>
      <c r="AO24" s="53">
        <f t="shared" si="40"/>
        <v>0</v>
      </c>
      <c r="AP24" s="54">
        <f t="shared" si="41"/>
        <v>0</v>
      </c>
      <c r="AQ24" s="49">
        <f t="shared" ref="AQ24:AR24" si="148">SUM(AG24,AI24,AK24,AM24,AO24)</f>
        <v>4</v>
      </c>
      <c r="AR24" s="50">
        <f t="shared" si="148"/>
        <v>7</v>
      </c>
      <c r="AS24" s="53">
        <f t="shared" si="43"/>
        <v>0</v>
      </c>
      <c r="AT24" s="54">
        <f t="shared" si="44"/>
        <v>0</v>
      </c>
      <c r="AU24" s="53">
        <f t="shared" si="45"/>
        <v>0</v>
      </c>
      <c r="AV24" s="54">
        <f t="shared" si="46"/>
        <v>0</v>
      </c>
      <c r="AW24" s="53">
        <f t="shared" si="47"/>
        <v>1</v>
      </c>
      <c r="AX24" s="54">
        <f t="shared" si="48"/>
        <v>3</v>
      </c>
      <c r="AY24" s="53">
        <f t="shared" si="49"/>
        <v>2</v>
      </c>
      <c r="AZ24" s="54">
        <f t="shared" si="50"/>
        <v>4</v>
      </c>
      <c r="BA24" s="53">
        <f t="shared" si="51"/>
        <v>2</v>
      </c>
      <c r="BB24" s="54">
        <f t="shared" si="52"/>
        <v>4</v>
      </c>
      <c r="BC24" s="49">
        <f t="shared" ref="BC24:BD24" si="149">SUM(AS24,AU24,AW24,AY24,BA24)</f>
        <v>5</v>
      </c>
      <c r="BD24" s="50">
        <f t="shared" si="149"/>
        <v>11</v>
      </c>
      <c r="BE24" s="68">
        <f t="shared" ref="BE24:BF24" si="150">SUM(E24,G24,I24,O24,Q24,AC24,AQ24,BC24)</f>
        <v>17</v>
      </c>
      <c r="BF24" s="69">
        <f t="shared" si="150"/>
        <v>31</v>
      </c>
      <c r="BG24" s="46" t="str">
        <f>BF24*'ОВгП_РАО'!$B$22</f>
        <v>#REF!</v>
      </c>
      <c r="BH24" s="46" t="str">
        <f>'ОВгП_РАО'!$B$22</f>
        <v>#REF!</v>
      </c>
    </row>
    <row r="25" ht="15.75" customHeight="1">
      <c r="A25" s="80">
        <f t="shared" si="55"/>
        <v>46261</v>
      </c>
      <c r="B25" s="47" t="s">
        <v>143</v>
      </c>
      <c r="C25" s="46" t="s">
        <v>96</v>
      </c>
      <c r="D25" s="47" t="s">
        <v>98</v>
      </c>
      <c r="E25" s="73">
        <f t="shared" si="6"/>
        <v>0</v>
      </c>
      <c r="F25" s="50">
        <f t="shared" si="7"/>
        <v>0</v>
      </c>
      <c r="G25" s="73">
        <f t="shared" si="8"/>
        <v>1</v>
      </c>
      <c r="H25" s="50">
        <f t="shared" si="9"/>
        <v>1</v>
      </c>
      <c r="I25" s="73">
        <f t="shared" si="10"/>
        <v>2</v>
      </c>
      <c r="J25" s="50">
        <f t="shared" si="11"/>
        <v>4</v>
      </c>
      <c r="K25" s="53">
        <f t="shared" si="12"/>
        <v>0</v>
      </c>
      <c r="L25" s="54">
        <f t="shared" si="13"/>
        <v>0</v>
      </c>
      <c r="M25" s="53">
        <f t="shared" si="14"/>
        <v>2</v>
      </c>
      <c r="N25" s="54">
        <f t="shared" si="15"/>
        <v>4</v>
      </c>
      <c r="O25" s="49">
        <f t="shared" ref="O25:P25" si="151">SUM(K25,M25)</f>
        <v>2</v>
      </c>
      <c r="P25" s="50">
        <f t="shared" si="151"/>
        <v>4</v>
      </c>
      <c r="Q25" s="73">
        <f t="shared" si="17"/>
        <v>1</v>
      </c>
      <c r="R25" s="50">
        <f t="shared" si="18"/>
        <v>2</v>
      </c>
      <c r="S25" s="53">
        <f t="shared" si="19"/>
        <v>1</v>
      </c>
      <c r="T25" s="54">
        <f t="shared" si="20"/>
        <v>3</v>
      </c>
      <c r="U25" s="53">
        <f t="shared" si="21"/>
        <v>0</v>
      </c>
      <c r="V25" s="54">
        <f t="shared" si="22"/>
        <v>0</v>
      </c>
      <c r="W25" s="53">
        <f t="shared" si="23"/>
        <v>1</v>
      </c>
      <c r="X25" s="54">
        <f t="shared" si="24"/>
        <v>1</v>
      </c>
      <c r="Y25" s="53">
        <f t="shared" si="25"/>
        <v>1</v>
      </c>
      <c r="Z25" s="54">
        <f t="shared" si="26"/>
        <v>3</v>
      </c>
      <c r="AA25" s="53">
        <f t="shared" si="27"/>
        <v>2</v>
      </c>
      <c r="AB25" s="54">
        <f t="shared" si="28"/>
        <v>4</v>
      </c>
      <c r="AC25" s="49">
        <f t="shared" ref="AC25:AD25" si="152">SUM(S25,U25,W25,Y25,AA25)</f>
        <v>5</v>
      </c>
      <c r="AD25" s="50">
        <f t="shared" si="152"/>
        <v>11</v>
      </c>
      <c r="AE25" s="53">
        <f t="shared" si="30"/>
        <v>2</v>
      </c>
      <c r="AF25" s="54">
        <f t="shared" si="31"/>
        <v>4</v>
      </c>
      <c r="AG25" s="53">
        <f t="shared" si="32"/>
        <v>1</v>
      </c>
      <c r="AH25" s="54">
        <f t="shared" si="33"/>
        <v>2</v>
      </c>
      <c r="AI25" s="53">
        <f t="shared" si="34"/>
        <v>1</v>
      </c>
      <c r="AJ25" s="54">
        <f t="shared" si="35"/>
        <v>3</v>
      </c>
      <c r="AK25" s="53">
        <f t="shared" si="36"/>
        <v>2</v>
      </c>
      <c r="AL25" s="54">
        <f t="shared" si="37"/>
        <v>4</v>
      </c>
      <c r="AM25" s="53">
        <f t="shared" si="38"/>
        <v>1</v>
      </c>
      <c r="AN25" s="54">
        <f t="shared" si="39"/>
        <v>1</v>
      </c>
      <c r="AO25" s="53">
        <f t="shared" si="40"/>
        <v>2</v>
      </c>
      <c r="AP25" s="54">
        <f t="shared" si="41"/>
        <v>4</v>
      </c>
      <c r="AQ25" s="49">
        <f t="shared" ref="AQ25:AR25" si="153">SUM(AG25,AI25,AK25,AM25,AO25)</f>
        <v>7</v>
      </c>
      <c r="AR25" s="50">
        <f t="shared" si="153"/>
        <v>14</v>
      </c>
      <c r="AS25" s="53">
        <f t="shared" si="43"/>
        <v>1</v>
      </c>
      <c r="AT25" s="54">
        <f t="shared" si="44"/>
        <v>1</v>
      </c>
      <c r="AU25" s="53">
        <f t="shared" si="45"/>
        <v>1</v>
      </c>
      <c r="AV25" s="54">
        <f t="shared" si="46"/>
        <v>2</v>
      </c>
      <c r="AW25" s="53">
        <f t="shared" si="47"/>
        <v>1</v>
      </c>
      <c r="AX25" s="54">
        <f t="shared" si="48"/>
        <v>3</v>
      </c>
      <c r="AY25" s="53">
        <f t="shared" si="49"/>
        <v>2</v>
      </c>
      <c r="AZ25" s="54">
        <f t="shared" si="50"/>
        <v>4</v>
      </c>
      <c r="BA25" s="53">
        <f t="shared" si="51"/>
        <v>2</v>
      </c>
      <c r="BB25" s="54">
        <f t="shared" si="52"/>
        <v>4</v>
      </c>
      <c r="BC25" s="49">
        <f t="shared" ref="BC25:BD25" si="154">SUM(AS25,AU25,AW25,AY25,BA25)</f>
        <v>7</v>
      </c>
      <c r="BD25" s="50">
        <f t="shared" si="154"/>
        <v>14</v>
      </c>
      <c r="BE25" s="68">
        <f t="shared" ref="BE25:BF25" si="155">SUM(E25,G25,I25,O25,Q25,AC25,AQ25,BC25)</f>
        <v>25</v>
      </c>
      <c r="BF25" s="69">
        <f t="shared" si="155"/>
        <v>50</v>
      </c>
      <c r="BG25" s="46" t="str">
        <f>BF25*'ОВгП_РАО'!$B$23</f>
        <v>#REF!</v>
      </c>
      <c r="BH25" s="46" t="str">
        <f>'ОВгП_РАО'!$B$23</f>
        <v>#REF!</v>
      </c>
    </row>
    <row r="26" ht="15.75" customHeight="1">
      <c r="A26" s="80">
        <f t="shared" si="55"/>
        <v>46261</v>
      </c>
      <c r="B26" s="47" t="s">
        <v>144</v>
      </c>
      <c r="C26" s="46" t="s">
        <v>96</v>
      </c>
      <c r="D26" s="47" t="s">
        <v>145</v>
      </c>
      <c r="E26" s="73">
        <f t="shared" si="6"/>
        <v>0</v>
      </c>
      <c r="F26" s="50">
        <f t="shared" si="7"/>
        <v>0</v>
      </c>
      <c r="G26" s="73">
        <f t="shared" si="8"/>
        <v>1</v>
      </c>
      <c r="H26" s="50">
        <f t="shared" si="9"/>
        <v>3</v>
      </c>
      <c r="I26" s="73">
        <f t="shared" si="10"/>
        <v>1</v>
      </c>
      <c r="J26" s="50">
        <f t="shared" si="11"/>
        <v>1</v>
      </c>
      <c r="K26" s="53">
        <f t="shared" si="12"/>
        <v>0</v>
      </c>
      <c r="L26" s="54">
        <f t="shared" si="13"/>
        <v>0</v>
      </c>
      <c r="M26" s="53">
        <f t="shared" si="14"/>
        <v>0</v>
      </c>
      <c r="N26" s="54">
        <f t="shared" si="15"/>
        <v>0</v>
      </c>
      <c r="O26" s="49">
        <f t="shared" ref="O26:P26" si="156">SUM(K26,M26)</f>
        <v>0</v>
      </c>
      <c r="P26" s="50">
        <f t="shared" si="156"/>
        <v>0</v>
      </c>
      <c r="Q26" s="73">
        <f t="shared" si="17"/>
        <v>2</v>
      </c>
      <c r="R26" s="50">
        <f t="shared" si="18"/>
        <v>4</v>
      </c>
      <c r="S26" s="53">
        <f t="shared" si="19"/>
        <v>1</v>
      </c>
      <c r="T26" s="54">
        <f t="shared" si="20"/>
        <v>2</v>
      </c>
      <c r="U26" s="53">
        <f t="shared" si="21"/>
        <v>0</v>
      </c>
      <c r="V26" s="54">
        <f t="shared" si="22"/>
        <v>0</v>
      </c>
      <c r="W26" s="53">
        <f t="shared" si="23"/>
        <v>0</v>
      </c>
      <c r="X26" s="54">
        <f t="shared" si="24"/>
        <v>0</v>
      </c>
      <c r="Y26" s="53">
        <f t="shared" si="25"/>
        <v>1</v>
      </c>
      <c r="Z26" s="54">
        <f t="shared" si="26"/>
        <v>1</v>
      </c>
      <c r="AA26" s="53">
        <f t="shared" si="27"/>
        <v>1</v>
      </c>
      <c r="AB26" s="54">
        <f t="shared" si="28"/>
        <v>3</v>
      </c>
      <c r="AC26" s="49">
        <f t="shared" ref="AC26:AD26" si="157">SUM(S26,U26,W26,Y26,AA26)</f>
        <v>3</v>
      </c>
      <c r="AD26" s="50">
        <f t="shared" si="157"/>
        <v>6</v>
      </c>
      <c r="AE26" s="53">
        <f t="shared" si="30"/>
        <v>1</v>
      </c>
      <c r="AF26" s="54">
        <f t="shared" si="31"/>
        <v>1</v>
      </c>
      <c r="AG26" s="53">
        <f t="shared" si="32"/>
        <v>2</v>
      </c>
      <c r="AH26" s="54">
        <f t="shared" si="33"/>
        <v>4</v>
      </c>
      <c r="AI26" s="53">
        <f t="shared" si="34"/>
        <v>1</v>
      </c>
      <c r="AJ26" s="54">
        <f t="shared" si="35"/>
        <v>2</v>
      </c>
      <c r="AK26" s="53">
        <f t="shared" si="36"/>
        <v>2</v>
      </c>
      <c r="AL26" s="54">
        <f t="shared" si="37"/>
        <v>4</v>
      </c>
      <c r="AM26" s="53">
        <f t="shared" si="38"/>
        <v>1</v>
      </c>
      <c r="AN26" s="54">
        <f t="shared" si="39"/>
        <v>3</v>
      </c>
      <c r="AO26" s="53">
        <f t="shared" si="40"/>
        <v>2</v>
      </c>
      <c r="AP26" s="54">
        <f t="shared" si="41"/>
        <v>4</v>
      </c>
      <c r="AQ26" s="49">
        <f t="shared" ref="AQ26:AR26" si="158">SUM(AG26,AI26,AK26,AM26,AO26)</f>
        <v>8</v>
      </c>
      <c r="AR26" s="50">
        <f t="shared" si="158"/>
        <v>17</v>
      </c>
      <c r="AS26" s="53">
        <f t="shared" si="43"/>
        <v>1</v>
      </c>
      <c r="AT26" s="54">
        <f t="shared" si="44"/>
        <v>2</v>
      </c>
      <c r="AU26" s="53">
        <f t="shared" si="45"/>
        <v>1</v>
      </c>
      <c r="AV26" s="54">
        <f t="shared" si="46"/>
        <v>3</v>
      </c>
      <c r="AW26" s="53">
        <f t="shared" si="47"/>
        <v>2</v>
      </c>
      <c r="AX26" s="54">
        <f t="shared" si="48"/>
        <v>4</v>
      </c>
      <c r="AY26" s="53">
        <f t="shared" si="49"/>
        <v>1</v>
      </c>
      <c r="AZ26" s="54">
        <f t="shared" si="50"/>
        <v>2</v>
      </c>
      <c r="BA26" s="53">
        <f t="shared" si="51"/>
        <v>2</v>
      </c>
      <c r="BB26" s="54">
        <f t="shared" si="52"/>
        <v>4</v>
      </c>
      <c r="BC26" s="49">
        <f t="shared" ref="BC26:BD26" si="159">SUM(AS26,AU26,AW26,AY26,BA26)</f>
        <v>7</v>
      </c>
      <c r="BD26" s="50">
        <f t="shared" si="159"/>
        <v>15</v>
      </c>
      <c r="BE26" s="68">
        <f t="shared" ref="BE26:BF26" si="160">SUM(E26,G26,I26,O26,Q26,AC26,AQ26,BC26)</f>
        <v>22</v>
      </c>
      <c r="BF26" s="69">
        <f t="shared" si="160"/>
        <v>46</v>
      </c>
      <c r="BG26" s="46" t="str">
        <f>BF26*'ОВгП_РАО'!$B$24</f>
        <v>#REF!</v>
      </c>
      <c r="BH26" s="46" t="str">
        <f>'ОВгП_РАО'!$B$24</f>
        <v>#REF!</v>
      </c>
    </row>
    <row r="27" ht="15.75" customHeight="1">
      <c r="A27" s="80">
        <f t="shared" si="55"/>
        <v>46261</v>
      </c>
      <c r="B27" s="47" t="s">
        <v>146</v>
      </c>
      <c r="C27" s="46" t="s">
        <v>96</v>
      </c>
      <c r="D27" s="47" t="s">
        <v>145</v>
      </c>
      <c r="E27" s="73">
        <f t="shared" si="6"/>
        <v>1</v>
      </c>
      <c r="F27" s="50">
        <f t="shared" si="7"/>
        <v>3</v>
      </c>
      <c r="G27" s="73">
        <f t="shared" si="8"/>
        <v>1</v>
      </c>
      <c r="H27" s="50">
        <f t="shared" si="9"/>
        <v>3</v>
      </c>
      <c r="I27" s="73">
        <f t="shared" si="10"/>
        <v>1</v>
      </c>
      <c r="J27" s="50">
        <f t="shared" si="11"/>
        <v>3</v>
      </c>
      <c r="K27" s="53">
        <f t="shared" si="12"/>
        <v>1</v>
      </c>
      <c r="L27" s="54">
        <f t="shared" si="13"/>
        <v>3</v>
      </c>
      <c r="M27" s="53">
        <f t="shared" si="14"/>
        <v>1</v>
      </c>
      <c r="N27" s="54">
        <f t="shared" si="15"/>
        <v>3</v>
      </c>
      <c r="O27" s="49">
        <f t="shared" ref="O27:P27" si="161">SUM(K27,M27)</f>
        <v>2</v>
      </c>
      <c r="P27" s="50">
        <f t="shared" si="161"/>
        <v>6</v>
      </c>
      <c r="Q27" s="73">
        <f t="shared" si="17"/>
        <v>1</v>
      </c>
      <c r="R27" s="50">
        <f t="shared" si="18"/>
        <v>3</v>
      </c>
      <c r="S27" s="53">
        <f t="shared" si="19"/>
        <v>1</v>
      </c>
      <c r="T27" s="54">
        <f t="shared" si="20"/>
        <v>3</v>
      </c>
      <c r="U27" s="53">
        <f t="shared" si="21"/>
        <v>0</v>
      </c>
      <c r="V27" s="54">
        <f t="shared" si="22"/>
        <v>0</v>
      </c>
      <c r="W27" s="53">
        <f t="shared" si="23"/>
        <v>0</v>
      </c>
      <c r="X27" s="54">
        <f t="shared" si="24"/>
        <v>0</v>
      </c>
      <c r="Y27" s="53">
        <f t="shared" si="25"/>
        <v>0</v>
      </c>
      <c r="Z27" s="54">
        <f t="shared" si="26"/>
        <v>0</v>
      </c>
      <c r="AA27" s="53">
        <f t="shared" si="27"/>
        <v>0</v>
      </c>
      <c r="AB27" s="54">
        <f t="shared" si="28"/>
        <v>0</v>
      </c>
      <c r="AC27" s="49">
        <f t="shared" ref="AC27:AD27" si="162">SUM(S27,U27,W27,Y27,AA27)</f>
        <v>1</v>
      </c>
      <c r="AD27" s="50">
        <f t="shared" si="162"/>
        <v>3</v>
      </c>
      <c r="AE27" s="53">
        <f t="shared" si="30"/>
        <v>1</v>
      </c>
      <c r="AF27" s="54">
        <f t="shared" si="31"/>
        <v>1</v>
      </c>
      <c r="AG27" s="53">
        <f t="shared" si="32"/>
        <v>0</v>
      </c>
      <c r="AH27" s="54">
        <f t="shared" si="33"/>
        <v>0</v>
      </c>
      <c r="AI27" s="53">
        <f t="shared" si="34"/>
        <v>1</v>
      </c>
      <c r="AJ27" s="54">
        <f t="shared" si="35"/>
        <v>1</v>
      </c>
      <c r="AK27" s="53">
        <f t="shared" si="36"/>
        <v>1</v>
      </c>
      <c r="AL27" s="54">
        <f t="shared" si="37"/>
        <v>3</v>
      </c>
      <c r="AM27" s="53">
        <f t="shared" si="38"/>
        <v>1</v>
      </c>
      <c r="AN27" s="54">
        <f t="shared" si="39"/>
        <v>1</v>
      </c>
      <c r="AO27" s="53">
        <f t="shared" si="40"/>
        <v>0</v>
      </c>
      <c r="AP27" s="54">
        <f t="shared" si="41"/>
        <v>0</v>
      </c>
      <c r="AQ27" s="49">
        <f t="shared" ref="AQ27:AR27" si="163">SUM(AG27,AI27,AK27,AM27,AO27)</f>
        <v>3</v>
      </c>
      <c r="AR27" s="50">
        <f t="shared" si="163"/>
        <v>5</v>
      </c>
      <c r="AS27" s="53">
        <f t="shared" si="43"/>
        <v>1</v>
      </c>
      <c r="AT27" s="54">
        <f t="shared" si="44"/>
        <v>1</v>
      </c>
      <c r="AU27" s="53">
        <f t="shared" si="45"/>
        <v>1</v>
      </c>
      <c r="AV27" s="54">
        <f t="shared" si="46"/>
        <v>3</v>
      </c>
      <c r="AW27" s="53">
        <f t="shared" si="47"/>
        <v>1</v>
      </c>
      <c r="AX27" s="54">
        <f t="shared" si="48"/>
        <v>1</v>
      </c>
      <c r="AY27" s="53">
        <f t="shared" si="49"/>
        <v>1</v>
      </c>
      <c r="AZ27" s="54">
        <f t="shared" si="50"/>
        <v>1</v>
      </c>
      <c r="BA27" s="53">
        <f t="shared" si="51"/>
        <v>2</v>
      </c>
      <c r="BB27" s="54">
        <f t="shared" si="52"/>
        <v>4</v>
      </c>
      <c r="BC27" s="49">
        <f t="shared" ref="BC27:BD27" si="164">SUM(AS27,AU27,AW27,AY27,BA27)</f>
        <v>6</v>
      </c>
      <c r="BD27" s="50">
        <f t="shared" si="164"/>
        <v>10</v>
      </c>
      <c r="BE27" s="68">
        <f t="shared" ref="BE27:BF27" si="165">SUM(E27,G27,I27,O27,Q27,AC27,AQ27,BC27)</f>
        <v>16</v>
      </c>
      <c r="BF27" s="69">
        <f t="shared" si="165"/>
        <v>36</v>
      </c>
      <c r="BG27" s="46" t="str">
        <f>BF27*'ОВгП_РАО'!$B$25</f>
        <v>#REF!</v>
      </c>
      <c r="BH27" s="46" t="str">
        <f>'ОВгП_РАО'!$B$25</f>
        <v>#REF!</v>
      </c>
    </row>
    <row r="28" ht="15.75" customHeight="1">
      <c r="A28" s="80">
        <f t="shared" si="55"/>
        <v>46261</v>
      </c>
      <c r="B28" s="47" t="s">
        <v>147</v>
      </c>
      <c r="C28" s="46" t="s">
        <v>96</v>
      </c>
      <c r="D28" s="47" t="s">
        <v>148</v>
      </c>
      <c r="E28" s="73">
        <f t="shared" si="6"/>
        <v>2</v>
      </c>
      <c r="F28" s="50">
        <f t="shared" si="7"/>
        <v>4</v>
      </c>
      <c r="G28" s="73">
        <f t="shared" si="8"/>
        <v>2</v>
      </c>
      <c r="H28" s="50">
        <f t="shared" si="9"/>
        <v>4</v>
      </c>
      <c r="I28" s="73">
        <f t="shared" si="10"/>
        <v>1</v>
      </c>
      <c r="J28" s="50">
        <f t="shared" si="11"/>
        <v>2</v>
      </c>
      <c r="K28" s="53">
        <f t="shared" si="12"/>
        <v>1</v>
      </c>
      <c r="L28" s="54">
        <f t="shared" si="13"/>
        <v>1</v>
      </c>
      <c r="M28" s="53">
        <f t="shared" si="14"/>
        <v>1</v>
      </c>
      <c r="N28" s="54">
        <f t="shared" si="15"/>
        <v>3</v>
      </c>
      <c r="O28" s="49">
        <f t="shared" ref="O28:P28" si="166">SUM(K28,M28)</f>
        <v>2</v>
      </c>
      <c r="P28" s="50">
        <f t="shared" si="166"/>
        <v>4</v>
      </c>
      <c r="Q28" s="73">
        <f t="shared" si="17"/>
        <v>2</v>
      </c>
      <c r="R28" s="50">
        <f t="shared" si="18"/>
        <v>4</v>
      </c>
      <c r="S28" s="53">
        <f t="shared" si="19"/>
        <v>1</v>
      </c>
      <c r="T28" s="54">
        <f t="shared" si="20"/>
        <v>3</v>
      </c>
      <c r="U28" s="53">
        <f t="shared" si="21"/>
        <v>2</v>
      </c>
      <c r="V28" s="54">
        <f t="shared" si="22"/>
        <v>4</v>
      </c>
      <c r="W28" s="53">
        <f t="shared" si="23"/>
        <v>1</v>
      </c>
      <c r="X28" s="54">
        <f t="shared" si="24"/>
        <v>1</v>
      </c>
      <c r="Y28" s="53">
        <f t="shared" si="25"/>
        <v>2</v>
      </c>
      <c r="Z28" s="54">
        <f t="shared" si="26"/>
        <v>4</v>
      </c>
      <c r="AA28" s="53">
        <f t="shared" si="27"/>
        <v>1</v>
      </c>
      <c r="AB28" s="54">
        <f t="shared" si="28"/>
        <v>3</v>
      </c>
      <c r="AC28" s="49">
        <f t="shared" ref="AC28:AD28" si="167">SUM(S28,U28,W28,Y28,AA28)</f>
        <v>7</v>
      </c>
      <c r="AD28" s="50">
        <f t="shared" si="167"/>
        <v>15</v>
      </c>
      <c r="AE28" s="53">
        <f t="shared" si="30"/>
        <v>2</v>
      </c>
      <c r="AF28" s="54">
        <f t="shared" si="31"/>
        <v>4</v>
      </c>
      <c r="AG28" s="53">
        <f t="shared" si="32"/>
        <v>1</v>
      </c>
      <c r="AH28" s="54">
        <f t="shared" si="33"/>
        <v>2</v>
      </c>
      <c r="AI28" s="53">
        <f t="shared" si="34"/>
        <v>1</v>
      </c>
      <c r="AJ28" s="54">
        <f t="shared" si="35"/>
        <v>2</v>
      </c>
      <c r="AK28" s="53">
        <f t="shared" si="36"/>
        <v>0</v>
      </c>
      <c r="AL28" s="54">
        <f t="shared" si="37"/>
        <v>0</v>
      </c>
      <c r="AM28" s="53">
        <f t="shared" si="38"/>
        <v>1</v>
      </c>
      <c r="AN28" s="54">
        <f t="shared" si="39"/>
        <v>3</v>
      </c>
      <c r="AO28" s="53">
        <f t="shared" si="40"/>
        <v>1</v>
      </c>
      <c r="AP28" s="54">
        <f t="shared" si="41"/>
        <v>2</v>
      </c>
      <c r="AQ28" s="49">
        <f t="shared" ref="AQ28:AR28" si="168">SUM(AG28,AI28,AK28,AM28,AO28)</f>
        <v>4</v>
      </c>
      <c r="AR28" s="50">
        <f t="shared" si="168"/>
        <v>9</v>
      </c>
      <c r="AS28" s="53">
        <f t="shared" si="43"/>
        <v>1</v>
      </c>
      <c r="AT28" s="54">
        <f t="shared" si="44"/>
        <v>3</v>
      </c>
      <c r="AU28" s="53">
        <f t="shared" si="45"/>
        <v>0</v>
      </c>
      <c r="AV28" s="54">
        <f t="shared" si="46"/>
        <v>0</v>
      </c>
      <c r="AW28" s="53">
        <f t="shared" si="47"/>
        <v>1</v>
      </c>
      <c r="AX28" s="54">
        <f t="shared" si="48"/>
        <v>1</v>
      </c>
      <c r="AY28" s="53">
        <f t="shared" si="49"/>
        <v>1</v>
      </c>
      <c r="AZ28" s="54">
        <f t="shared" si="50"/>
        <v>1</v>
      </c>
      <c r="BA28" s="53">
        <f t="shared" si="51"/>
        <v>2</v>
      </c>
      <c r="BB28" s="54">
        <f t="shared" si="52"/>
        <v>4</v>
      </c>
      <c r="BC28" s="49">
        <f t="shared" ref="BC28:BD28" si="169">SUM(AS28,AU28,AW28,AY28,BA28)</f>
        <v>5</v>
      </c>
      <c r="BD28" s="50">
        <f t="shared" si="169"/>
        <v>9</v>
      </c>
      <c r="BE28" s="68">
        <f t="shared" ref="BE28:BF28" si="170">SUM(E28,G28,I28,O28,Q28,AC28,AQ28,BC28)</f>
        <v>25</v>
      </c>
      <c r="BF28" s="69">
        <f t="shared" si="170"/>
        <v>51</v>
      </c>
      <c r="BG28" s="46" t="str">
        <f>BF28*'ОВгП_РАО'!$B$26</f>
        <v>#REF!</v>
      </c>
      <c r="BH28" s="46" t="str">
        <f>'ОВгП_РАО'!$B$26</f>
        <v>#REF!</v>
      </c>
    </row>
    <row r="29" ht="15.75" customHeight="1">
      <c r="A29" s="80">
        <f t="shared" si="55"/>
        <v>46261</v>
      </c>
      <c r="B29" s="47" t="s">
        <v>149</v>
      </c>
      <c r="C29" s="47" t="s">
        <v>122</v>
      </c>
      <c r="D29" s="47" t="s">
        <v>150</v>
      </c>
      <c r="E29" s="73">
        <f t="shared" si="6"/>
        <v>1</v>
      </c>
      <c r="F29" s="50">
        <f t="shared" si="7"/>
        <v>1</v>
      </c>
      <c r="G29" s="73">
        <f t="shared" si="8"/>
        <v>1</v>
      </c>
      <c r="H29" s="50">
        <f t="shared" si="9"/>
        <v>2</v>
      </c>
      <c r="I29" s="73">
        <f t="shared" si="10"/>
        <v>1</v>
      </c>
      <c r="J29" s="50">
        <f t="shared" si="11"/>
        <v>3</v>
      </c>
      <c r="K29" s="53">
        <f t="shared" si="12"/>
        <v>1</v>
      </c>
      <c r="L29" s="54">
        <f t="shared" si="13"/>
        <v>1</v>
      </c>
      <c r="M29" s="53">
        <f t="shared" si="14"/>
        <v>1</v>
      </c>
      <c r="N29" s="54">
        <f t="shared" si="15"/>
        <v>1</v>
      </c>
      <c r="O29" s="49">
        <f t="shared" ref="O29:P29" si="171">SUM(K29,M29)</f>
        <v>2</v>
      </c>
      <c r="P29" s="50">
        <f t="shared" si="171"/>
        <v>2</v>
      </c>
      <c r="Q29" s="73">
        <f t="shared" si="17"/>
        <v>1</v>
      </c>
      <c r="R29" s="50">
        <f t="shared" si="18"/>
        <v>2</v>
      </c>
      <c r="S29" s="53">
        <f t="shared" si="19"/>
        <v>0</v>
      </c>
      <c r="T29" s="54">
        <f t="shared" si="20"/>
        <v>0</v>
      </c>
      <c r="U29" s="53">
        <f t="shared" si="21"/>
        <v>1</v>
      </c>
      <c r="V29" s="54">
        <f t="shared" si="22"/>
        <v>3</v>
      </c>
      <c r="W29" s="53">
        <f t="shared" si="23"/>
        <v>1</v>
      </c>
      <c r="X29" s="54">
        <f t="shared" si="24"/>
        <v>1</v>
      </c>
      <c r="Y29" s="53">
        <f t="shared" si="25"/>
        <v>2</v>
      </c>
      <c r="Z29" s="54">
        <f t="shared" si="26"/>
        <v>4</v>
      </c>
      <c r="AA29" s="53">
        <f t="shared" si="27"/>
        <v>1</v>
      </c>
      <c r="AB29" s="54">
        <f t="shared" si="28"/>
        <v>1</v>
      </c>
      <c r="AC29" s="49">
        <f t="shared" ref="AC29:AD29" si="172">SUM(S29,U29,W29,Y29,AA29)</f>
        <v>5</v>
      </c>
      <c r="AD29" s="50">
        <f t="shared" si="172"/>
        <v>9</v>
      </c>
      <c r="AE29" s="53">
        <f t="shared" si="30"/>
        <v>2</v>
      </c>
      <c r="AF29" s="54">
        <f t="shared" si="31"/>
        <v>4</v>
      </c>
      <c r="AG29" s="53">
        <f t="shared" si="32"/>
        <v>0</v>
      </c>
      <c r="AH29" s="54">
        <f t="shared" si="33"/>
        <v>0</v>
      </c>
      <c r="AI29" s="53">
        <f t="shared" si="34"/>
        <v>1</v>
      </c>
      <c r="AJ29" s="54">
        <f t="shared" si="35"/>
        <v>1</v>
      </c>
      <c r="AK29" s="53">
        <f t="shared" si="36"/>
        <v>2</v>
      </c>
      <c r="AL29" s="54">
        <f t="shared" si="37"/>
        <v>4</v>
      </c>
      <c r="AM29" s="53">
        <f t="shared" si="38"/>
        <v>1</v>
      </c>
      <c r="AN29" s="54">
        <f t="shared" si="39"/>
        <v>3</v>
      </c>
      <c r="AO29" s="53">
        <f t="shared" si="40"/>
        <v>0</v>
      </c>
      <c r="AP29" s="54">
        <f t="shared" si="41"/>
        <v>0</v>
      </c>
      <c r="AQ29" s="49">
        <f t="shared" ref="AQ29:AR29" si="173">SUM(AG29,AI29,AK29,AM29,AO29)</f>
        <v>4</v>
      </c>
      <c r="AR29" s="50">
        <f t="shared" si="173"/>
        <v>8</v>
      </c>
      <c r="AS29" s="53">
        <f t="shared" si="43"/>
        <v>2</v>
      </c>
      <c r="AT29" s="54">
        <f t="shared" si="44"/>
        <v>4</v>
      </c>
      <c r="AU29" s="53">
        <f t="shared" si="45"/>
        <v>1</v>
      </c>
      <c r="AV29" s="54">
        <f t="shared" si="46"/>
        <v>1</v>
      </c>
      <c r="AW29" s="53">
        <f t="shared" si="47"/>
        <v>0</v>
      </c>
      <c r="AX29" s="54">
        <f t="shared" si="48"/>
        <v>0</v>
      </c>
      <c r="AY29" s="53">
        <f t="shared" si="49"/>
        <v>1</v>
      </c>
      <c r="AZ29" s="54">
        <f t="shared" si="50"/>
        <v>2</v>
      </c>
      <c r="BA29" s="53">
        <f t="shared" si="51"/>
        <v>2</v>
      </c>
      <c r="BB29" s="54">
        <f t="shared" si="52"/>
        <v>4</v>
      </c>
      <c r="BC29" s="49">
        <f t="shared" ref="BC29:BD29" si="174">SUM(AS29,AU29,AW29,AY29,BA29)</f>
        <v>6</v>
      </c>
      <c r="BD29" s="50">
        <f t="shared" si="174"/>
        <v>11</v>
      </c>
      <c r="BE29" s="68">
        <f t="shared" ref="BE29:BF29" si="175">SUM(E29,G29,I29,O29,Q29,AC29,AQ29,BC29)</f>
        <v>21</v>
      </c>
      <c r="BF29" s="69">
        <f t="shared" si="175"/>
        <v>38</v>
      </c>
      <c r="BG29" s="46" t="str">
        <f>BF29*'ОВгП_РАО'!$B$27</f>
        <v>#REF!</v>
      </c>
      <c r="BH29" s="46" t="str">
        <f>'ОВгП_РАО'!$B$27</f>
        <v>#REF!</v>
      </c>
    </row>
    <row r="30" ht="15.75" customHeight="1">
      <c r="A30" s="80">
        <f t="shared" si="55"/>
        <v>46261</v>
      </c>
      <c r="B30" s="47" t="s">
        <v>151</v>
      </c>
      <c r="C30" s="47" t="s">
        <v>122</v>
      </c>
      <c r="D30" s="47" t="s">
        <v>152</v>
      </c>
      <c r="E30" s="73">
        <f t="shared" si="6"/>
        <v>21</v>
      </c>
      <c r="F30" s="50">
        <f t="shared" ref="F30:F38" si="181">RANDBETWEEN(0,100)</f>
        <v>61</v>
      </c>
      <c r="G30" s="73">
        <f t="shared" si="8"/>
        <v>16</v>
      </c>
      <c r="H30" s="50">
        <f t="shared" ref="H30:H38" si="182">RANDBETWEEN(0,100)</f>
        <v>46</v>
      </c>
      <c r="I30" s="73">
        <f t="shared" si="10"/>
        <v>27</v>
      </c>
      <c r="J30" s="50">
        <f t="shared" ref="J30:J38" si="183">RANDBETWEEN(0,100)</f>
        <v>81</v>
      </c>
      <c r="K30" s="53">
        <f t="shared" si="12"/>
        <v>24</v>
      </c>
      <c r="L30" s="54">
        <f t="shared" ref="L30:L38" si="184">RANDBETWEEN(0,100)</f>
        <v>71</v>
      </c>
      <c r="M30" s="53">
        <f t="shared" si="14"/>
        <v>7</v>
      </c>
      <c r="N30" s="54">
        <f t="shared" ref="N30:N38" si="185">RANDBETWEEN(0,100)</f>
        <v>21</v>
      </c>
      <c r="O30" s="49">
        <f t="shared" ref="O30:P30" si="176">SUM(K30,M30)</f>
        <v>31</v>
      </c>
      <c r="P30" s="50">
        <f t="shared" si="176"/>
        <v>92</v>
      </c>
      <c r="Q30" s="73">
        <f t="shared" si="17"/>
        <v>7</v>
      </c>
      <c r="R30" s="50">
        <f t="shared" ref="R30:R38" si="187">RANDBETWEEN(0,100)</f>
        <v>19</v>
      </c>
      <c r="S30" s="53">
        <f t="shared" si="19"/>
        <v>22</v>
      </c>
      <c r="T30" s="54">
        <f t="shared" ref="T30:T38" si="188">RANDBETWEEN(0,300)</f>
        <v>66</v>
      </c>
      <c r="U30" s="53">
        <f t="shared" si="21"/>
        <v>5</v>
      </c>
      <c r="V30" s="54">
        <f t="shared" ref="V30:V38" si="189">RANDBETWEEN(0,300)</f>
        <v>13</v>
      </c>
      <c r="W30" s="53">
        <f t="shared" si="23"/>
        <v>51</v>
      </c>
      <c r="X30" s="54">
        <f t="shared" ref="X30:X38" si="190">RANDBETWEEN(0,300)</f>
        <v>152</v>
      </c>
      <c r="Y30" s="53">
        <f t="shared" si="25"/>
        <v>44</v>
      </c>
      <c r="Z30" s="54">
        <f t="shared" ref="Z30:Z38" si="191">RANDBETWEEN(0,300)</f>
        <v>130</v>
      </c>
      <c r="AA30" s="53">
        <f t="shared" si="27"/>
        <v>68</v>
      </c>
      <c r="AB30" s="54">
        <f t="shared" ref="AB30:AB38" si="192">RANDBETWEEN(0,300)</f>
        <v>203</v>
      </c>
      <c r="AC30" s="49">
        <f t="shared" ref="AC30:AD30" si="177">SUM(S30,U30,W30,Y30,AA30)</f>
        <v>190</v>
      </c>
      <c r="AD30" s="50">
        <f t="shared" si="177"/>
        <v>564</v>
      </c>
      <c r="AE30" s="53">
        <f t="shared" si="30"/>
        <v>54</v>
      </c>
      <c r="AF30" s="54">
        <f>RANDBETWEEN(100,500)</f>
        <v>162</v>
      </c>
      <c r="AG30" s="53">
        <f t="shared" si="32"/>
        <v>103</v>
      </c>
      <c r="AH30" s="54">
        <f>RANDBETWEEN(100,500)</f>
        <v>308</v>
      </c>
      <c r="AI30" s="53">
        <f t="shared" si="34"/>
        <v>70</v>
      </c>
      <c r="AJ30" s="54">
        <f>RANDBETWEEN(100,500)</f>
        <v>208</v>
      </c>
      <c r="AK30" s="53">
        <f t="shared" si="36"/>
        <v>102</v>
      </c>
      <c r="AL30" s="54">
        <f>RANDBETWEEN(100,500)</f>
        <v>304</v>
      </c>
      <c r="AM30" s="53">
        <f t="shared" si="38"/>
        <v>134</v>
      </c>
      <c r="AN30" s="54">
        <f>RANDBETWEEN(100,500)</f>
        <v>402</v>
      </c>
      <c r="AO30" s="53">
        <f t="shared" si="40"/>
        <v>84</v>
      </c>
      <c r="AP30" s="54">
        <f>RANDBETWEEN(100,500)</f>
        <v>252</v>
      </c>
      <c r="AQ30" s="49">
        <f t="shared" ref="AQ30:AR30" si="178">SUM(AG30,AI30,AK30,AM30,AO30)</f>
        <v>493</v>
      </c>
      <c r="AR30" s="50">
        <f t="shared" si="178"/>
        <v>1474</v>
      </c>
      <c r="AS30" s="53">
        <f t="shared" si="43"/>
        <v>117</v>
      </c>
      <c r="AT30" s="54">
        <f>RANDBETWEEN(100,500)</f>
        <v>351</v>
      </c>
      <c r="AU30" s="53">
        <f t="shared" si="45"/>
        <v>59</v>
      </c>
      <c r="AV30" s="54">
        <f>RANDBETWEEN(100,500)</f>
        <v>177</v>
      </c>
      <c r="AW30" s="53">
        <f t="shared" si="47"/>
        <v>96</v>
      </c>
      <c r="AX30" s="54">
        <f>RANDBETWEEN(100,500)</f>
        <v>286</v>
      </c>
      <c r="AY30" s="53">
        <f t="shared" si="49"/>
        <v>59</v>
      </c>
      <c r="AZ30" s="54">
        <f>RANDBETWEEN(100,500)</f>
        <v>175</v>
      </c>
      <c r="BA30" s="53">
        <f t="shared" si="51"/>
        <v>152</v>
      </c>
      <c r="BB30" s="54">
        <f>RANDBETWEEN(100,500)</f>
        <v>455</v>
      </c>
      <c r="BC30" s="49">
        <f t="shared" ref="BC30:BD30" si="179">SUM(AS30,AU30,AW30,AY30,BA30)</f>
        <v>483</v>
      </c>
      <c r="BD30" s="50">
        <f t="shared" si="179"/>
        <v>1444</v>
      </c>
      <c r="BE30" s="68">
        <f t="shared" ref="BE30:BF30" si="180">SUM(E30,G30,I30,O30,Q30,AC30,AQ30,BC30)</f>
        <v>1268</v>
      </c>
      <c r="BF30" s="69">
        <f t="shared" si="180"/>
        <v>3781</v>
      </c>
      <c r="BG30" s="46" t="str">
        <f>BF30*'ОВгП_РАО'!$B$28</f>
        <v>#REF!</v>
      </c>
      <c r="BH30" s="46" t="str">
        <f>'ОВгП_РАО'!$B$28</f>
        <v>#REF!</v>
      </c>
    </row>
    <row r="31" ht="15.75" customHeight="1">
      <c r="A31" s="80">
        <f t="shared" si="55"/>
        <v>46261</v>
      </c>
      <c r="B31" s="47" t="s">
        <v>153</v>
      </c>
      <c r="C31" s="47" t="s">
        <v>122</v>
      </c>
      <c r="D31" s="47" t="s">
        <v>152</v>
      </c>
      <c r="E31" s="73">
        <f t="shared" si="6"/>
        <v>28</v>
      </c>
      <c r="F31" s="50">
        <f t="shared" si="181"/>
        <v>83</v>
      </c>
      <c r="G31" s="73">
        <f t="shared" si="8"/>
        <v>26</v>
      </c>
      <c r="H31" s="50">
        <f t="shared" si="182"/>
        <v>77</v>
      </c>
      <c r="I31" s="73">
        <f t="shared" si="10"/>
        <v>19</v>
      </c>
      <c r="J31" s="50">
        <f t="shared" si="183"/>
        <v>55</v>
      </c>
      <c r="K31" s="53">
        <f t="shared" si="12"/>
        <v>19</v>
      </c>
      <c r="L31" s="54">
        <f t="shared" si="184"/>
        <v>57</v>
      </c>
      <c r="M31" s="53">
        <f t="shared" si="14"/>
        <v>12</v>
      </c>
      <c r="N31" s="54">
        <f t="shared" si="185"/>
        <v>35</v>
      </c>
      <c r="O31" s="49">
        <f t="shared" ref="O31:P31" si="186">SUM(K31,M31)</f>
        <v>31</v>
      </c>
      <c r="P31" s="50">
        <f t="shared" si="186"/>
        <v>92</v>
      </c>
      <c r="Q31" s="73">
        <f t="shared" si="17"/>
        <v>3</v>
      </c>
      <c r="R31" s="50">
        <f t="shared" si="187"/>
        <v>7</v>
      </c>
      <c r="S31" s="53">
        <f t="shared" si="19"/>
        <v>97</v>
      </c>
      <c r="T31" s="54">
        <f t="shared" si="188"/>
        <v>291</v>
      </c>
      <c r="U31" s="53">
        <f t="shared" si="21"/>
        <v>59</v>
      </c>
      <c r="V31" s="54">
        <f t="shared" si="189"/>
        <v>176</v>
      </c>
      <c r="W31" s="53">
        <f t="shared" si="23"/>
        <v>87</v>
      </c>
      <c r="X31" s="54">
        <f t="shared" si="190"/>
        <v>260</v>
      </c>
      <c r="Y31" s="53">
        <f t="shared" si="25"/>
        <v>3</v>
      </c>
      <c r="Z31" s="54">
        <f t="shared" si="191"/>
        <v>8</v>
      </c>
      <c r="AA31" s="53">
        <f t="shared" si="27"/>
        <v>88</v>
      </c>
      <c r="AB31" s="54">
        <f t="shared" si="192"/>
        <v>263</v>
      </c>
      <c r="AC31" s="49">
        <f t="shared" ref="AC31:AD31" si="193">SUM(S31,U31,W31,Y31,AA31)</f>
        <v>334</v>
      </c>
      <c r="AD31" s="50">
        <f t="shared" si="193"/>
        <v>998</v>
      </c>
      <c r="AE31" s="53">
        <f t="shared" si="30"/>
        <v>34</v>
      </c>
      <c r="AF31" s="54">
        <f t="shared" ref="AF31:AF38" si="199">RANDBETWEEN(0,300)</f>
        <v>102</v>
      </c>
      <c r="AG31" s="53">
        <f t="shared" si="32"/>
        <v>90</v>
      </c>
      <c r="AH31" s="54">
        <f t="shared" ref="AH31:AH38" si="200">RANDBETWEEN(0,300)</f>
        <v>268</v>
      </c>
      <c r="AI31" s="53">
        <f t="shared" si="34"/>
        <v>53</v>
      </c>
      <c r="AJ31" s="54">
        <f t="shared" ref="AJ31:AJ38" si="201">RANDBETWEEN(0,300)</f>
        <v>158</v>
      </c>
      <c r="AK31" s="53">
        <f t="shared" si="36"/>
        <v>93</v>
      </c>
      <c r="AL31" s="54">
        <f t="shared" ref="AL31:AL38" si="202">RANDBETWEEN(0,300)</f>
        <v>278</v>
      </c>
      <c r="AM31" s="53">
        <f t="shared" si="38"/>
        <v>68</v>
      </c>
      <c r="AN31" s="54">
        <f t="shared" ref="AN31:AN38" si="203">RANDBETWEEN(0,300)</f>
        <v>203</v>
      </c>
      <c r="AO31" s="53">
        <f t="shared" si="40"/>
        <v>50</v>
      </c>
      <c r="AP31" s="54">
        <f t="shared" ref="AP31:AP38" si="204">RANDBETWEEN(0,300)</f>
        <v>149</v>
      </c>
      <c r="AQ31" s="49">
        <f t="shared" ref="AQ31:AR31" si="194">SUM(AG31,AI31,AK31,AM31,AO31)</f>
        <v>354</v>
      </c>
      <c r="AR31" s="50">
        <f t="shared" si="194"/>
        <v>1056</v>
      </c>
      <c r="AS31" s="53">
        <f t="shared" si="43"/>
        <v>68</v>
      </c>
      <c r="AT31" s="54">
        <f t="shared" ref="AT31:AT32" si="206">RANDBETWEEN(0,300)</f>
        <v>203</v>
      </c>
      <c r="AU31" s="53">
        <f t="shared" si="45"/>
        <v>38</v>
      </c>
      <c r="AV31" s="54">
        <f t="shared" ref="AV31:AV32" si="207">RANDBETWEEN(0,300)</f>
        <v>112</v>
      </c>
      <c r="AW31" s="53">
        <f t="shared" si="47"/>
        <v>44</v>
      </c>
      <c r="AX31" s="54">
        <f t="shared" ref="AX31:AX32" si="208">RANDBETWEEN(0,300)</f>
        <v>130</v>
      </c>
      <c r="AY31" s="53">
        <f t="shared" si="49"/>
        <v>86</v>
      </c>
      <c r="AZ31" s="54">
        <f t="shared" ref="AZ31:AZ32" si="209">RANDBETWEEN(0,300)</f>
        <v>257</v>
      </c>
      <c r="BA31" s="53">
        <f t="shared" si="51"/>
        <v>53</v>
      </c>
      <c r="BB31" s="54">
        <f t="shared" ref="BB31:BB32" si="210">RANDBETWEEN(0,300)</f>
        <v>157</v>
      </c>
      <c r="BC31" s="49">
        <f t="shared" ref="BC31:BD31" si="195">SUM(AS31,AU31,AW31,AY31,BA31)</f>
        <v>289</v>
      </c>
      <c r="BD31" s="50">
        <f t="shared" si="195"/>
        <v>859</v>
      </c>
      <c r="BE31" s="68">
        <f t="shared" ref="BE31:BF31" si="196">SUM(E31,G31,I31,O31,Q31,AC31,AQ31,BC31)</f>
        <v>1084</v>
      </c>
      <c r="BF31" s="69">
        <f t="shared" si="196"/>
        <v>3227</v>
      </c>
      <c r="BG31" s="46" t="str">
        <f>BF31*'ОВгП_РАО'!$B$29</f>
        <v>#REF!</v>
      </c>
      <c r="BH31" s="46" t="str">
        <f>'ОВгП_РАО'!$B$29</f>
        <v>#REF!</v>
      </c>
    </row>
    <row r="32" ht="15.75" customHeight="1">
      <c r="A32" s="80">
        <f t="shared" si="55"/>
        <v>46261</v>
      </c>
      <c r="B32" s="47" t="s">
        <v>154</v>
      </c>
      <c r="C32" s="47" t="s">
        <v>122</v>
      </c>
      <c r="D32" s="47" t="s">
        <v>152</v>
      </c>
      <c r="E32" s="73">
        <f t="shared" si="6"/>
        <v>4</v>
      </c>
      <c r="F32" s="50">
        <f t="shared" si="181"/>
        <v>12</v>
      </c>
      <c r="G32" s="73">
        <f t="shared" si="8"/>
        <v>9</v>
      </c>
      <c r="H32" s="50">
        <f t="shared" si="182"/>
        <v>26</v>
      </c>
      <c r="I32" s="73">
        <f t="shared" si="10"/>
        <v>16</v>
      </c>
      <c r="J32" s="50">
        <f t="shared" si="183"/>
        <v>46</v>
      </c>
      <c r="K32" s="53">
        <f t="shared" si="12"/>
        <v>20</v>
      </c>
      <c r="L32" s="54">
        <f t="shared" si="184"/>
        <v>58</v>
      </c>
      <c r="M32" s="53">
        <f t="shared" si="14"/>
        <v>22</v>
      </c>
      <c r="N32" s="54">
        <f t="shared" si="185"/>
        <v>66</v>
      </c>
      <c r="O32" s="49">
        <f t="shared" ref="O32:P32" si="197">SUM(K32,M32)</f>
        <v>42</v>
      </c>
      <c r="P32" s="50">
        <f t="shared" si="197"/>
        <v>124</v>
      </c>
      <c r="Q32" s="73">
        <f t="shared" si="17"/>
        <v>32</v>
      </c>
      <c r="R32" s="50">
        <f t="shared" si="187"/>
        <v>95</v>
      </c>
      <c r="S32" s="53">
        <f t="shared" si="19"/>
        <v>63</v>
      </c>
      <c r="T32" s="54">
        <f t="shared" si="188"/>
        <v>189</v>
      </c>
      <c r="U32" s="53">
        <f t="shared" si="21"/>
        <v>39</v>
      </c>
      <c r="V32" s="54">
        <f t="shared" si="189"/>
        <v>117</v>
      </c>
      <c r="W32" s="53">
        <f t="shared" si="23"/>
        <v>66</v>
      </c>
      <c r="X32" s="54">
        <f t="shared" si="190"/>
        <v>196</v>
      </c>
      <c r="Y32" s="53">
        <f t="shared" si="25"/>
        <v>81</v>
      </c>
      <c r="Z32" s="54">
        <f t="shared" si="191"/>
        <v>242</v>
      </c>
      <c r="AA32" s="53">
        <f t="shared" si="27"/>
        <v>46</v>
      </c>
      <c r="AB32" s="54">
        <f t="shared" si="192"/>
        <v>136</v>
      </c>
      <c r="AC32" s="49">
        <f t="shared" ref="AC32:AD32" si="198">SUM(S32,U32,W32,Y32,AA32)</f>
        <v>295</v>
      </c>
      <c r="AD32" s="50">
        <f t="shared" si="198"/>
        <v>880</v>
      </c>
      <c r="AE32" s="53">
        <f t="shared" si="30"/>
        <v>5</v>
      </c>
      <c r="AF32" s="54">
        <f t="shared" si="199"/>
        <v>13</v>
      </c>
      <c r="AG32" s="53">
        <f t="shared" si="32"/>
        <v>27</v>
      </c>
      <c r="AH32" s="54">
        <f t="shared" si="200"/>
        <v>80</v>
      </c>
      <c r="AI32" s="53">
        <f t="shared" si="34"/>
        <v>21</v>
      </c>
      <c r="AJ32" s="54">
        <f t="shared" si="201"/>
        <v>62</v>
      </c>
      <c r="AK32" s="53">
        <f t="shared" si="36"/>
        <v>96</v>
      </c>
      <c r="AL32" s="54">
        <f t="shared" si="202"/>
        <v>288</v>
      </c>
      <c r="AM32" s="53">
        <f t="shared" si="38"/>
        <v>27</v>
      </c>
      <c r="AN32" s="54">
        <f t="shared" si="203"/>
        <v>81</v>
      </c>
      <c r="AO32" s="53">
        <f t="shared" si="40"/>
        <v>77</v>
      </c>
      <c r="AP32" s="54">
        <f t="shared" si="204"/>
        <v>230</v>
      </c>
      <c r="AQ32" s="49">
        <f t="shared" ref="AQ32:AR32" si="205">SUM(AG32,AI32,AK32,AM32,AO32)</f>
        <v>248</v>
      </c>
      <c r="AR32" s="50">
        <f t="shared" si="205"/>
        <v>741</v>
      </c>
      <c r="AS32" s="53">
        <f t="shared" si="43"/>
        <v>35</v>
      </c>
      <c r="AT32" s="54">
        <f t="shared" si="206"/>
        <v>103</v>
      </c>
      <c r="AU32" s="53">
        <f t="shared" si="45"/>
        <v>61</v>
      </c>
      <c r="AV32" s="54">
        <f t="shared" si="207"/>
        <v>182</v>
      </c>
      <c r="AW32" s="53">
        <f t="shared" si="47"/>
        <v>69</v>
      </c>
      <c r="AX32" s="54">
        <f t="shared" si="208"/>
        <v>205</v>
      </c>
      <c r="AY32" s="53">
        <f t="shared" si="49"/>
        <v>24</v>
      </c>
      <c r="AZ32" s="54">
        <f t="shared" si="209"/>
        <v>72</v>
      </c>
      <c r="BA32" s="53">
        <f t="shared" si="51"/>
        <v>91</v>
      </c>
      <c r="BB32" s="54">
        <f t="shared" si="210"/>
        <v>272</v>
      </c>
      <c r="BC32" s="49">
        <f t="shared" ref="BC32:BD32" si="211">SUM(AS32,AU32,AW32,AY32,BA32)</f>
        <v>280</v>
      </c>
      <c r="BD32" s="50">
        <f t="shared" si="211"/>
        <v>834</v>
      </c>
      <c r="BE32" s="68">
        <f t="shared" ref="BE32:BF32" si="212">SUM(E32,G32,I32,O32,Q32,AC32,AQ32,BC32)</f>
        <v>926</v>
      </c>
      <c r="BF32" s="69">
        <f t="shared" si="212"/>
        <v>2758</v>
      </c>
      <c r="BG32" s="46" t="str">
        <f>BF32*'ОВгП_РАО'!$B$30</f>
        <v>#REF!</v>
      </c>
      <c r="BH32" s="46" t="str">
        <f>'ОВгП_РАО'!$B$30</f>
        <v>#REF!</v>
      </c>
    </row>
    <row r="33" ht="15.75" customHeight="1">
      <c r="A33" s="80">
        <f t="shared" si="55"/>
        <v>46261</v>
      </c>
      <c r="B33" s="47" t="s">
        <v>155</v>
      </c>
      <c r="C33" s="47" t="s">
        <v>122</v>
      </c>
      <c r="D33" s="47" t="s">
        <v>156</v>
      </c>
      <c r="E33" s="73">
        <f t="shared" si="6"/>
        <v>13</v>
      </c>
      <c r="F33" s="50">
        <f t="shared" si="181"/>
        <v>39</v>
      </c>
      <c r="G33" s="73">
        <f t="shared" si="8"/>
        <v>10</v>
      </c>
      <c r="H33" s="50">
        <f t="shared" si="182"/>
        <v>28</v>
      </c>
      <c r="I33" s="73">
        <f t="shared" si="10"/>
        <v>33</v>
      </c>
      <c r="J33" s="50">
        <f t="shared" si="183"/>
        <v>97</v>
      </c>
      <c r="K33" s="53">
        <f t="shared" si="12"/>
        <v>26</v>
      </c>
      <c r="L33" s="54">
        <f t="shared" si="184"/>
        <v>78</v>
      </c>
      <c r="M33" s="53">
        <f t="shared" si="14"/>
        <v>25</v>
      </c>
      <c r="N33" s="54">
        <f t="shared" si="185"/>
        <v>75</v>
      </c>
      <c r="O33" s="49">
        <f t="shared" ref="O33:P33" si="213">SUM(K33,M33)</f>
        <v>51</v>
      </c>
      <c r="P33" s="50">
        <f t="shared" si="213"/>
        <v>153</v>
      </c>
      <c r="Q33" s="73">
        <f t="shared" si="17"/>
        <v>32</v>
      </c>
      <c r="R33" s="50">
        <f t="shared" si="187"/>
        <v>94</v>
      </c>
      <c r="S33" s="53">
        <f t="shared" si="19"/>
        <v>35</v>
      </c>
      <c r="T33" s="54">
        <f t="shared" si="188"/>
        <v>103</v>
      </c>
      <c r="U33" s="53">
        <f t="shared" si="21"/>
        <v>61</v>
      </c>
      <c r="V33" s="54">
        <f t="shared" si="189"/>
        <v>181</v>
      </c>
      <c r="W33" s="53">
        <f t="shared" si="23"/>
        <v>41</v>
      </c>
      <c r="X33" s="54">
        <f t="shared" si="190"/>
        <v>123</v>
      </c>
      <c r="Y33" s="53">
        <f t="shared" si="25"/>
        <v>87</v>
      </c>
      <c r="Z33" s="54">
        <f t="shared" si="191"/>
        <v>260</v>
      </c>
      <c r="AA33" s="53">
        <f t="shared" si="27"/>
        <v>60</v>
      </c>
      <c r="AB33" s="54">
        <f t="shared" si="192"/>
        <v>179</v>
      </c>
      <c r="AC33" s="49">
        <f t="shared" ref="AC33:AD33" si="214">SUM(S33,U33,W33,Y33,AA33)</f>
        <v>284</v>
      </c>
      <c r="AD33" s="50">
        <f t="shared" si="214"/>
        <v>846</v>
      </c>
      <c r="AE33" s="53">
        <f t="shared" si="30"/>
        <v>23</v>
      </c>
      <c r="AF33" s="54">
        <f t="shared" si="199"/>
        <v>69</v>
      </c>
      <c r="AG33" s="53">
        <f t="shared" si="32"/>
        <v>48</v>
      </c>
      <c r="AH33" s="54">
        <f t="shared" si="200"/>
        <v>142</v>
      </c>
      <c r="AI33" s="53">
        <f t="shared" si="34"/>
        <v>45</v>
      </c>
      <c r="AJ33" s="54">
        <f t="shared" si="201"/>
        <v>133</v>
      </c>
      <c r="AK33" s="53">
        <f t="shared" si="36"/>
        <v>4</v>
      </c>
      <c r="AL33" s="54">
        <f t="shared" si="202"/>
        <v>12</v>
      </c>
      <c r="AM33" s="53">
        <f t="shared" si="38"/>
        <v>77</v>
      </c>
      <c r="AN33" s="54">
        <f t="shared" si="203"/>
        <v>229</v>
      </c>
      <c r="AO33" s="53">
        <f t="shared" si="40"/>
        <v>69</v>
      </c>
      <c r="AP33" s="54">
        <f t="shared" si="204"/>
        <v>207</v>
      </c>
      <c r="AQ33" s="49">
        <f t="shared" ref="AQ33:AR33" si="215">SUM(AG33,AI33,AK33,AM33,AO33)</f>
        <v>243</v>
      </c>
      <c r="AR33" s="50">
        <f t="shared" si="215"/>
        <v>723</v>
      </c>
      <c r="AS33" s="53">
        <f t="shared" si="43"/>
        <v>10</v>
      </c>
      <c r="AT33" s="54">
        <f t="shared" ref="AT33:AT35" si="221">RANDBETWEEN(0,100)</f>
        <v>28</v>
      </c>
      <c r="AU33" s="53">
        <f t="shared" si="45"/>
        <v>11</v>
      </c>
      <c r="AV33" s="54">
        <f t="shared" ref="AV33:AV35" si="222">RANDBETWEEN(0,100)</f>
        <v>32</v>
      </c>
      <c r="AW33" s="53">
        <f t="shared" si="47"/>
        <v>14</v>
      </c>
      <c r="AX33" s="54">
        <f t="shared" ref="AX33:AX35" si="223">RANDBETWEEN(0,100)</f>
        <v>40</v>
      </c>
      <c r="AY33" s="53">
        <f t="shared" si="49"/>
        <v>16</v>
      </c>
      <c r="AZ33" s="54">
        <f t="shared" ref="AZ33:AZ35" si="224">RANDBETWEEN(0,100)</f>
        <v>46</v>
      </c>
      <c r="BA33" s="53">
        <f t="shared" si="51"/>
        <v>21</v>
      </c>
      <c r="BB33" s="54">
        <f t="shared" ref="BB33:BB35" si="225">RANDBETWEEN(0,100)</f>
        <v>61</v>
      </c>
      <c r="BC33" s="49">
        <f t="shared" ref="BC33:BD33" si="216">SUM(AS33,AU33,AW33,AY33,BA33)</f>
        <v>72</v>
      </c>
      <c r="BD33" s="50">
        <f t="shared" si="216"/>
        <v>207</v>
      </c>
      <c r="BE33" s="68">
        <f t="shared" ref="BE33:BF33" si="217">SUM(E33,G33,I33,O33,Q33,AC33,AQ33,BC33)</f>
        <v>738</v>
      </c>
      <c r="BF33" s="69">
        <f t="shared" si="217"/>
        <v>2187</v>
      </c>
      <c r="BG33" s="46" t="str">
        <f>BF33*'ОВгП_РАО'!$B$31</f>
        <v>#REF!</v>
      </c>
      <c r="BH33" s="46" t="str">
        <f>'ОВгП_РАО'!$B$31</f>
        <v>#REF!</v>
      </c>
    </row>
    <row r="34" ht="15.75" customHeight="1">
      <c r="A34" s="80">
        <f t="shared" si="55"/>
        <v>46261</v>
      </c>
      <c r="B34" s="47" t="s">
        <v>158</v>
      </c>
      <c r="C34" s="47" t="s">
        <v>122</v>
      </c>
      <c r="D34" s="47" t="s">
        <v>156</v>
      </c>
      <c r="E34" s="73">
        <f t="shared" si="6"/>
        <v>8</v>
      </c>
      <c r="F34" s="50">
        <f t="shared" si="181"/>
        <v>24</v>
      </c>
      <c r="G34" s="73">
        <f t="shared" si="8"/>
        <v>3</v>
      </c>
      <c r="H34" s="50">
        <f t="shared" si="182"/>
        <v>7</v>
      </c>
      <c r="I34" s="73">
        <f t="shared" si="10"/>
        <v>27</v>
      </c>
      <c r="J34" s="50">
        <f t="shared" si="183"/>
        <v>80</v>
      </c>
      <c r="K34" s="53">
        <f t="shared" si="12"/>
        <v>11</v>
      </c>
      <c r="L34" s="54">
        <f t="shared" si="184"/>
        <v>33</v>
      </c>
      <c r="M34" s="53">
        <f t="shared" si="14"/>
        <v>2</v>
      </c>
      <c r="N34" s="54">
        <f t="shared" si="185"/>
        <v>4</v>
      </c>
      <c r="O34" s="49">
        <f t="shared" ref="O34:P34" si="218">SUM(K34,M34)</f>
        <v>13</v>
      </c>
      <c r="P34" s="50">
        <f t="shared" si="218"/>
        <v>37</v>
      </c>
      <c r="Q34" s="73">
        <f t="shared" si="17"/>
        <v>22</v>
      </c>
      <c r="R34" s="50">
        <f t="shared" si="187"/>
        <v>64</v>
      </c>
      <c r="S34" s="53">
        <f t="shared" si="19"/>
        <v>40</v>
      </c>
      <c r="T34" s="54">
        <f t="shared" si="188"/>
        <v>119</v>
      </c>
      <c r="U34" s="53">
        <f t="shared" si="21"/>
        <v>21</v>
      </c>
      <c r="V34" s="54">
        <f t="shared" si="189"/>
        <v>61</v>
      </c>
      <c r="W34" s="53">
        <f t="shared" si="23"/>
        <v>65</v>
      </c>
      <c r="X34" s="54">
        <f t="shared" si="190"/>
        <v>193</v>
      </c>
      <c r="Y34" s="53">
        <f t="shared" si="25"/>
        <v>82</v>
      </c>
      <c r="Z34" s="54">
        <f t="shared" si="191"/>
        <v>246</v>
      </c>
      <c r="AA34" s="53">
        <f t="shared" si="27"/>
        <v>31</v>
      </c>
      <c r="AB34" s="54">
        <f t="shared" si="192"/>
        <v>91</v>
      </c>
      <c r="AC34" s="49">
        <f t="shared" ref="AC34:AD34" si="219">SUM(S34,U34,W34,Y34,AA34)</f>
        <v>239</v>
      </c>
      <c r="AD34" s="50">
        <f t="shared" si="219"/>
        <v>710</v>
      </c>
      <c r="AE34" s="53">
        <f t="shared" si="30"/>
        <v>36</v>
      </c>
      <c r="AF34" s="54">
        <f t="shared" si="199"/>
        <v>108</v>
      </c>
      <c r="AG34" s="53">
        <f t="shared" si="32"/>
        <v>70</v>
      </c>
      <c r="AH34" s="54">
        <f t="shared" si="200"/>
        <v>209</v>
      </c>
      <c r="AI34" s="53">
        <f t="shared" si="34"/>
        <v>17</v>
      </c>
      <c r="AJ34" s="54">
        <f t="shared" si="201"/>
        <v>51</v>
      </c>
      <c r="AK34" s="53">
        <f t="shared" si="36"/>
        <v>71</v>
      </c>
      <c r="AL34" s="54">
        <f t="shared" si="202"/>
        <v>211</v>
      </c>
      <c r="AM34" s="53">
        <f t="shared" si="38"/>
        <v>20</v>
      </c>
      <c r="AN34" s="54">
        <f t="shared" si="203"/>
        <v>58</v>
      </c>
      <c r="AO34" s="53">
        <f t="shared" si="40"/>
        <v>42</v>
      </c>
      <c r="AP34" s="54">
        <f t="shared" si="204"/>
        <v>126</v>
      </c>
      <c r="AQ34" s="49">
        <f t="shared" ref="AQ34:AR34" si="220">SUM(AG34,AI34,AK34,AM34,AO34)</f>
        <v>220</v>
      </c>
      <c r="AR34" s="50">
        <f t="shared" si="220"/>
        <v>655</v>
      </c>
      <c r="AS34" s="53">
        <f t="shared" si="43"/>
        <v>32</v>
      </c>
      <c r="AT34" s="54">
        <f t="shared" si="221"/>
        <v>96</v>
      </c>
      <c r="AU34" s="53">
        <f t="shared" si="45"/>
        <v>23</v>
      </c>
      <c r="AV34" s="54">
        <f t="shared" si="222"/>
        <v>68</v>
      </c>
      <c r="AW34" s="53">
        <f t="shared" si="47"/>
        <v>28</v>
      </c>
      <c r="AX34" s="54">
        <f t="shared" si="223"/>
        <v>83</v>
      </c>
      <c r="AY34" s="53">
        <f t="shared" si="49"/>
        <v>9</v>
      </c>
      <c r="AZ34" s="54">
        <f t="shared" si="224"/>
        <v>25</v>
      </c>
      <c r="BA34" s="53">
        <f t="shared" si="51"/>
        <v>3</v>
      </c>
      <c r="BB34" s="54">
        <f t="shared" si="225"/>
        <v>9</v>
      </c>
      <c r="BC34" s="49">
        <f t="shared" ref="BC34:BD34" si="226">SUM(AS34,AU34,AW34,AY34,BA34)</f>
        <v>95</v>
      </c>
      <c r="BD34" s="50">
        <f t="shared" si="226"/>
        <v>281</v>
      </c>
      <c r="BE34" s="68">
        <f t="shared" ref="BE34:BF34" si="227">SUM(E34,G34,I34,O34,Q34,AC34,AQ34,BC34)</f>
        <v>627</v>
      </c>
      <c r="BF34" s="69">
        <f t="shared" si="227"/>
        <v>1858</v>
      </c>
      <c r="BG34" s="46" t="str">
        <f>BF34*'ОВгП_РАО'!$B$32</f>
        <v>#REF!</v>
      </c>
      <c r="BH34" s="46" t="str">
        <f>'ОВгП_РАО'!$B$32</f>
        <v>#REF!</v>
      </c>
    </row>
    <row r="35" ht="15.75" customHeight="1">
      <c r="A35" s="80">
        <f t="shared" si="55"/>
        <v>46261</v>
      </c>
      <c r="B35" s="47" t="s">
        <v>159</v>
      </c>
      <c r="C35" s="47" t="s">
        <v>122</v>
      </c>
      <c r="D35" s="47" t="s">
        <v>156</v>
      </c>
      <c r="E35" s="73">
        <f t="shared" si="6"/>
        <v>13</v>
      </c>
      <c r="F35" s="50">
        <f t="shared" si="181"/>
        <v>37</v>
      </c>
      <c r="G35" s="73">
        <f t="shared" si="8"/>
        <v>8</v>
      </c>
      <c r="H35" s="50">
        <f t="shared" si="182"/>
        <v>23</v>
      </c>
      <c r="I35" s="73">
        <f t="shared" si="10"/>
        <v>7</v>
      </c>
      <c r="J35" s="50">
        <f t="shared" si="183"/>
        <v>19</v>
      </c>
      <c r="K35" s="53">
        <f t="shared" si="12"/>
        <v>4</v>
      </c>
      <c r="L35" s="54">
        <f t="shared" si="184"/>
        <v>12</v>
      </c>
      <c r="M35" s="53">
        <f t="shared" si="14"/>
        <v>19</v>
      </c>
      <c r="N35" s="54">
        <f t="shared" si="185"/>
        <v>55</v>
      </c>
      <c r="O35" s="49">
        <f t="shared" ref="O35:P35" si="228">SUM(K35,M35)</f>
        <v>23</v>
      </c>
      <c r="P35" s="50">
        <f t="shared" si="228"/>
        <v>67</v>
      </c>
      <c r="Q35" s="73">
        <f t="shared" si="17"/>
        <v>15</v>
      </c>
      <c r="R35" s="50">
        <f t="shared" si="187"/>
        <v>45</v>
      </c>
      <c r="S35" s="53">
        <f t="shared" si="19"/>
        <v>54</v>
      </c>
      <c r="T35" s="54">
        <f t="shared" si="188"/>
        <v>162</v>
      </c>
      <c r="U35" s="53">
        <f t="shared" si="21"/>
        <v>60</v>
      </c>
      <c r="V35" s="54">
        <f t="shared" si="189"/>
        <v>180</v>
      </c>
      <c r="W35" s="53">
        <f t="shared" si="23"/>
        <v>40</v>
      </c>
      <c r="X35" s="54">
        <f t="shared" si="190"/>
        <v>120</v>
      </c>
      <c r="Y35" s="53">
        <f t="shared" si="25"/>
        <v>16</v>
      </c>
      <c r="Z35" s="54">
        <f t="shared" si="191"/>
        <v>46</v>
      </c>
      <c r="AA35" s="53">
        <f t="shared" si="27"/>
        <v>33</v>
      </c>
      <c r="AB35" s="54">
        <f t="shared" si="192"/>
        <v>98</v>
      </c>
      <c r="AC35" s="49">
        <f t="shared" ref="AC35:AD35" si="229">SUM(S35,U35,W35,Y35,AA35)</f>
        <v>203</v>
      </c>
      <c r="AD35" s="50">
        <f t="shared" si="229"/>
        <v>606</v>
      </c>
      <c r="AE35" s="53">
        <f t="shared" si="30"/>
        <v>13</v>
      </c>
      <c r="AF35" s="54">
        <f t="shared" si="199"/>
        <v>37</v>
      </c>
      <c r="AG35" s="53">
        <f t="shared" si="32"/>
        <v>19</v>
      </c>
      <c r="AH35" s="54">
        <f t="shared" si="200"/>
        <v>55</v>
      </c>
      <c r="AI35" s="53">
        <f t="shared" si="34"/>
        <v>57</v>
      </c>
      <c r="AJ35" s="54">
        <f t="shared" si="201"/>
        <v>170</v>
      </c>
      <c r="AK35" s="53">
        <f t="shared" si="36"/>
        <v>48</v>
      </c>
      <c r="AL35" s="54">
        <f t="shared" si="202"/>
        <v>143</v>
      </c>
      <c r="AM35" s="53">
        <f t="shared" si="38"/>
        <v>23</v>
      </c>
      <c r="AN35" s="54">
        <f t="shared" si="203"/>
        <v>69</v>
      </c>
      <c r="AO35" s="53">
        <f t="shared" si="40"/>
        <v>62</v>
      </c>
      <c r="AP35" s="54">
        <f t="shared" si="204"/>
        <v>184</v>
      </c>
      <c r="AQ35" s="49">
        <f t="shared" ref="AQ35:AR35" si="230">SUM(AG35,AI35,AK35,AM35,AO35)</f>
        <v>209</v>
      </c>
      <c r="AR35" s="50">
        <f t="shared" si="230"/>
        <v>621</v>
      </c>
      <c r="AS35" s="53">
        <f t="shared" si="43"/>
        <v>33</v>
      </c>
      <c r="AT35" s="54">
        <f t="shared" si="221"/>
        <v>98</v>
      </c>
      <c r="AU35" s="53">
        <f t="shared" si="45"/>
        <v>29</v>
      </c>
      <c r="AV35" s="54">
        <f t="shared" si="222"/>
        <v>86</v>
      </c>
      <c r="AW35" s="53">
        <f t="shared" si="47"/>
        <v>21</v>
      </c>
      <c r="AX35" s="54">
        <f t="shared" si="223"/>
        <v>61</v>
      </c>
      <c r="AY35" s="53">
        <f t="shared" si="49"/>
        <v>27</v>
      </c>
      <c r="AZ35" s="54">
        <f t="shared" si="224"/>
        <v>81</v>
      </c>
      <c r="BA35" s="53">
        <f t="shared" si="51"/>
        <v>8</v>
      </c>
      <c r="BB35" s="54">
        <f t="shared" si="225"/>
        <v>22</v>
      </c>
      <c r="BC35" s="49">
        <f t="shared" ref="BC35:BD35" si="231">SUM(AS35,AU35,AW35,AY35,BA35)</f>
        <v>118</v>
      </c>
      <c r="BD35" s="50">
        <f t="shared" si="231"/>
        <v>348</v>
      </c>
      <c r="BE35" s="68">
        <f t="shared" ref="BE35:BF35" si="232">SUM(E35,G35,I35,O35,Q35,AC35,AQ35,BC35)</f>
        <v>596</v>
      </c>
      <c r="BF35" s="69">
        <f t="shared" si="232"/>
        <v>1766</v>
      </c>
      <c r="BG35" s="46" t="str">
        <f>BF35*'ОВгП_РАО'!$B$33</f>
        <v>#REF!</v>
      </c>
      <c r="BH35" s="46" t="str">
        <f>'ОВгП_РАО'!$B$33</f>
        <v>#REF!</v>
      </c>
    </row>
    <row r="36" ht="15.75" customHeight="1">
      <c r="A36" s="80">
        <f t="shared" si="55"/>
        <v>46261</v>
      </c>
      <c r="B36" s="47" t="s">
        <v>160</v>
      </c>
      <c r="C36" s="47" t="s">
        <v>161</v>
      </c>
      <c r="D36" s="47" t="s">
        <v>98</v>
      </c>
      <c r="E36" s="73">
        <f t="shared" si="6"/>
        <v>1</v>
      </c>
      <c r="F36" s="50">
        <f t="shared" si="181"/>
        <v>1</v>
      </c>
      <c r="G36" s="73">
        <f t="shared" si="8"/>
        <v>21</v>
      </c>
      <c r="H36" s="50">
        <f t="shared" si="182"/>
        <v>62</v>
      </c>
      <c r="I36" s="73">
        <f t="shared" si="10"/>
        <v>26</v>
      </c>
      <c r="J36" s="50">
        <f t="shared" si="183"/>
        <v>78</v>
      </c>
      <c r="K36" s="53">
        <f t="shared" si="12"/>
        <v>1</v>
      </c>
      <c r="L36" s="54">
        <f t="shared" si="184"/>
        <v>1</v>
      </c>
      <c r="M36" s="53">
        <f t="shared" si="14"/>
        <v>33</v>
      </c>
      <c r="N36" s="54">
        <f t="shared" si="185"/>
        <v>98</v>
      </c>
      <c r="O36" s="49">
        <f t="shared" ref="O36:P36" si="233">SUM(K36,M36)</f>
        <v>34</v>
      </c>
      <c r="P36" s="50">
        <f t="shared" si="233"/>
        <v>99</v>
      </c>
      <c r="Q36" s="73">
        <f t="shared" si="17"/>
        <v>24</v>
      </c>
      <c r="R36" s="50">
        <f t="shared" si="187"/>
        <v>70</v>
      </c>
      <c r="S36" s="53">
        <f t="shared" si="19"/>
        <v>77</v>
      </c>
      <c r="T36" s="54">
        <f t="shared" si="188"/>
        <v>231</v>
      </c>
      <c r="U36" s="53">
        <f t="shared" si="21"/>
        <v>86</v>
      </c>
      <c r="V36" s="54">
        <f t="shared" si="189"/>
        <v>258</v>
      </c>
      <c r="W36" s="53">
        <f t="shared" si="23"/>
        <v>18</v>
      </c>
      <c r="X36" s="54">
        <f t="shared" si="190"/>
        <v>53</v>
      </c>
      <c r="Y36" s="53">
        <f t="shared" si="25"/>
        <v>65</v>
      </c>
      <c r="Z36" s="54">
        <f t="shared" si="191"/>
        <v>195</v>
      </c>
      <c r="AA36" s="53">
        <f t="shared" si="27"/>
        <v>20</v>
      </c>
      <c r="AB36" s="54">
        <f t="shared" si="192"/>
        <v>59</v>
      </c>
      <c r="AC36" s="49">
        <f t="shared" ref="AC36:AD36" si="234">SUM(S36,U36,W36,Y36,AA36)</f>
        <v>266</v>
      </c>
      <c r="AD36" s="50">
        <f t="shared" si="234"/>
        <v>796</v>
      </c>
      <c r="AE36" s="53">
        <f t="shared" si="30"/>
        <v>14</v>
      </c>
      <c r="AF36" s="54">
        <f t="shared" si="199"/>
        <v>40</v>
      </c>
      <c r="AG36" s="53">
        <f t="shared" si="32"/>
        <v>58</v>
      </c>
      <c r="AH36" s="54">
        <f t="shared" si="200"/>
        <v>174</v>
      </c>
      <c r="AI36" s="53">
        <f t="shared" si="34"/>
        <v>70</v>
      </c>
      <c r="AJ36" s="54">
        <f t="shared" si="201"/>
        <v>208</v>
      </c>
      <c r="AK36" s="53">
        <f t="shared" si="36"/>
        <v>9</v>
      </c>
      <c r="AL36" s="54">
        <f t="shared" si="202"/>
        <v>26</v>
      </c>
      <c r="AM36" s="53">
        <f t="shared" si="38"/>
        <v>33</v>
      </c>
      <c r="AN36" s="54">
        <f t="shared" si="203"/>
        <v>97</v>
      </c>
      <c r="AO36" s="53">
        <f t="shared" si="40"/>
        <v>44</v>
      </c>
      <c r="AP36" s="54">
        <f t="shared" si="204"/>
        <v>132</v>
      </c>
      <c r="AQ36" s="49">
        <f t="shared" ref="AQ36:AR36" si="235">SUM(AG36,AI36,AK36,AM36,AO36)</f>
        <v>214</v>
      </c>
      <c r="AR36" s="50">
        <f t="shared" si="235"/>
        <v>637</v>
      </c>
      <c r="AS36" s="53">
        <f t="shared" si="43"/>
        <v>78</v>
      </c>
      <c r="AT36" s="54">
        <f t="shared" ref="AT36:AT38" si="241">RANDBETWEEN(0,300)</f>
        <v>233</v>
      </c>
      <c r="AU36" s="53">
        <f t="shared" si="45"/>
        <v>39</v>
      </c>
      <c r="AV36" s="54">
        <f t="shared" ref="AV36:AV38" si="242">RANDBETWEEN(0,300)</f>
        <v>117</v>
      </c>
      <c r="AW36" s="53">
        <f t="shared" si="47"/>
        <v>44</v>
      </c>
      <c r="AX36" s="54">
        <f t="shared" ref="AX36:AX38" si="243">RANDBETWEEN(0,300)</f>
        <v>131</v>
      </c>
      <c r="AY36" s="53">
        <f t="shared" si="49"/>
        <v>55</v>
      </c>
      <c r="AZ36" s="54">
        <f t="shared" ref="AZ36:AZ38" si="244">RANDBETWEEN(0,300)</f>
        <v>165</v>
      </c>
      <c r="BA36" s="53">
        <f t="shared" si="51"/>
        <v>62</v>
      </c>
      <c r="BB36" s="54">
        <f t="shared" ref="BB36:BB38" si="245">RANDBETWEEN(0,300)</f>
        <v>184</v>
      </c>
      <c r="BC36" s="49">
        <f t="shared" ref="BC36:BD36" si="236">SUM(AS36,AU36,AW36,AY36,BA36)</f>
        <v>278</v>
      </c>
      <c r="BD36" s="50">
        <f t="shared" si="236"/>
        <v>830</v>
      </c>
      <c r="BE36" s="68">
        <f t="shared" ref="BE36:BF36" si="237">SUM(E36,G36,I36,O36,Q36,AC36,AQ36,BC36)</f>
        <v>864</v>
      </c>
      <c r="BF36" s="69">
        <f t="shared" si="237"/>
        <v>2573</v>
      </c>
      <c r="BG36" s="46" t="str">
        <f>BF36*'ОВгП_РАО'!$B$34</f>
        <v>#REF!</v>
      </c>
      <c r="BH36" s="46" t="str">
        <f>'ОВгП_РАО'!$B$34</f>
        <v>#REF!</v>
      </c>
    </row>
    <row r="37" ht="15.75" customHeight="1">
      <c r="A37" s="80">
        <f t="shared" si="55"/>
        <v>46261</v>
      </c>
      <c r="B37" s="47" t="s">
        <v>163</v>
      </c>
      <c r="C37" s="47" t="s">
        <v>161</v>
      </c>
      <c r="D37" s="47" t="s">
        <v>145</v>
      </c>
      <c r="E37" s="73">
        <f t="shared" si="6"/>
        <v>24</v>
      </c>
      <c r="F37" s="50">
        <f t="shared" si="181"/>
        <v>71</v>
      </c>
      <c r="G37" s="73">
        <f t="shared" si="8"/>
        <v>1</v>
      </c>
      <c r="H37" s="50">
        <f t="shared" si="182"/>
        <v>3</v>
      </c>
      <c r="I37" s="73">
        <f t="shared" si="10"/>
        <v>30</v>
      </c>
      <c r="J37" s="50">
        <f t="shared" si="183"/>
        <v>88</v>
      </c>
      <c r="K37" s="53">
        <f t="shared" si="12"/>
        <v>8</v>
      </c>
      <c r="L37" s="54">
        <f t="shared" si="184"/>
        <v>22</v>
      </c>
      <c r="M37" s="53">
        <f t="shared" si="14"/>
        <v>1</v>
      </c>
      <c r="N37" s="54">
        <f t="shared" si="185"/>
        <v>2</v>
      </c>
      <c r="O37" s="49">
        <f t="shared" ref="O37:P37" si="238">SUM(K37,M37)</f>
        <v>9</v>
      </c>
      <c r="P37" s="50">
        <f t="shared" si="238"/>
        <v>24</v>
      </c>
      <c r="Q37" s="73">
        <f t="shared" si="17"/>
        <v>20</v>
      </c>
      <c r="R37" s="50">
        <f t="shared" si="187"/>
        <v>59</v>
      </c>
      <c r="S37" s="53">
        <f t="shared" si="19"/>
        <v>43</v>
      </c>
      <c r="T37" s="54">
        <f t="shared" si="188"/>
        <v>129</v>
      </c>
      <c r="U37" s="53">
        <f t="shared" si="21"/>
        <v>63</v>
      </c>
      <c r="V37" s="54">
        <f t="shared" si="189"/>
        <v>189</v>
      </c>
      <c r="W37" s="53">
        <f t="shared" si="23"/>
        <v>94</v>
      </c>
      <c r="X37" s="54">
        <f t="shared" si="190"/>
        <v>280</v>
      </c>
      <c r="Y37" s="53">
        <f t="shared" si="25"/>
        <v>75</v>
      </c>
      <c r="Z37" s="54">
        <f t="shared" si="191"/>
        <v>224</v>
      </c>
      <c r="AA37" s="53">
        <f t="shared" si="27"/>
        <v>22</v>
      </c>
      <c r="AB37" s="54">
        <f t="shared" si="192"/>
        <v>65</v>
      </c>
      <c r="AC37" s="49">
        <f t="shared" ref="AC37:AD37" si="239">SUM(S37,U37,W37,Y37,AA37)</f>
        <v>297</v>
      </c>
      <c r="AD37" s="50">
        <f t="shared" si="239"/>
        <v>887</v>
      </c>
      <c r="AE37" s="53">
        <f t="shared" si="30"/>
        <v>16</v>
      </c>
      <c r="AF37" s="54">
        <f t="shared" si="199"/>
        <v>46</v>
      </c>
      <c r="AG37" s="53">
        <f t="shared" si="32"/>
        <v>36</v>
      </c>
      <c r="AH37" s="54">
        <f t="shared" si="200"/>
        <v>108</v>
      </c>
      <c r="AI37" s="53">
        <f t="shared" si="34"/>
        <v>22</v>
      </c>
      <c r="AJ37" s="54">
        <f t="shared" si="201"/>
        <v>64</v>
      </c>
      <c r="AK37" s="53">
        <f t="shared" si="36"/>
        <v>93</v>
      </c>
      <c r="AL37" s="54">
        <f t="shared" si="202"/>
        <v>278</v>
      </c>
      <c r="AM37" s="53">
        <f t="shared" si="38"/>
        <v>40</v>
      </c>
      <c r="AN37" s="54">
        <f t="shared" si="203"/>
        <v>119</v>
      </c>
      <c r="AO37" s="53">
        <f t="shared" si="40"/>
        <v>54</v>
      </c>
      <c r="AP37" s="54">
        <f t="shared" si="204"/>
        <v>161</v>
      </c>
      <c r="AQ37" s="49">
        <f t="shared" ref="AQ37:AR37" si="240">SUM(AG37,AI37,AK37,AM37,AO37)</f>
        <v>245</v>
      </c>
      <c r="AR37" s="50">
        <f t="shared" si="240"/>
        <v>730</v>
      </c>
      <c r="AS37" s="53">
        <f t="shared" si="43"/>
        <v>96</v>
      </c>
      <c r="AT37" s="54">
        <f t="shared" si="241"/>
        <v>288</v>
      </c>
      <c r="AU37" s="53">
        <f t="shared" si="45"/>
        <v>56</v>
      </c>
      <c r="AV37" s="54">
        <f t="shared" si="242"/>
        <v>168</v>
      </c>
      <c r="AW37" s="53">
        <f t="shared" si="47"/>
        <v>14</v>
      </c>
      <c r="AX37" s="54">
        <f t="shared" si="243"/>
        <v>40</v>
      </c>
      <c r="AY37" s="53">
        <f t="shared" si="49"/>
        <v>84</v>
      </c>
      <c r="AZ37" s="54">
        <f t="shared" si="244"/>
        <v>251</v>
      </c>
      <c r="BA37" s="53">
        <f t="shared" si="51"/>
        <v>69</v>
      </c>
      <c r="BB37" s="54">
        <f t="shared" si="245"/>
        <v>206</v>
      </c>
      <c r="BC37" s="49">
        <f t="shared" ref="BC37:BD37" si="246">SUM(AS37,AU37,AW37,AY37,BA37)</f>
        <v>319</v>
      </c>
      <c r="BD37" s="50">
        <f t="shared" si="246"/>
        <v>953</v>
      </c>
      <c r="BE37" s="68">
        <f t="shared" ref="BE37:BF37" si="247">SUM(E37,G37,I37,O37,Q37,AC37,AQ37,BC37)</f>
        <v>945</v>
      </c>
      <c r="BF37" s="69">
        <f t="shared" si="247"/>
        <v>2815</v>
      </c>
      <c r="BG37" s="46" t="str">
        <f>BF37*'ОВгП_РАО'!$B$35</f>
        <v>#REF!</v>
      </c>
      <c r="BH37" s="46" t="str">
        <f>'ОВгП_РАО'!$B$35</f>
        <v>#REF!</v>
      </c>
    </row>
    <row r="38" ht="15.75" customHeight="1">
      <c r="A38" s="80">
        <f t="shared" si="55"/>
        <v>46261</v>
      </c>
      <c r="B38" s="47" t="s">
        <v>164</v>
      </c>
      <c r="C38" s="47" t="s">
        <v>161</v>
      </c>
      <c r="D38" s="47" t="s">
        <v>148</v>
      </c>
      <c r="E38" s="73">
        <f t="shared" si="6"/>
        <v>18</v>
      </c>
      <c r="F38" s="50">
        <f t="shared" si="181"/>
        <v>53</v>
      </c>
      <c r="G38" s="73">
        <f t="shared" si="8"/>
        <v>0</v>
      </c>
      <c r="H38" s="50">
        <f t="shared" si="182"/>
        <v>0</v>
      </c>
      <c r="I38" s="73">
        <f t="shared" si="10"/>
        <v>8</v>
      </c>
      <c r="J38" s="50">
        <f t="shared" si="183"/>
        <v>22</v>
      </c>
      <c r="K38" s="53">
        <f t="shared" si="12"/>
        <v>20</v>
      </c>
      <c r="L38" s="54">
        <f t="shared" si="184"/>
        <v>59</v>
      </c>
      <c r="M38" s="53">
        <f t="shared" si="14"/>
        <v>27</v>
      </c>
      <c r="N38" s="54">
        <f t="shared" si="185"/>
        <v>81</v>
      </c>
      <c r="O38" s="49">
        <f t="shared" ref="O38:P38" si="248">SUM(K38,M38)</f>
        <v>47</v>
      </c>
      <c r="P38" s="50">
        <f t="shared" si="248"/>
        <v>140</v>
      </c>
      <c r="Q38" s="73">
        <f t="shared" si="17"/>
        <v>9</v>
      </c>
      <c r="R38" s="50">
        <f t="shared" si="187"/>
        <v>26</v>
      </c>
      <c r="S38" s="53">
        <f t="shared" si="19"/>
        <v>33</v>
      </c>
      <c r="T38" s="54">
        <f t="shared" si="188"/>
        <v>97</v>
      </c>
      <c r="U38" s="53">
        <f t="shared" si="21"/>
        <v>17</v>
      </c>
      <c r="V38" s="54">
        <f t="shared" si="189"/>
        <v>50</v>
      </c>
      <c r="W38" s="53">
        <f t="shared" si="23"/>
        <v>22</v>
      </c>
      <c r="X38" s="54">
        <f t="shared" si="190"/>
        <v>64</v>
      </c>
      <c r="Y38" s="53">
        <f t="shared" si="25"/>
        <v>26</v>
      </c>
      <c r="Z38" s="54">
        <f t="shared" si="191"/>
        <v>77</v>
      </c>
      <c r="AA38" s="53">
        <f t="shared" si="27"/>
        <v>85</v>
      </c>
      <c r="AB38" s="54">
        <f t="shared" si="192"/>
        <v>253</v>
      </c>
      <c r="AC38" s="49">
        <f t="shared" ref="AC38:AD38" si="249">SUM(S38,U38,W38,Y38,AA38)</f>
        <v>183</v>
      </c>
      <c r="AD38" s="50">
        <f t="shared" si="249"/>
        <v>541</v>
      </c>
      <c r="AE38" s="53">
        <f t="shared" si="30"/>
        <v>21</v>
      </c>
      <c r="AF38" s="54">
        <f t="shared" si="199"/>
        <v>63</v>
      </c>
      <c r="AG38" s="53">
        <f t="shared" si="32"/>
        <v>12</v>
      </c>
      <c r="AH38" s="54">
        <f t="shared" si="200"/>
        <v>36</v>
      </c>
      <c r="AI38" s="53">
        <f t="shared" si="34"/>
        <v>8</v>
      </c>
      <c r="AJ38" s="54">
        <f t="shared" si="201"/>
        <v>23</v>
      </c>
      <c r="AK38" s="53">
        <f t="shared" si="36"/>
        <v>95</v>
      </c>
      <c r="AL38" s="54">
        <f t="shared" si="202"/>
        <v>284</v>
      </c>
      <c r="AM38" s="53">
        <f t="shared" si="38"/>
        <v>41</v>
      </c>
      <c r="AN38" s="54">
        <f t="shared" si="203"/>
        <v>121</v>
      </c>
      <c r="AO38" s="53">
        <f t="shared" si="40"/>
        <v>20</v>
      </c>
      <c r="AP38" s="54">
        <f t="shared" si="204"/>
        <v>60</v>
      </c>
      <c r="AQ38" s="49">
        <f t="shared" ref="AQ38:AR38" si="250">SUM(AG38,AI38,AK38,AM38,AO38)</f>
        <v>176</v>
      </c>
      <c r="AR38" s="50">
        <f t="shared" si="250"/>
        <v>524</v>
      </c>
      <c r="AS38" s="53">
        <f t="shared" si="43"/>
        <v>81</v>
      </c>
      <c r="AT38" s="54">
        <f t="shared" si="241"/>
        <v>241</v>
      </c>
      <c r="AU38" s="53">
        <f t="shared" si="45"/>
        <v>53</v>
      </c>
      <c r="AV38" s="54">
        <f t="shared" si="242"/>
        <v>158</v>
      </c>
      <c r="AW38" s="53">
        <f t="shared" si="47"/>
        <v>48</v>
      </c>
      <c r="AX38" s="54">
        <f t="shared" si="243"/>
        <v>144</v>
      </c>
      <c r="AY38" s="53">
        <f t="shared" si="49"/>
        <v>66</v>
      </c>
      <c r="AZ38" s="54">
        <f t="shared" si="244"/>
        <v>197</v>
      </c>
      <c r="BA38" s="53">
        <f t="shared" si="51"/>
        <v>59</v>
      </c>
      <c r="BB38" s="54">
        <f t="shared" si="245"/>
        <v>175</v>
      </c>
      <c r="BC38" s="49">
        <f t="shared" ref="BC38:BD38" si="251">SUM(AS38,AU38,AW38,AY38,BA38)</f>
        <v>307</v>
      </c>
      <c r="BD38" s="50">
        <f t="shared" si="251"/>
        <v>915</v>
      </c>
      <c r="BE38" s="68">
        <f t="shared" ref="BE38:BF38" si="252">SUM(E38,G38,I38,O38,Q38,AC38,AQ38,BC38)</f>
        <v>748</v>
      </c>
      <c r="BF38" s="69">
        <f t="shared" si="252"/>
        <v>2221</v>
      </c>
      <c r="BG38" s="46" t="str">
        <f>BF38*'ОВгП_РАО'!$B$36</f>
        <v>#REF!</v>
      </c>
      <c r="BH38" s="46" t="str">
        <f>'ОВгП_РАО'!B36</f>
        <v>#REF!</v>
      </c>
    </row>
    <row r="39" ht="15.75" customHeight="1">
      <c r="A39" s="161"/>
      <c r="B39" s="162"/>
      <c r="C39" s="162"/>
      <c r="D39" s="162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2"/>
      <c r="BG39" s="43"/>
      <c r="BH39" s="43"/>
      <c r="BI39" s="43"/>
      <c r="BJ39" s="43"/>
      <c r="BK39" s="43"/>
      <c r="BL39" s="43"/>
    </row>
    <row r="40" ht="15.75" customHeight="1">
      <c r="A40" s="44">
        <f>A38+1</f>
        <v>46262</v>
      </c>
      <c r="B40" s="163" t="s">
        <v>95</v>
      </c>
      <c r="C40" s="46" t="s">
        <v>96</v>
      </c>
      <c r="D40" s="47" t="s">
        <v>98</v>
      </c>
      <c r="E40" s="49">
        <f t="shared" ref="E40:E74" si="258">ROUNDUP(F40/3,0)</f>
        <v>1</v>
      </c>
      <c r="F40" s="50">
        <f t="shared" ref="F40:F65" si="259">RANDBETWEEN(0,4)</f>
        <v>3</v>
      </c>
      <c r="G40" s="49">
        <f t="shared" ref="G40:G74" si="260">ROUNDUP(H40/3,0)</f>
        <v>1</v>
      </c>
      <c r="H40" s="50">
        <f t="shared" ref="H40:H65" si="261">RANDBETWEEN(0,4)</f>
        <v>3</v>
      </c>
      <c r="I40" s="49">
        <f t="shared" ref="I40:I74" si="262">ROUNDUP(J40/3,0)</f>
        <v>1</v>
      </c>
      <c r="J40" s="50">
        <f t="shared" ref="J40:J65" si="263">RANDBETWEEN(0,4)</f>
        <v>3</v>
      </c>
      <c r="K40" s="53">
        <f t="shared" ref="K40:K74" si="264">ROUNDUP(L40/3,0)</f>
        <v>1</v>
      </c>
      <c r="L40" s="54">
        <f t="shared" ref="L40:L65" si="265">RANDBETWEEN(0,4)</f>
        <v>2</v>
      </c>
      <c r="M40" s="53">
        <f t="shared" ref="M40:M74" si="266">ROUNDUP(N40/3,0)</f>
        <v>2</v>
      </c>
      <c r="N40" s="54">
        <f t="shared" ref="N40:N65" si="267">RANDBETWEEN(0,4)</f>
        <v>4</v>
      </c>
      <c r="O40" s="49">
        <f t="shared" ref="O40:P40" si="253">SUM(K40,M40)</f>
        <v>3</v>
      </c>
      <c r="P40" s="50">
        <f t="shared" si="253"/>
        <v>6</v>
      </c>
      <c r="Q40" s="49">
        <f t="shared" ref="Q40:Q74" si="269">ROUNDUP(R40/3,0)</f>
        <v>1</v>
      </c>
      <c r="R40" s="50">
        <f t="shared" ref="R40:R65" si="270">RANDBETWEEN(0,4)</f>
        <v>3</v>
      </c>
      <c r="S40" s="53">
        <f t="shared" ref="S40:S74" si="271">ROUNDUP(T40/3,0)</f>
        <v>2</v>
      </c>
      <c r="T40" s="54">
        <f t="shared" ref="T40:T65" si="272">RANDBETWEEN(0,4)</f>
        <v>4</v>
      </c>
      <c r="U40" s="53">
        <f t="shared" ref="U40:U74" si="273">ROUNDUP(V40/3,0)</f>
        <v>1</v>
      </c>
      <c r="V40" s="54">
        <f t="shared" ref="V40:V65" si="274">RANDBETWEEN(0,4)</f>
        <v>3</v>
      </c>
      <c r="W40" s="53">
        <f t="shared" ref="W40:W74" si="275">ROUNDUP(X40/3,0)</f>
        <v>1</v>
      </c>
      <c r="X40" s="54">
        <f t="shared" ref="X40:X65" si="276">RANDBETWEEN(0,4)</f>
        <v>3</v>
      </c>
      <c r="Y40" s="53">
        <f t="shared" ref="Y40:Y74" si="277">ROUNDUP(Z40/3,0)</f>
        <v>0</v>
      </c>
      <c r="Z40" s="54">
        <f t="shared" ref="Z40:Z65" si="278">RANDBETWEEN(0,4)</f>
        <v>0</v>
      </c>
      <c r="AA40" s="53">
        <f t="shared" ref="AA40:AA74" si="279">ROUNDUP(AB40/3,0)</f>
        <v>1</v>
      </c>
      <c r="AB40" s="54">
        <f t="shared" ref="AB40:AB65" si="280">RANDBETWEEN(0,4)</f>
        <v>3</v>
      </c>
      <c r="AC40" s="49">
        <f t="shared" ref="AC40:AD40" si="254">SUM(S40,U40,W40,Y40,AA40)</f>
        <v>5</v>
      </c>
      <c r="AD40" s="50">
        <f t="shared" si="254"/>
        <v>13</v>
      </c>
      <c r="AE40" s="53">
        <f t="shared" ref="AE40:AE74" si="282">ROUNDUP(AF40/3,0)</f>
        <v>0</v>
      </c>
      <c r="AF40" s="54">
        <f t="shared" ref="AF40:AF65" si="283">RANDBETWEEN(0,4)</f>
        <v>0</v>
      </c>
      <c r="AG40" s="53">
        <f t="shared" ref="AG40:AG74" si="284">ROUNDUP(AH40/3,0)</f>
        <v>1</v>
      </c>
      <c r="AH40" s="54">
        <f t="shared" ref="AH40:AH65" si="285">RANDBETWEEN(0,4)</f>
        <v>2</v>
      </c>
      <c r="AI40" s="53">
        <f t="shared" ref="AI40:AI74" si="286">ROUNDUP(AJ40/3,0)</f>
        <v>1</v>
      </c>
      <c r="AJ40" s="54">
        <f t="shared" ref="AJ40:AJ65" si="287">RANDBETWEEN(0,4)</f>
        <v>1</v>
      </c>
      <c r="AK40" s="53">
        <f t="shared" ref="AK40:AK74" si="288">ROUNDUP(AL40/3,0)</f>
        <v>1</v>
      </c>
      <c r="AL40" s="54">
        <f t="shared" ref="AL40:AL65" si="289">RANDBETWEEN(0,4)</f>
        <v>1</v>
      </c>
      <c r="AM40" s="53">
        <f t="shared" ref="AM40:AM74" si="290">ROUNDUP(AN40/3,0)</f>
        <v>1</v>
      </c>
      <c r="AN40" s="54">
        <f t="shared" ref="AN40:AN65" si="291">RANDBETWEEN(0,4)</f>
        <v>2</v>
      </c>
      <c r="AO40" s="53">
        <f t="shared" ref="AO40:AO74" si="292">ROUNDUP(AP40/3,0)</f>
        <v>0</v>
      </c>
      <c r="AP40" s="54">
        <f t="shared" ref="AP40:AP65" si="293">RANDBETWEEN(0,4)</f>
        <v>0</v>
      </c>
      <c r="AQ40" s="49">
        <f t="shared" ref="AQ40:AR40" si="255">SUM(AG40,AI40,AK40,AM40,AO40)</f>
        <v>4</v>
      </c>
      <c r="AR40" s="50">
        <f t="shared" si="255"/>
        <v>6</v>
      </c>
      <c r="AS40" s="53">
        <f t="shared" ref="AS40:AS74" si="295">ROUNDUP(AT40/3,0)</f>
        <v>1</v>
      </c>
      <c r="AT40" s="54">
        <f t="shared" ref="AT40:AT65" si="296">RANDBETWEEN(0,4)</f>
        <v>2</v>
      </c>
      <c r="AU40" s="53">
        <f t="shared" ref="AU40:AU74" si="297">ROUNDUP(AV40/3,0)</f>
        <v>0</v>
      </c>
      <c r="AV40" s="54">
        <f t="shared" ref="AV40:AV65" si="298">RANDBETWEEN(0,4)</f>
        <v>0</v>
      </c>
      <c r="AW40" s="53">
        <f t="shared" ref="AW40:AW74" si="299">ROUNDUP(AX40/3,0)</f>
        <v>1</v>
      </c>
      <c r="AX40" s="54">
        <f t="shared" ref="AX40:AX65" si="300">RANDBETWEEN(0,4)</f>
        <v>2</v>
      </c>
      <c r="AY40" s="53">
        <f t="shared" ref="AY40:AY74" si="301">ROUNDUP(AZ40/3,0)</f>
        <v>1</v>
      </c>
      <c r="AZ40" s="54">
        <f t="shared" ref="AZ40:AZ65" si="302">RANDBETWEEN(0,4)</f>
        <v>3</v>
      </c>
      <c r="BA40" s="53">
        <f t="shared" ref="BA40:BA74" si="303">ROUNDUP(BB40/3,0)</f>
        <v>1</v>
      </c>
      <c r="BB40" s="54">
        <f t="shared" ref="BB40:BB65" si="304">RANDBETWEEN(0,4)</f>
        <v>2</v>
      </c>
      <c r="BC40" s="49">
        <f t="shared" ref="BC40:BD40" si="256">SUM(AS40,AU40,AW40,AY40,BA40)</f>
        <v>4</v>
      </c>
      <c r="BD40" s="50">
        <f t="shared" si="256"/>
        <v>9</v>
      </c>
      <c r="BE40" s="68">
        <f t="shared" ref="BE40:BF40" si="257">SUM(E40,G40,I40,O40,Q40,AC40,AQ40,BC40)</f>
        <v>20</v>
      </c>
      <c r="BF40" s="69">
        <f t="shared" si="257"/>
        <v>46</v>
      </c>
      <c r="BG40" s="46" t="str">
        <f>BF40*'ОВгП_РАО'!$B$2</f>
        <v>#REF!</v>
      </c>
      <c r="BH40" s="46" t="str">
        <f>'ОВгП_РАО'!$B$2</f>
        <v>#REF!</v>
      </c>
    </row>
    <row r="41" ht="15.75" customHeight="1">
      <c r="A41" s="71">
        <f t="shared" ref="A41:A74" si="307">A40</f>
        <v>46262</v>
      </c>
      <c r="B41" s="45" t="s">
        <v>115</v>
      </c>
      <c r="C41" s="46" t="s">
        <v>96</v>
      </c>
      <c r="D41" s="47" t="s">
        <v>98</v>
      </c>
      <c r="E41" s="73">
        <f t="shared" si="258"/>
        <v>1</v>
      </c>
      <c r="F41" s="50">
        <f t="shared" si="259"/>
        <v>3</v>
      </c>
      <c r="G41" s="73">
        <f t="shared" si="260"/>
        <v>0</v>
      </c>
      <c r="H41" s="50">
        <f t="shared" si="261"/>
        <v>0</v>
      </c>
      <c r="I41" s="73">
        <f t="shared" si="262"/>
        <v>2</v>
      </c>
      <c r="J41" s="50">
        <f t="shared" si="263"/>
        <v>4</v>
      </c>
      <c r="K41" s="53">
        <f t="shared" si="264"/>
        <v>1</v>
      </c>
      <c r="L41" s="54">
        <f t="shared" si="265"/>
        <v>2</v>
      </c>
      <c r="M41" s="53">
        <f t="shared" si="266"/>
        <v>0</v>
      </c>
      <c r="N41" s="54">
        <f t="shared" si="267"/>
        <v>0</v>
      </c>
      <c r="O41" s="49">
        <f t="shared" ref="O41:P41" si="268">SUM(K41,M41)</f>
        <v>1</v>
      </c>
      <c r="P41" s="50">
        <f t="shared" si="268"/>
        <v>2</v>
      </c>
      <c r="Q41" s="73">
        <f t="shared" si="269"/>
        <v>2</v>
      </c>
      <c r="R41" s="50">
        <f t="shared" si="270"/>
        <v>4</v>
      </c>
      <c r="S41" s="53">
        <f t="shared" si="271"/>
        <v>2</v>
      </c>
      <c r="T41" s="54">
        <f t="shared" si="272"/>
        <v>4</v>
      </c>
      <c r="U41" s="53">
        <f t="shared" si="273"/>
        <v>2</v>
      </c>
      <c r="V41" s="54">
        <f t="shared" si="274"/>
        <v>4</v>
      </c>
      <c r="W41" s="53">
        <f t="shared" si="275"/>
        <v>0</v>
      </c>
      <c r="X41" s="54">
        <f t="shared" si="276"/>
        <v>0</v>
      </c>
      <c r="Y41" s="53">
        <f t="shared" si="277"/>
        <v>2</v>
      </c>
      <c r="Z41" s="54">
        <f t="shared" si="278"/>
        <v>4</v>
      </c>
      <c r="AA41" s="53">
        <f t="shared" si="279"/>
        <v>1</v>
      </c>
      <c r="AB41" s="54">
        <f t="shared" si="280"/>
        <v>1</v>
      </c>
      <c r="AC41" s="49">
        <f t="shared" ref="AC41:AD41" si="281">SUM(S41,U41,W41,Y41,AA41)</f>
        <v>7</v>
      </c>
      <c r="AD41" s="50">
        <f t="shared" si="281"/>
        <v>13</v>
      </c>
      <c r="AE41" s="53">
        <f t="shared" si="282"/>
        <v>1</v>
      </c>
      <c r="AF41" s="54">
        <f t="shared" si="283"/>
        <v>1</v>
      </c>
      <c r="AG41" s="53">
        <f t="shared" si="284"/>
        <v>1</v>
      </c>
      <c r="AH41" s="54">
        <f t="shared" si="285"/>
        <v>3</v>
      </c>
      <c r="AI41" s="53">
        <f t="shared" si="286"/>
        <v>1</v>
      </c>
      <c r="AJ41" s="54">
        <f t="shared" si="287"/>
        <v>3</v>
      </c>
      <c r="AK41" s="53">
        <f t="shared" si="288"/>
        <v>2</v>
      </c>
      <c r="AL41" s="54">
        <f t="shared" si="289"/>
        <v>4</v>
      </c>
      <c r="AM41" s="53">
        <f t="shared" si="290"/>
        <v>1</v>
      </c>
      <c r="AN41" s="54">
        <f t="shared" si="291"/>
        <v>2</v>
      </c>
      <c r="AO41" s="53">
        <f t="shared" si="292"/>
        <v>1</v>
      </c>
      <c r="AP41" s="54">
        <f t="shared" si="293"/>
        <v>1</v>
      </c>
      <c r="AQ41" s="49">
        <f t="shared" ref="AQ41:AR41" si="294">SUM(AG41,AI41,AK41,AM41,AO41)</f>
        <v>6</v>
      </c>
      <c r="AR41" s="50">
        <f t="shared" si="294"/>
        <v>13</v>
      </c>
      <c r="AS41" s="53">
        <f t="shared" si="295"/>
        <v>1</v>
      </c>
      <c r="AT41" s="54">
        <f t="shared" si="296"/>
        <v>1</v>
      </c>
      <c r="AU41" s="53">
        <f t="shared" si="297"/>
        <v>1</v>
      </c>
      <c r="AV41" s="54">
        <f t="shared" si="298"/>
        <v>3</v>
      </c>
      <c r="AW41" s="53">
        <f t="shared" si="299"/>
        <v>0</v>
      </c>
      <c r="AX41" s="54">
        <f t="shared" si="300"/>
        <v>0</v>
      </c>
      <c r="AY41" s="53">
        <f t="shared" si="301"/>
        <v>1</v>
      </c>
      <c r="AZ41" s="54">
        <f t="shared" si="302"/>
        <v>2</v>
      </c>
      <c r="BA41" s="53">
        <f t="shared" si="303"/>
        <v>1</v>
      </c>
      <c r="BB41" s="54">
        <f t="shared" si="304"/>
        <v>3</v>
      </c>
      <c r="BC41" s="49">
        <f t="shared" ref="BC41:BD41" si="305">SUM(AS41,AU41,AW41,AY41,BA41)</f>
        <v>4</v>
      </c>
      <c r="BD41" s="50">
        <f t="shared" si="305"/>
        <v>9</v>
      </c>
      <c r="BE41" s="68">
        <f t="shared" ref="BE41:BF41" si="306">SUM(E41,G41,I41,O41,Q41,AC41,AQ41,BC41)</f>
        <v>23</v>
      </c>
      <c r="BF41" s="69">
        <f t="shared" si="306"/>
        <v>48</v>
      </c>
      <c r="BG41" s="46" t="str">
        <f>BF41*'ОВгП_РАО'!$B$3</f>
        <v>#REF!</v>
      </c>
      <c r="BH41" s="46" t="str">
        <f>'ОВгП_РАО'!$B$3</f>
        <v>#REF!</v>
      </c>
    </row>
    <row r="42" ht="15.75" customHeight="1">
      <c r="A42" s="80">
        <f t="shared" si="307"/>
        <v>46262</v>
      </c>
      <c r="B42" s="45" t="s">
        <v>116</v>
      </c>
      <c r="C42" s="46" t="s">
        <v>96</v>
      </c>
      <c r="D42" s="47" t="s">
        <v>98</v>
      </c>
      <c r="E42" s="73">
        <f t="shared" si="258"/>
        <v>2</v>
      </c>
      <c r="F42" s="50">
        <f t="shared" si="259"/>
        <v>4</v>
      </c>
      <c r="G42" s="73">
        <f t="shared" si="260"/>
        <v>1</v>
      </c>
      <c r="H42" s="50">
        <f t="shared" si="261"/>
        <v>1</v>
      </c>
      <c r="I42" s="73">
        <f t="shared" si="262"/>
        <v>2</v>
      </c>
      <c r="J42" s="50">
        <f t="shared" si="263"/>
        <v>4</v>
      </c>
      <c r="K42" s="53">
        <f t="shared" si="264"/>
        <v>1</v>
      </c>
      <c r="L42" s="54">
        <f t="shared" si="265"/>
        <v>1</v>
      </c>
      <c r="M42" s="53">
        <f t="shared" si="266"/>
        <v>2</v>
      </c>
      <c r="N42" s="54">
        <f t="shared" si="267"/>
        <v>4</v>
      </c>
      <c r="O42" s="49">
        <f t="shared" ref="O42:P42" si="308">SUM(K42,M42)</f>
        <v>3</v>
      </c>
      <c r="P42" s="50">
        <f t="shared" si="308"/>
        <v>5</v>
      </c>
      <c r="Q42" s="73">
        <f t="shared" si="269"/>
        <v>2</v>
      </c>
      <c r="R42" s="50">
        <f t="shared" si="270"/>
        <v>4</v>
      </c>
      <c r="S42" s="53">
        <f t="shared" si="271"/>
        <v>2</v>
      </c>
      <c r="T42" s="54">
        <f t="shared" si="272"/>
        <v>4</v>
      </c>
      <c r="U42" s="53">
        <f t="shared" si="273"/>
        <v>1</v>
      </c>
      <c r="V42" s="54">
        <f t="shared" si="274"/>
        <v>1</v>
      </c>
      <c r="W42" s="53">
        <f t="shared" si="275"/>
        <v>2</v>
      </c>
      <c r="X42" s="54">
        <f t="shared" si="276"/>
        <v>4</v>
      </c>
      <c r="Y42" s="53">
        <f t="shared" si="277"/>
        <v>2</v>
      </c>
      <c r="Z42" s="54">
        <f t="shared" si="278"/>
        <v>4</v>
      </c>
      <c r="AA42" s="53">
        <f t="shared" si="279"/>
        <v>1</v>
      </c>
      <c r="AB42" s="54">
        <f t="shared" si="280"/>
        <v>3</v>
      </c>
      <c r="AC42" s="49">
        <f t="shared" ref="AC42:AD42" si="309">SUM(S42,U42,W42,Y42,AA42)</f>
        <v>8</v>
      </c>
      <c r="AD42" s="50">
        <f t="shared" si="309"/>
        <v>16</v>
      </c>
      <c r="AE42" s="53">
        <f t="shared" si="282"/>
        <v>1</v>
      </c>
      <c r="AF42" s="54">
        <f t="shared" si="283"/>
        <v>2</v>
      </c>
      <c r="AG42" s="53">
        <f t="shared" si="284"/>
        <v>0</v>
      </c>
      <c r="AH42" s="54">
        <f t="shared" si="285"/>
        <v>0</v>
      </c>
      <c r="AI42" s="53">
        <f t="shared" si="286"/>
        <v>1</v>
      </c>
      <c r="AJ42" s="54">
        <f t="shared" si="287"/>
        <v>2</v>
      </c>
      <c r="AK42" s="53">
        <f t="shared" si="288"/>
        <v>2</v>
      </c>
      <c r="AL42" s="54">
        <f t="shared" si="289"/>
        <v>4</v>
      </c>
      <c r="AM42" s="53">
        <f t="shared" si="290"/>
        <v>1</v>
      </c>
      <c r="AN42" s="54">
        <f t="shared" si="291"/>
        <v>1</v>
      </c>
      <c r="AO42" s="53">
        <f t="shared" si="292"/>
        <v>1</v>
      </c>
      <c r="AP42" s="54">
        <f t="shared" si="293"/>
        <v>2</v>
      </c>
      <c r="AQ42" s="49">
        <f t="shared" ref="AQ42:AR42" si="310">SUM(AG42,AI42,AK42,AM42,AO42)</f>
        <v>5</v>
      </c>
      <c r="AR42" s="50">
        <f t="shared" si="310"/>
        <v>9</v>
      </c>
      <c r="AS42" s="53">
        <f t="shared" si="295"/>
        <v>1</v>
      </c>
      <c r="AT42" s="54">
        <f t="shared" si="296"/>
        <v>3</v>
      </c>
      <c r="AU42" s="53">
        <f t="shared" si="297"/>
        <v>1</v>
      </c>
      <c r="AV42" s="54">
        <f t="shared" si="298"/>
        <v>3</v>
      </c>
      <c r="AW42" s="53">
        <f t="shared" si="299"/>
        <v>1</v>
      </c>
      <c r="AX42" s="54">
        <f t="shared" si="300"/>
        <v>2</v>
      </c>
      <c r="AY42" s="53">
        <f t="shared" si="301"/>
        <v>1</v>
      </c>
      <c r="AZ42" s="54">
        <f t="shared" si="302"/>
        <v>1</v>
      </c>
      <c r="BA42" s="53">
        <f t="shared" si="303"/>
        <v>2</v>
      </c>
      <c r="BB42" s="54">
        <f t="shared" si="304"/>
        <v>4</v>
      </c>
      <c r="BC42" s="49">
        <f t="shared" ref="BC42:BD42" si="311">SUM(AS42,AU42,AW42,AY42,BA42)</f>
        <v>6</v>
      </c>
      <c r="BD42" s="50">
        <f t="shared" si="311"/>
        <v>13</v>
      </c>
      <c r="BE42" s="68">
        <f t="shared" ref="BE42:BF42" si="312">SUM(E42,G42,I42,O42,Q42,AC42,AQ42,BC42)</f>
        <v>29</v>
      </c>
      <c r="BF42" s="69">
        <f t="shared" si="312"/>
        <v>56</v>
      </c>
      <c r="BG42" s="46" t="str">
        <f>BF42*'ОВгП_РАО'!$B$4</f>
        <v>#REF!</v>
      </c>
      <c r="BH42" s="46" t="str">
        <f>'ОВгП_РАО'!$B$4</f>
        <v>#REF!</v>
      </c>
    </row>
    <row r="43" ht="15.75" customHeight="1">
      <c r="A43" s="80">
        <f t="shared" si="307"/>
        <v>46262</v>
      </c>
      <c r="B43" s="45" t="s">
        <v>117</v>
      </c>
      <c r="C43" s="46" t="s">
        <v>96</v>
      </c>
      <c r="D43" s="47" t="s">
        <v>98</v>
      </c>
      <c r="E43" s="73">
        <f t="shared" si="258"/>
        <v>1</v>
      </c>
      <c r="F43" s="50">
        <f t="shared" si="259"/>
        <v>1</v>
      </c>
      <c r="G43" s="73">
        <f t="shared" si="260"/>
        <v>1</v>
      </c>
      <c r="H43" s="50">
        <f t="shared" si="261"/>
        <v>3</v>
      </c>
      <c r="I43" s="73">
        <f t="shared" si="262"/>
        <v>0</v>
      </c>
      <c r="J43" s="50">
        <f t="shared" si="263"/>
        <v>0</v>
      </c>
      <c r="K43" s="53">
        <f t="shared" si="264"/>
        <v>1</v>
      </c>
      <c r="L43" s="54">
        <f t="shared" si="265"/>
        <v>3</v>
      </c>
      <c r="M43" s="53">
        <f t="shared" si="266"/>
        <v>0</v>
      </c>
      <c r="N43" s="54">
        <f t="shared" si="267"/>
        <v>0</v>
      </c>
      <c r="O43" s="49">
        <f t="shared" ref="O43:P43" si="313">SUM(K43,M43)</f>
        <v>1</v>
      </c>
      <c r="P43" s="50">
        <f t="shared" si="313"/>
        <v>3</v>
      </c>
      <c r="Q43" s="73">
        <f t="shared" si="269"/>
        <v>1</v>
      </c>
      <c r="R43" s="50">
        <f t="shared" si="270"/>
        <v>1</v>
      </c>
      <c r="S43" s="53">
        <f t="shared" si="271"/>
        <v>1</v>
      </c>
      <c r="T43" s="54">
        <f t="shared" si="272"/>
        <v>2</v>
      </c>
      <c r="U43" s="53">
        <f t="shared" si="273"/>
        <v>2</v>
      </c>
      <c r="V43" s="54">
        <f t="shared" si="274"/>
        <v>4</v>
      </c>
      <c r="W43" s="53">
        <f t="shared" si="275"/>
        <v>0</v>
      </c>
      <c r="X43" s="54">
        <f t="shared" si="276"/>
        <v>0</v>
      </c>
      <c r="Y43" s="53">
        <f t="shared" si="277"/>
        <v>0</v>
      </c>
      <c r="Z43" s="54">
        <f t="shared" si="278"/>
        <v>0</v>
      </c>
      <c r="AA43" s="53">
        <f t="shared" si="279"/>
        <v>1</v>
      </c>
      <c r="AB43" s="54">
        <f t="shared" si="280"/>
        <v>1</v>
      </c>
      <c r="AC43" s="49">
        <f t="shared" ref="AC43:AD43" si="314">SUM(S43,U43,W43,Y43,AA43)</f>
        <v>4</v>
      </c>
      <c r="AD43" s="50">
        <f t="shared" si="314"/>
        <v>7</v>
      </c>
      <c r="AE43" s="53">
        <f t="shared" si="282"/>
        <v>0</v>
      </c>
      <c r="AF43" s="54">
        <f t="shared" si="283"/>
        <v>0</v>
      </c>
      <c r="AG43" s="53">
        <f t="shared" si="284"/>
        <v>0</v>
      </c>
      <c r="AH43" s="54">
        <f t="shared" si="285"/>
        <v>0</v>
      </c>
      <c r="AI43" s="53">
        <f t="shared" si="286"/>
        <v>0</v>
      </c>
      <c r="AJ43" s="54">
        <f t="shared" si="287"/>
        <v>0</v>
      </c>
      <c r="AK43" s="53">
        <f t="shared" si="288"/>
        <v>0</v>
      </c>
      <c r="AL43" s="54">
        <f t="shared" si="289"/>
        <v>0</v>
      </c>
      <c r="AM43" s="53">
        <f t="shared" si="290"/>
        <v>1</v>
      </c>
      <c r="AN43" s="54">
        <f t="shared" si="291"/>
        <v>2</v>
      </c>
      <c r="AO43" s="53">
        <f t="shared" si="292"/>
        <v>1</v>
      </c>
      <c r="AP43" s="54">
        <f t="shared" si="293"/>
        <v>2</v>
      </c>
      <c r="AQ43" s="49">
        <f t="shared" ref="AQ43:AR43" si="315">SUM(AG43,AI43,AK43,AM43,AO43)</f>
        <v>2</v>
      </c>
      <c r="AR43" s="50">
        <f t="shared" si="315"/>
        <v>4</v>
      </c>
      <c r="AS43" s="53">
        <f t="shared" si="295"/>
        <v>1</v>
      </c>
      <c r="AT43" s="54">
        <f t="shared" si="296"/>
        <v>2</v>
      </c>
      <c r="AU43" s="53">
        <f t="shared" si="297"/>
        <v>2</v>
      </c>
      <c r="AV43" s="54">
        <f t="shared" si="298"/>
        <v>4</v>
      </c>
      <c r="AW43" s="53">
        <f t="shared" si="299"/>
        <v>0</v>
      </c>
      <c r="AX43" s="54">
        <f t="shared" si="300"/>
        <v>0</v>
      </c>
      <c r="AY43" s="53">
        <f t="shared" si="301"/>
        <v>1</v>
      </c>
      <c r="AZ43" s="54">
        <f t="shared" si="302"/>
        <v>3</v>
      </c>
      <c r="BA43" s="53">
        <f t="shared" si="303"/>
        <v>2</v>
      </c>
      <c r="BB43" s="54">
        <f t="shared" si="304"/>
        <v>4</v>
      </c>
      <c r="BC43" s="49">
        <f t="shared" ref="BC43:BD43" si="316">SUM(AS43,AU43,AW43,AY43,BA43)</f>
        <v>6</v>
      </c>
      <c r="BD43" s="50">
        <f t="shared" si="316"/>
        <v>13</v>
      </c>
      <c r="BE43" s="68">
        <f t="shared" ref="BE43:BF43" si="317">SUM(E43,G43,I43,O43,Q43,AC43,AQ43,BC43)</f>
        <v>16</v>
      </c>
      <c r="BF43" s="69">
        <f t="shared" si="317"/>
        <v>32</v>
      </c>
      <c r="BG43" s="46" t="str">
        <f>BF43*'ОВгП_РАО'!$B$5</f>
        <v>#REF!</v>
      </c>
      <c r="BH43" s="46" t="str">
        <f>'ОВгП_РАО'!$B$5</f>
        <v>#REF!</v>
      </c>
    </row>
    <row r="44" ht="15.75" customHeight="1">
      <c r="A44" s="80">
        <f t="shared" si="307"/>
        <v>46262</v>
      </c>
      <c r="B44" s="45" t="s">
        <v>118</v>
      </c>
      <c r="C44" s="45" t="s">
        <v>96</v>
      </c>
      <c r="D44" s="47" t="s">
        <v>98</v>
      </c>
      <c r="E44" s="73">
        <f t="shared" si="258"/>
        <v>1</v>
      </c>
      <c r="F44" s="50">
        <f t="shared" si="259"/>
        <v>3</v>
      </c>
      <c r="G44" s="73">
        <f t="shared" si="260"/>
        <v>1</v>
      </c>
      <c r="H44" s="50">
        <f t="shared" si="261"/>
        <v>3</v>
      </c>
      <c r="I44" s="73">
        <f t="shared" si="262"/>
        <v>2</v>
      </c>
      <c r="J44" s="50">
        <f t="shared" si="263"/>
        <v>4</v>
      </c>
      <c r="K44" s="53">
        <f t="shared" si="264"/>
        <v>1</v>
      </c>
      <c r="L44" s="54">
        <f t="shared" si="265"/>
        <v>3</v>
      </c>
      <c r="M44" s="53">
        <f t="shared" si="266"/>
        <v>2</v>
      </c>
      <c r="N44" s="54">
        <f t="shared" si="267"/>
        <v>4</v>
      </c>
      <c r="O44" s="49">
        <f t="shared" ref="O44:P44" si="318">SUM(K44,M44)</f>
        <v>3</v>
      </c>
      <c r="P44" s="50">
        <f t="shared" si="318"/>
        <v>7</v>
      </c>
      <c r="Q44" s="73">
        <f t="shared" si="269"/>
        <v>0</v>
      </c>
      <c r="R44" s="50">
        <f t="shared" si="270"/>
        <v>0</v>
      </c>
      <c r="S44" s="53">
        <f t="shared" si="271"/>
        <v>0</v>
      </c>
      <c r="T44" s="54">
        <f t="shared" si="272"/>
        <v>0</v>
      </c>
      <c r="U44" s="53">
        <f t="shared" si="273"/>
        <v>1</v>
      </c>
      <c r="V44" s="54">
        <f t="shared" si="274"/>
        <v>2</v>
      </c>
      <c r="W44" s="53">
        <f t="shared" si="275"/>
        <v>1</v>
      </c>
      <c r="X44" s="54">
        <f t="shared" si="276"/>
        <v>2</v>
      </c>
      <c r="Y44" s="53">
        <f t="shared" si="277"/>
        <v>0</v>
      </c>
      <c r="Z44" s="54">
        <f t="shared" si="278"/>
        <v>0</v>
      </c>
      <c r="AA44" s="53">
        <f t="shared" si="279"/>
        <v>2</v>
      </c>
      <c r="AB44" s="54">
        <f t="shared" si="280"/>
        <v>4</v>
      </c>
      <c r="AC44" s="49">
        <f t="shared" ref="AC44:AD44" si="319">SUM(S44,U44,W44,Y44,AA44)</f>
        <v>4</v>
      </c>
      <c r="AD44" s="50">
        <f t="shared" si="319"/>
        <v>8</v>
      </c>
      <c r="AE44" s="53">
        <f t="shared" si="282"/>
        <v>1</v>
      </c>
      <c r="AF44" s="54">
        <f t="shared" si="283"/>
        <v>3</v>
      </c>
      <c r="AG44" s="53">
        <f t="shared" si="284"/>
        <v>2</v>
      </c>
      <c r="AH44" s="54">
        <f t="shared" si="285"/>
        <v>4</v>
      </c>
      <c r="AI44" s="53">
        <f t="shared" si="286"/>
        <v>1</v>
      </c>
      <c r="AJ44" s="54">
        <f t="shared" si="287"/>
        <v>3</v>
      </c>
      <c r="AK44" s="53">
        <f t="shared" si="288"/>
        <v>1</v>
      </c>
      <c r="AL44" s="54">
        <f t="shared" si="289"/>
        <v>1</v>
      </c>
      <c r="AM44" s="53">
        <f t="shared" si="290"/>
        <v>2</v>
      </c>
      <c r="AN44" s="54">
        <f t="shared" si="291"/>
        <v>4</v>
      </c>
      <c r="AO44" s="53">
        <f t="shared" si="292"/>
        <v>1</v>
      </c>
      <c r="AP44" s="54">
        <f t="shared" si="293"/>
        <v>3</v>
      </c>
      <c r="AQ44" s="49">
        <f t="shared" ref="AQ44:AR44" si="320">SUM(AG44,AI44,AK44,AM44,AO44)</f>
        <v>7</v>
      </c>
      <c r="AR44" s="50">
        <f t="shared" si="320"/>
        <v>15</v>
      </c>
      <c r="AS44" s="53">
        <f t="shared" si="295"/>
        <v>2</v>
      </c>
      <c r="AT44" s="54">
        <f t="shared" si="296"/>
        <v>4</v>
      </c>
      <c r="AU44" s="53">
        <f t="shared" si="297"/>
        <v>1</v>
      </c>
      <c r="AV44" s="54">
        <f t="shared" si="298"/>
        <v>3</v>
      </c>
      <c r="AW44" s="53">
        <f t="shared" si="299"/>
        <v>1</v>
      </c>
      <c r="AX44" s="54">
        <f t="shared" si="300"/>
        <v>2</v>
      </c>
      <c r="AY44" s="53">
        <f t="shared" si="301"/>
        <v>2</v>
      </c>
      <c r="AZ44" s="54">
        <f t="shared" si="302"/>
        <v>4</v>
      </c>
      <c r="BA44" s="53">
        <f t="shared" si="303"/>
        <v>1</v>
      </c>
      <c r="BB44" s="54">
        <f t="shared" si="304"/>
        <v>2</v>
      </c>
      <c r="BC44" s="49">
        <f t="shared" ref="BC44:BD44" si="321">SUM(AS44,AU44,AW44,AY44,BA44)</f>
        <v>7</v>
      </c>
      <c r="BD44" s="50">
        <f t="shared" si="321"/>
        <v>15</v>
      </c>
      <c r="BE44" s="68">
        <f t="shared" ref="BE44:BF44" si="322">SUM(E44,G44,I44,O44,Q44,AC44,AQ44,BC44)</f>
        <v>25</v>
      </c>
      <c r="BF44" s="69">
        <f t="shared" si="322"/>
        <v>55</v>
      </c>
      <c r="BG44" s="46" t="str">
        <f>BF44*'ОВгП_РАО'!$B$6</f>
        <v>#REF!</v>
      </c>
      <c r="BH44" s="46" t="str">
        <f>'ОВгП_РАО'!$B$6</f>
        <v>#REF!</v>
      </c>
    </row>
    <row r="45" ht="15.75" customHeight="1">
      <c r="A45" s="80">
        <f t="shared" si="307"/>
        <v>46262</v>
      </c>
      <c r="B45" s="46" t="s">
        <v>119</v>
      </c>
      <c r="C45" s="45" t="s">
        <v>96</v>
      </c>
      <c r="D45" s="47" t="s">
        <v>120</v>
      </c>
      <c r="E45" s="73">
        <f t="shared" si="258"/>
        <v>2</v>
      </c>
      <c r="F45" s="50">
        <f t="shared" si="259"/>
        <v>4</v>
      </c>
      <c r="G45" s="73">
        <f t="shared" si="260"/>
        <v>2</v>
      </c>
      <c r="H45" s="50">
        <f t="shared" si="261"/>
        <v>4</v>
      </c>
      <c r="I45" s="73">
        <f t="shared" si="262"/>
        <v>0</v>
      </c>
      <c r="J45" s="50">
        <f t="shared" si="263"/>
        <v>0</v>
      </c>
      <c r="K45" s="53">
        <f t="shared" si="264"/>
        <v>0</v>
      </c>
      <c r="L45" s="54">
        <f t="shared" si="265"/>
        <v>0</v>
      </c>
      <c r="M45" s="53">
        <f t="shared" si="266"/>
        <v>1</v>
      </c>
      <c r="N45" s="54">
        <f t="shared" si="267"/>
        <v>3</v>
      </c>
      <c r="O45" s="49">
        <f t="shared" ref="O45:P45" si="323">SUM(K45,M45)</f>
        <v>1</v>
      </c>
      <c r="P45" s="50">
        <f t="shared" si="323"/>
        <v>3</v>
      </c>
      <c r="Q45" s="73">
        <f t="shared" si="269"/>
        <v>1</v>
      </c>
      <c r="R45" s="50">
        <f t="shared" si="270"/>
        <v>2</v>
      </c>
      <c r="S45" s="53">
        <f t="shared" si="271"/>
        <v>0</v>
      </c>
      <c r="T45" s="54">
        <f t="shared" si="272"/>
        <v>0</v>
      </c>
      <c r="U45" s="53">
        <f t="shared" si="273"/>
        <v>0</v>
      </c>
      <c r="V45" s="54">
        <f t="shared" si="274"/>
        <v>0</v>
      </c>
      <c r="W45" s="53">
        <f t="shared" si="275"/>
        <v>2</v>
      </c>
      <c r="X45" s="54">
        <f t="shared" si="276"/>
        <v>4</v>
      </c>
      <c r="Y45" s="53">
        <f t="shared" si="277"/>
        <v>2</v>
      </c>
      <c r="Z45" s="54">
        <f t="shared" si="278"/>
        <v>4</v>
      </c>
      <c r="AA45" s="53">
        <f t="shared" si="279"/>
        <v>1</v>
      </c>
      <c r="AB45" s="54">
        <f t="shared" si="280"/>
        <v>3</v>
      </c>
      <c r="AC45" s="49">
        <f t="shared" ref="AC45:AD45" si="324">SUM(S45,U45,W45,Y45,AA45)</f>
        <v>5</v>
      </c>
      <c r="AD45" s="50">
        <f t="shared" si="324"/>
        <v>11</v>
      </c>
      <c r="AE45" s="53">
        <f t="shared" si="282"/>
        <v>1</v>
      </c>
      <c r="AF45" s="54">
        <f t="shared" si="283"/>
        <v>1</v>
      </c>
      <c r="AG45" s="53">
        <f t="shared" si="284"/>
        <v>0</v>
      </c>
      <c r="AH45" s="54">
        <f t="shared" si="285"/>
        <v>0</v>
      </c>
      <c r="AI45" s="53">
        <f t="shared" si="286"/>
        <v>1</v>
      </c>
      <c r="AJ45" s="54">
        <f t="shared" si="287"/>
        <v>1</v>
      </c>
      <c r="AK45" s="53">
        <f t="shared" si="288"/>
        <v>2</v>
      </c>
      <c r="AL45" s="54">
        <f t="shared" si="289"/>
        <v>4</v>
      </c>
      <c r="AM45" s="53">
        <f t="shared" si="290"/>
        <v>0</v>
      </c>
      <c r="AN45" s="54">
        <f t="shared" si="291"/>
        <v>0</v>
      </c>
      <c r="AO45" s="53">
        <f t="shared" si="292"/>
        <v>2</v>
      </c>
      <c r="AP45" s="54">
        <f t="shared" si="293"/>
        <v>4</v>
      </c>
      <c r="AQ45" s="49">
        <f t="shared" ref="AQ45:AR45" si="325">SUM(AG45,AI45,AK45,AM45,AO45)</f>
        <v>5</v>
      </c>
      <c r="AR45" s="50">
        <f t="shared" si="325"/>
        <v>9</v>
      </c>
      <c r="AS45" s="53">
        <f t="shared" si="295"/>
        <v>1</v>
      </c>
      <c r="AT45" s="54">
        <f t="shared" si="296"/>
        <v>1</v>
      </c>
      <c r="AU45" s="53">
        <f t="shared" si="297"/>
        <v>1</v>
      </c>
      <c r="AV45" s="54">
        <f t="shared" si="298"/>
        <v>2</v>
      </c>
      <c r="AW45" s="53">
        <f t="shared" si="299"/>
        <v>1</v>
      </c>
      <c r="AX45" s="54">
        <f t="shared" si="300"/>
        <v>2</v>
      </c>
      <c r="AY45" s="53">
        <f t="shared" si="301"/>
        <v>1</v>
      </c>
      <c r="AZ45" s="54">
        <f t="shared" si="302"/>
        <v>2</v>
      </c>
      <c r="BA45" s="53">
        <f t="shared" si="303"/>
        <v>2</v>
      </c>
      <c r="BB45" s="54">
        <f t="shared" si="304"/>
        <v>4</v>
      </c>
      <c r="BC45" s="49">
        <f t="shared" ref="BC45:BD45" si="326">SUM(AS45,AU45,AW45,AY45,BA45)</f>
        <v>6</v>
      </c>
      <c r="BD45" s="50">
        <f t="shared" si="326"/>
        <v>11</v>
      </c>
      <c r="BE45" s="68">
        <f t="shared" ref="BE45:BF45" si="327">SUM(E45,G45,I45,O45,Q45,AC45,AQ45,BC45)</f>
        <v>22</v>
      </c>
      <c r="BF45" s="69">
        <f t="shared" si="327"/>
        <v>44</v>
      </c>
      <c r="BG45" s="46" t="str">
        <f>BF45*'ОВгП_РАО'!$B$7</f>
        <v>#REF!</v>
      </c>
      <c r="BH45" s="46" t="str">
        <f>'ОВгП_РАО'!$B$7</f>
        <v>#REF!</v>
      </c>
    </row>
    <row r="46" ht="15.75" customHeight="1">
      <c r="A46" s="80">
        <f t="shared" si="307"/>
        <v>46262</v>
      </c>
      <c r="B46" s="45" t="s">
        <v>121</v>
      </c>
      <c r="C46" s="47" t="s">
        <v>122</v>
      </c>
      <c r="D46" s="47" t="s">
        <v>123</v>
      </c>
      <c r="E46" s="73">
        <f t="shared" si="258"/>
        <v>1</v>
      </c>
      <c r="F46" s="50">
        <f t="shared" si="259"/>
        <v>1</v>
      </c>
      <c r="G46" s="73">
        <f t="shared" si="260"/>
        <v>1</v>
      </c>
      <c r="H46" s="50">
        <f t="shared" si="261"/>
        <v>1</v>
      </c>
      <c r="I46" s="73">
        <f t="shared" si="262"/>
        <v>0</v>
      </c>
      <c r="J46" s="50">
        <f t="shared" si="263"/>
        <v>0</v>
      </c>
      <c r="K46" s="53">
        <f t="shared" si="264"/>
        <v>1</v>
      </c>
      <c r="L46" s="54">
        <f t="shared" si="265"/>
        <v>2</v>
      </c>
      <c r="M46" s="53">
        <f t="shared" si="266"/>
        <v>2</v>
      </c>
      <c r="N46" s="54">
        <f t="shared" si="267"/>
        <v>4</v>
      </c>
      <c r="O46" s="49">
        <f t="shared" ref="O46:P46" si="328">SUM(K46,M46)</f>
        <v>3</v>
      </c>
      <c r="P46" s="50">
        <f t="shared" si="328"/>
        <v>6</v>
      </c>
      <c r="Q46" s="73">
        <f t="shared" si="269"/>
        <v>1</v>
      </c>
      <c r="R46" s="50">
        <f t="shared" si="270"/>
        <v>1</v>
      </c>
      <c r="S46" s="53">
        <f t="shared" si="271"/>
        <v>1</v>
      </c>
      <c r="T46" s="54">
        <f t="shared" si="272"/>
        <v>3</v>
      </c>
      <c r="U46" s="53">
        <f t="shared" si="273"/>
        <v>1</v>
      </c>
      <c r="V46" s="54">
        <f t="shared" si="274"/>
        <v>1</v>
      </c>
      <c r="W46" s="53">
        <f t="shared" si="275"/>
        <v>1</v>
      </c>
      <c r="X46" s="54">
        <f t="shared" si="276"/>
        <v>2</v>
      </c>
      <c r="Y46" s="53">
        <f t="shared" si="277"/>
        <v>1</v>
      </c>
      <c r="Z46" s="54">
        <f t="shared" si="278"/>
        <v>3</v>
      </c>
      <c r="AA46" s="53">
        <f t="shared" si="279"/>
        <v>1</v>
      </c>
      <c r="AB46" s="54">
        <f t="shared" si="280"/>
        <v>3</v>
      </c>
      <c r="AC46" s="49">
        <f t="shared" ref="AC46:AD46" si="329">SUM(S46,U46,W46,Y46,AA46)</f>
        <v>5</v>
      </c>
      <c r="AD46" s="50">
        <f t="shared" si="329"/>
        <v>12</v>
      </c>
      <c r="AE46" s="53">
        <f t="shared" si="282"/>
        <v>1</v>
      </c>
      <c r="AF46" s="54">
        <f t="shared" si="283"/>
        <v>2</v>
      </c>
      <c r="AG46" s="53">
        <f t="shared" si="284"/>
        <v>1</v>
      </c>
      <c r="AH46" s="54">
        <f t="shared" si="285"/>
        <v>1</v>
      </c>
      <c r="AI46" s="53">
        <f t="shared" si="286"/>
        <v>0</v>
      </c>
      <c r="AJ46" s="54">
        <f t="shared" si="287"/>
        <v>0</v>
      </c>
      <c r="AK46" s="53">
        <f t="shared" si="288"/>
        <v>1</v>
      </c>
      <c r="AL46" s="54">
        <f t="shared" si="289"/>
        <v>1</v>
      </c>
      <c r="AM46" s="53">
        <f t="shared" si="290"/>
        <v>1</v>
      </c>
      <c r="AN46" s="54">
        <f t="shared" si="291"/>
        <v>1</v>
      </c>
      <c r="AO46" s="53">
        <f t="shared" si="292"/>
        <v>1</v>
      </c>
      <c r="AP46" s="54">
        <f t="shared" si="293"/>
        <v>1</v>
      </c>
      <c r="AQ46" s="49">
        <f t="shared" ref="AQ46:AR46" si="330">SUM(AG46,AI46,AK46,AM46,AO46)</f>
        <v>4</v>
      </c>
      <c r="AR46" s="50">
        <f t="shared" si="330"/>
        <v>4</v>
      </c>
      <c r="AS46" s="53">
        <f t="shared" si="295"/>
        <v>1</v>
      </c>
      <c r="AT46" s="54">
        <f t="shared" si="296"/>
        <v>3</v>
      </c>
      <c r="AU46" s="53">
        <f t="shared" si="297"/>
        <v>1</v>
      </c>
      <c r="AV46" s="54">
        <f t="shared" si="298"/>
        <v>2</v>
      </c>
      <c r="AW46" s="53">
        <f t="shared" si="299"/>
        <v>0</v>
      </c>
      <c r="AX46" s="54">
        <f t="shared" si="300"/>
        <v>0</v>
      </c>
      <c r="AY46" s="53">
        <f t="shared" si="301"/>
        <v>2</v>
      </c>
      <c r="AZ46" s="54">
        <f t="shared" si="302"/>
        <v>4</v>
      </c>
      <c r="BA46" s="53">
        <f t="shared" si="303"/>
        <v>1</v>
      </c>
      <c r="BB46" s="54">
        <f t="shared" si="304"/>
        <v>1</v>
      </c>
      <c r="BC46" s="49">
        <f t="shared" ref="BC46:BD46" si="331">SUM(AS46,AU46,AW46,AY46,BA46)</f>
        <v>5</v>
      </c>
      <c r="BD46" s="50">
        <f t="shared" si="331"/>
        <v>10</v>
      </c>
      <c r="BE46" s="68">
        <f t="shared" ref="BE46:BF46" si="332">SUM(E46,G46,I46,O46,Q46,AC46,AQ46,BC46)</f>
        <v>20</v>
      </c>
      <c r="BF46" s="69">
        <f t="shared" si="332"/>
        <v>35</v>
      </c>
      <c r="BG46" s="46" t="str">
        <f>BF46*'ОВгП_РАО'!$B$8</f>
        <v>#REF!</v>
      </c>
      <c r="BH46" s="46" t="str">
        <f>'ОВгП_РАО'!$B$8</f>
        <v>#REF!</v>
      </c>
    </row>
    <row r="47" ht="15.75" customHeight="1">
      <c r="A47" s="80">
        <f t="shared" si="307"/>
        <v>46262</v>
      </c>
      <c r="B47" s="46" t="s">
        <v>124</v>
      </c>
      <c r="C47" s="46" t="s">
        <v>125</v>
      </c>
      <c r="D47" s="46" t="s">
        <v>126</v>
      </c>
      <c r="E47" s="73">
        <f t="shared" si="258"/>
        <v>1</v>
      </c>
      <c r="F47" s="50">
        <f t="shared" si="259"/>
        <v>2</v>
      </c>
      <c r="G47" s="73">
        <f t="shared" si="260"/>
        <v>1</v>
      </c>
      <c r="H47" s="50">
        <f t="shared" si="261"/>
        <v>2</v>
      </c>
      <c r="I47" s="73">
        <f t="shared" si="262"/>
        <v>1</v>
      </c>
      <c r="J47" s="50">
        <f t="shared" si="263"/>
        <v>2</v>
      </c>
      <c r="K47" s="53">
        <f t="shared" si="264"/>
        <v>0</v>
      </c>
      <c r="L47" s="54">
        <f t="shared" si="265"/>
        <v>0</v>
      </c>
      <c r="M47" s="53">
        <f t="shared" si="266"/>
        <v>1</v>
      </c>
      <c r="N47" s="54">
        <f t="shared" si="267"/>
        <v>2</v>
      </c>
      <c r="O47" s="49">
        <f t="shared" ref="O47:P47" si="333">SUM(K47,M47)</f>
        <v>1</v>
      </c>
      <c r="P47" s="50">
        <f t="shared" si="333"/>
        <v>2</v>
      </c>
      <c r="Q47" s="73">
        <f t="shared" si="269"/>
        <v>2</v>
      </c>
      <c r="R47" s="50">
        <f t="shared" si="270"/>
        <v>4</v>
      </c>
      <c r="S47" s="53">
        <f t="shared" si="271"/>
        <v>1</v>
      </c>
      <c r="T47" s="54">
        <f t="shared" si="272"/>
        <v>2</v>
      </c>
      <c r="U47" s="53">
        <f t="shared" si="273"/>
        <v>2</v>
      </c>
      <c r="V47" s="54">
        <f t="shared" si="274"/>
        <v>4</v>
      </c>
      <c r="W47" s="53">
        <f t="shared" si="275"/>
        <v>2</v>
      </c>
      <c r="X47" s="54">
        <f t="shared" si="276"/>
        <v>4</v>
      </c>
      <c r="Y47" s="53">
        <f t="shared" si="277"/>
        <v>1</v>
      </c>
      <c r="Z47" s="54">
        <f t="shared" si="278"/>
        <v>2</v>
      </c>
      <c r="AA47" s="53">
        <f t="shared" si="279"/>
        <v>2</v>
      </c>
      <c r="AB47" s="54">
        <f t="shared" si="280"/>
        <v>4</v>
      </c>
      <c r="AC47" s="49">
        <f t="shared" ref="AC47:AD47" si="334">SUM(S47,U47,W47,Y47,AA47)</f>
        <v>8</v>
      </c>
      <c r="AD47" s="50">
        <f t="shared" si="334"/>
        <v>16</v>
      </c>
      <c r="AE47" s="53">
        <f t="shared" si="282"/>
        <v>1</v>
      </c>
      <c r="AF47" s="54">
        <f t="shared" si="283"/>
        <v>3</v>
      </c>
      <c r="AG47" s="53">
        <f t="shared" si="284"/>
        <v>1</v>
      </c>
      <c r="AH47" s="54">
        <f t="shared" si="285"/>
        <v>1</v>
      </c>
      <c r="AI47" s="53">
        <f t="shared" si="286"/>
        <v>0</v>
      </c>
      <c r="AJ47" s="54">
        <f t="shared" si="287"/>
        <v>0</v>
      </c>
      <c r="AK47" s="53">
        <f t="shared" si="288"/>
        <v>2</v>
      </c>
      <c r="AL47" s="54">
        <f t="shared" si="289"/>
        <v>4</v>
      </c>
      <c r="AM47" s="53">
        <f t="shared" si="290"/>
        <v>0</v>
      </c>
      <c r="AN47" s="54">
        <f t="shared" si="291"/>
        <v>0</v>
      </c>
      <c r="AO47" s="53">
        <f t="shared" si="292"/>
        <v>1</v>
      </c>
      <c r="AP47" s="54">
        <f t="shared" si="293"/>
        <v>2</v>
      </c>
      <c r="AQ47" s="49">
        <f t="shared" ref="AQ47:AR47" si="335">SUM(AG47,AI47,AK47,AM47,AO47)</f>
        <v>4</v>
      </c>
      <c r="AR47" s="50">
        <f t="shared" si="335"/>
        <v>7</v>
      </c>
      <c r="AS47" s="53">
        <f t="shared" si="295"/>
        <v>1</v>
      </c>
      <c r="AT47" s="54">
        <f t="shared" si="296"/>
        <v>2</v>
      </c>
      <c r="AU47" s="53">
        <f t="shared" si="297"/>
        <v>1</v>
      </c>
      <c r="AV47" s="54">
        <f t="shared" si="298"/>
        <v>1</v>
      </c>
      <c r="AW47" s="53">
        <f t="shared" si="299"/>
        <v>2</v>
      </c>
      <c r="AX47" s="54">
        <f t="shared" si="300"/>
        <v>4</v>
      </c>
      <c r="AY47" s="53">
        <f t="shared" si="301"/>
        <v>2</v>
      </c>
      <c r="AZ47" s="54">
        <f t="shared" si="302"/>
        <v>4</v>
      </c>
      <c r="BA47" s="53">
        <f t="shared" si="303"/>
        <v>1</v>
      </c>
      <c r="BB47" s="54">
        <f t="shared" si="304"/>
        <v>3</v>
      </c>
      <c r="BC47" s="49">
        <f t="shared" ref="BC47:BD47" si="336">SUM(AS47,AU47,AW47,AY47,BA47)</f>
        <v>7</v>
      </c>
      <c r="BD47" s="50">
        <f t="shared" si="336"/>
        <v>14</v>
      </c>
      <c r="BE47" s="68">
        <f t="shared" ref="BE47:BF47" si="337">SUM(E47,G47,I47,O47,Q47,AC47,AQ47,BC47)</f>
        <v>25</v>
      </c>
      <c r="BF47" s="69">
        <f t="shared" si="337"/>
        <v>49</v>
      </c>
      <c r="BG47" s="46" t="str">
        <f>BF47*'ОВгП_РАО'!$B$9</f>
        <v>#REF!</v>
      </c>
      <c r="BH47" s="46" t="str">
        <f>'ОВгП_РАО'!$B$9</f>
        <v>#REF!</v>
      </c>
    </row>
    <row r="48" ht="15.75" customHeight="1">
      <c r="A48" s="80">
        <f t="shared" si="307"/>
        <v>46262</v>
      </c>
      <c r="B48" s="46" t="s">
        <v>127</v>
      </c>
      <c r="C48" s="46" t="s">
        <v>125</v>
      </c>
      <c r="D48" s="46" t="s">
        <v>126</v>
      </c>
      <c r="E48" s="73">
        <f t="shared" si="258"/>
        <v>1</v>
      </c>
      <c r="F48" s="50">
        <f t="shared" si="259"/>
        <v>3</v>
      </c>
      <c r="G48" s="73">
        <f t="shared" si="260"/>
        <v>0</v>
      </c>
      <c r="H48" s="50">
        <f t="shared" si="261"/>
        <v>0</v>
      </c>
      <c r="I48" s="73">
        <f t="shared" si="262"/>
        <v>1</v>
      </c>
      <c r="J48" s="50">
        <f t="shared" si="263"/>
        <v>2</v>
      </c>
      <c r="K48" s="53">
        <f t="shared" si="264"/>
        <v>1</v>
      </c>
      <c r="L48" s="54">
        <f t="shared" si="265"/>
        <v>2</v>
      </c>
      <c r="M48" s="53">
        <f t="shared" si="266"/>
        <v>1</v>
      </c>
      <c r="N48" s="54">
        <f t="shared" si="267"/>
        <v>1</v>
      </c>
      <c r="O48" s="49">
        <f t="shared" ref="O48:P48" si="338">SUM(K48,M48)</f>
        <v>2</v>
      </c>
      <c r="P48" s="50">
        <f t="shared" si="338"/>
        <v>3</v>
      </c>
      <c r="Q48" s="73">
        <f t="shared" si="269"/>
        <v>0</v>
      </c>
      <c r="R48" s="50">
        <f t="shared" si="270"/>
        <v>0</v>
      </c>
      <c r="S48" s="53">
        <f t="shared" si="271"/>
        <v>1</v>
      </c>
      <c r="T48" s="54">
        <f t="shared" si="272"/>
        <v>1</v>
      </c>
      <c r="U48" s="53">
        <f t="shared" si="273"/>
        <v>0</v>
      </c>
      <c r="V48" s="54">
        <f t="shared" si="274"/>
        <v>0</v>
      </c>
      <c r="W48" s="53">
        <f t="shared" si="275"/>
        <v>2</v>
      </c>
      <c r="X48" s="54">
        <f t="shared" si="276"/>
        <v>4</v>
      </c>
      <c r="Y48" s="53">
        <f t="shared" si="277"/>
        <v>1</v>
      </c>
      <c r="Z48" s="54">
        <f t="shared" si="278"/>
        <v>3</v>
      </c>
      <c r="AA48" s="53">
        <f t="shared" si="279"/>
        <v>0</v>
      </c>
      <c r="AB48" s="54">
        <f t="shared" si="280"/>
        <v>0</v>
      </c>
      <c r="AC48" s="49">
        <f t="shared" ref="AC48:AD48" si="339">SUM(S48,U48,W48,Y48,AA48)</f>
        <v>4</v>
      </c>
      <c r="AD48" s="50">
        <f t="shared" si="339"/>
        <v>8</v>
      </c>
      <c r="AE48" s="53">
        <f t="shared" si="282"/>
        <v>1</v>
      </c>
      <c r="AF48" s="54">
        <f t="shared" si="283"/>
        <v>3</v>
      </c>
      <c r="AG48" s="53">
        <f t="shared" si="284"/>
        <v>1</v>
      </c>
      <c r="AH48" s="54">
        <f t="shared" si="285"/>
        <v>1</v>
      </c>
      <c r="AI48" s="53">
        <f t="shared" si="286"/>
        <v>2</v>
      </c>
      <c r="AJ48" s="54">
        <f t="shared" si="287"/>
        <v>4</v>
      </c>
      <c r="AK48" s="53">
        <f t="shared" si="288"/>
        <v>1</v>
      </c>
      <c r="AL48" s="54">
        <f t="shared" si="289"/>
        <v>3</v>
      </c>
      <c r="AM48" s="53">
        <f t="shared" si="290"/>
        <v>1</v>
      </c>
      <c r="AN48" s="54">
        <f t="shared" si="291"/>
        <v>2</v>
      </c>
      <c r="AO48" s="53">
        <f t="shared" si="292"/>
        <v>2</v>
      </c>
      <c r="AP48" s="54">
        <f t="shared" si="293"/>
        <v>4</v>
      </c>
      <c r="AQ48" s="49">
        <f t="shared" ref="AQ48:AR48" si="340">SUM(AG48,AI48,AK48,AM48,AO48)</f>
        <v>7</v>
      </c>
      <c r="AR48" s="50">
        <f t="shared" si="340"/>
        <v>14</v>
      </c>
      <c r="AS48" s="53">
        <f t="shared" si="295"/>
        <v>1</v>
      </c>
      <c r="AT48" s="54">
        <f t="shared" si="296"/>
        <v>1</v>
      </c>
      <c r="AU48" s="53">
        <f t="shared" si="297"/>
        <v>1</v>
      </c>
      <c r="AV48" s="54">
        <f t="shared" si="298"/>
        <v>1</v>
      </c>
      <c r="AW48" s="53">
        <f t="shared" si="299"/>
        <v>2</v>
      </c>
      <c r="AX48" s="54">
        <f t="shared" si="300"/>
        <v>4</v>
      </c>
      <c r="AY48" s="53">
        <f t="shared" si="301"/>
        <v>1</v>
      </c>
      <c r="AZ48" s="54">
        <f t="shared" si="302"/>
        <v>3</v>
      </c>
      <c r="BA48" s="53">
        <f t="shared" si="303"/>
        <v>1</v>
      </c>
      <c r="BB48" s="54">
        <f t="shared" si="304"/>
        <v>2</v>
      </c>
      <c r="BC48" s="49">
        <f t="shared" ref="BC48:BD48" si="341">SUM(AS48,AU48,AW48,AY48,BA48)</f>
        <v>6</v>
      </c>
      <c r="BD48" s="50">
        <f t="shared" si="341"/>
        <v>11</v>
      </c>
      <c r="BE48" s="68">
        <f t="shared" ref="BE48:BF48" si="342">SUM(E48,G48,I48,O48,Q48,AC48,AQ48,BC48)</f>
        <v>21</v>
      </c>
      <c r="BF48" s="69">
        <f t="shared" si="342"/>
        <v>41</v>
      </c>
      <c r="BG48" s="46" t="str">
        <f>BF48*'ОВгП_РАО'!$B$10</f>
        <v>#REF!</v>
      </c>
      <c r="BH48" s="46" t="str">
        <f>'ОВгП_РАО'!$B$10</f>
        <v>#REF!</v>
      </c>
    </row>
    <row r="49" ht="15.75" customHeight="1">
      <c r="A49" s="80">
        <f t="shared" si="307"/>
        <v>46262</v>
      </c>
      <c r="B49" s="46" t="s">
        <v>128</v>
      </c>
      <c r="C49" s="46" t="s">
        <v>125</v>
      </c>
      <c r="D49" s="46" t="s">
        <v>126</v>
      </c>
      <c r="E49" s="73">
        <f t="shared" si="258"/>
        <v>1</v>
      </c>
      <c r="F49" s="50">
        <f t="shared" si="259"/>
        <v>1</v>
      </c>
      <c r="G49" s="73">
        <f t="shared" si="260"/>
        <v>1</v>
      </c>
      <c r="H49" s="50">
        <f t="shared" si="261"/>
        <v>2</v>
      </c>
      <c r="I49" s="73">
        <f t="shared" si="262"/>
        <v>1</v>
      </c>
      <c r="J49" s="50">
        <f t="shared" si="263"/>
        <v>3</v>
      </c>
      <c r="K49" s="53">
        <f t="shared" si="264"/>
        <v>1</v>
      </c>
      <c r="L49" s="54">
        <f t="shared" si="265"/>
        <v>2</v>
      </c>
      <c r="M49" s="53">
        <f t="shared" si="266"/>
        <v>1</v>
      </c>
      <c r="N49" s="54">
        <f t="shared" si="267"/>
        <v>3</v>
      </c>
      <c r="O49" s="49">
        <f t="shared" ref="O49:P49" si="343">SUM(K49,M49)</f>
        <v>2</v>
      </c>
      <c r="P49" s="50">
        <f t="shared" si="343"/>
        <v>5</v>
      </c>
      <c r="Q49" s="73">
        <f t="shared" si="269"/>
        <v>1</v>
      </c>
      <c r="R49" s="50">
        <f t="shared" si="270"/>
        <v>1</v>
      </c>
      <c r="S49" s="53">
        <f t="shared" si="271"/>
        <v>1</v>
      </c>
      <c r="T49" s="54">
        <f t="shared" si="272"/>
        <v>3</v>
      </c>
      <c r="U49" s="53">
        <f t="shared" si="273"/>
        <v>1</v>
      </c>
      <c r="V49" s="54">
        <f t="shared" si="274"/>
        <v>2</v>
      </c>
      <c r="W49" s="53">
        <f t="shared" si="275"/>
        <v>1</v>
      </c>
      <c r="X49" s="54">
        <f t="shared" si="276"/>
        <v>1</v>
      </c>
      <c r="Y49" s="53">
        <f t="shared" si="277"/>
        <v>2</v>
      </c>
      <c r="Z49" s="54">
        <f t="shared" si="278"/>
        <v>4</v>
      </c>
      <c r="AA49" s="53">
        <f t="shared" si="279"/>
        <v>0</v>
      </c>
      <c r="AB49" s="54">
        <f t="shared" si="280"/>
        <v>0</v>
      </c>
      <c r="AC49" s="49">
        <f t="shared" ref="AC49:AD49" si="344">SUM(S49,U49,W49,Y49,AA49)</f>
        <v>5</v>
      </c>
      <c r="AD49" s="50">
        <f t="shared" si="344"/>
        <v>10</v>
      </c>
      <c r="AE49" s="53">
        <f t="shared" si="282"/>
        <v>1</v>
      </c>
      <c r="AF49" s="54">
        <f t="shared" si="283"/>
        <v>3</v>
      </c>
      <c r="AG49" s="53">
        <f t="shared" si="284"/>
        <v>1</v>
      </c>
      <c r="AH49" s="54">
        <f t="shared" si="285"/>
        <v>2</v>
      </c>
      <c r="AI49" s="53">
        <f t="shared" si="286"/>
        <v>1</v>
      </c>
      <c r="AJ49" s="54">
        <f t="shared" si="287"/>
        <v>3</v>
      </c>
      <c r="AK49" s="53">
        <f t="shared" si="288"/>
        <v>1</v>
      </c>
      <c r="AL49" s="54">
        <f t="shared" si="289"/>
        <v>2</v>
      </c>
      <c r="AM49" s="53">
        <f t="shared" si="290"/>
        <v>1</v>
      </c>
      <c r="AN49" s="54">
        <f t="shared" si="291"/>
        <v>1</v>
      </c>
      <c r="AO49" s="53">
        <f t="shared" si="292"/>
        <v>1</v>
      </c>
      <c r="AP49" s="54">
        <f t="shared" si="293"/>
        <v>3</v>
      </c>
      <c r="AQ49" s="49">
        <f t="shared" ref="AQ49:AR49" si="345">SUM(AG49,AI49,AK49,AM49,AO49)</f>
        <v>5</v>
      </c>
      <c r="AR49" s="50">
        <f t="shared" si="345"/>
        <v>11</v>
      </c>
      <c r="AS49" s="53">
        <f t="shared" si="295"/>
        <v>1</v>
      </c>
      <c r="AT49" s="54">
        <f t="shared" si="296"/>
        <v>1</v>
      </c>
      <c r="AU49" s="53">
        <f t="shared" si="297"/>
        <v>2</v>
      </c>
      <c r="AV49" s="54">
        <f t="shared" si="298"/>
        <v>4</v>
      </c>
      <c r="AW49" s="53">
        <f t="shared" si="299"/>
        <v>1</v>
      </c>
      <c r="AX49" s="54">
        <f t="shared" si="300"/>
        <v>1</v>
      </c>
      <c r="AY49" s="53">
        <f t="shared" si="301"/>
        <v>1</v>
      </c>
      <c r="AZ49" s="54">
        <f t="shared" si="302"/>
        <v>2</v>
      </c>
      <c r="BA49" s="53">
        <f t="shared" si="303"/>
        <v>1</v>
      </c>
      <c r="BB49" s="54">
        <f t="shared" si="304"/>
        <v>2</v>
      </c>
      <c r="BC49" s="49">
        <f t="shared" ref="BC49:BD49" si="346">SUM(AS49,AU49,AW49,AY49,BA49)</f>
        <v>6</v>
      </c>
      <c r="BD49" s="50">
        <f t="shared" si="346"/>
        <v>10</v>
      </c>
      <c r="BE49" s="68">
        <f t="shared" ref="BE49:BF49" si="347">SUM(E49,G49,I49,O49,Q49,AC49,AQ49,BC49)</f>
        <v>22</v>
      </c>
      <c r="BF49" s="69">
        <f t="shared" si="347"/>
        <v>43</v>
      </c>
      <c r="BG49" s="46" t="str">
        <f>BF49*'ОВгП_РАО'!$B$11</f>
        <v>#REF!</v>
      </c>
      <c r="BH49" s="46" t="str">
        <f>'ОВгП_РАО'!$B$11</f>
        <v>#REF!</v>
      </c>
    </row>
    <row r="50" ht="15.75" customHeight="1">
      <c r="A50" s="80">
        <f t="shared" si="307"/>
        <v>46262</v>
      </c>
      <c r="B50" s="45" t="s">
        <v>129</v>
      </c>
      <c r="C50" s="46" t="s">
        <v>125</v>
      </c>
      <c r="D50" s="45" t="s">
        <v>130</v>
      </c>
      <c r="E50" s="73">
        <f t="shared" si="258"/>
        <v>1</v>
      </c>
      <c r="F50" s="50">
        <f t="shared" si="259"/>
        <v>2</v>
      </c>
      <c r="G50" s="73">
        <f t="shared" si="260"/>
        <v>1</v>
      </c>
      <c r="H50" s="50">
        <f t="shared" si="261"/>
        <v>1</v>
      </c>
      <c r="I50" s="73">
        <f t="shared" si="262"/>
        <v>1</v>
      </c>
      <c r="J50" s="50">
        <f t="shared" si="263"/>
        <v>1</v>
      </c>
      <c r="K50" s="53">
        <f t="shared" si="264"/>
        <v>1</v>
      </c>
      <c r="L50" s="54">
        <f t="shared" si="265"/>
        <v>1</v>
      </c>
      <c r="M50" s="53">
        <f t="shared" si="266"/>
        <v>0</v>
      </c>
      <c r="N50" s="54">
        <f t="shared" si="267"/>
        <v>0</v>
      </c>
      <c r="O50" s="49">
        <f t="shared" ref="O50:P50" si="348">SUM(K50,M50)</f>
        <v>1</v>
      </c>
      <c r="P50" s="50">
        <f t="shared" si="348"/>
        <v>1</v>
      </c>
      <c r="Q50" s="73">
        <f t="shared" si="269"/>
        <v>1</v>
      </c>
      <c r="R50" s="50">
        <f t="shared" si="270"/>
        <v>3</v>
      </c>
      <c r="S50" s="53">
        <f t="shared" si="271"/>
        <v>1</v>
      </c>
      <c r="T50" s="54">
        <f t="shared" si="272"/>
        <v>2</v>
      </c>
      <c r="U50" s="53">
        <f t="shared" si="273"/>
        <v>1</v>
      </c>
      <c r="V50" s="54">
        <f t="shared" si="274"/>
        <v>1</v>
      </c>
      <c r="W50" s="53">
        <f t="shared" si="275"/>
        <v>1</v>
      </c>
      <c r="X50" s="54">
        <f t="shared" si="276"/>
        <v>1</v>
      </c>
      <c r="Y50" s="53">
        <f t="shared" si="277"/>
        <v>1</v>
      </c>
      <c r="Z50" s="54">
        <f t="shared" si="278"/>
        <v>1</v>
      </c>
      <c r="AA50" s="53">
        <f t="shared" si="279"/>
        <v>1</v>
      </c>
      <c r="AB50" s="54">
        <f t="shared" si="280"/>
        <v>1</v>
      </c>
      <c r="AC50" s="49">
        <f t="shared" ref="AC50:AD50" si="349">SUM(S50,U50,W50,Y50,AA50)</f>
        <v>5</v>
      </c>
      <c r="AD50" s="50">
        <f t="shared" si="349"/>
        <v>6</v>
      </c>
      <c r="AE50" s="53">
        <f t="shared" si="282"/>
        <v>0</v>
      </c>
      <c r="AF50" s="54">
        <f t="shared" si="283"/>
        <v>0</v>
      </c>
      <c r="AG50" s="53">
        <f t="shared" si="284"/>
        <v>1</v>
      </c>
      <c r="AH50" s="54">
        <f t="shared" si="285"/>
        <v>1</v>
      </c>
      <c r="AI50" s="53">
        <f t="shared" si="286"/>
        <v>1</v>
      </c>
      <c r="AJ50" s="54">
        <f t="shared" si="287"/>
        <v>3</v>
      </c>
      <c r="AK50" s="53">
        <f t="shared" si="288"/>
        <v>2</v>
      </c>
      <c r="AL50" s="54">
        <f t="shared" si="289"/>
        <v>4</v>
      </c>
      <c r="AM50" s="53">
        <f t="shared" si="290"/>
        <v>1</v>
      </c>
      <c r="AN50" s="54">
        <f t="shared" si="291"/>
        <v>1</v>
      </c>
      <c r="AO50" s="53">
        <f t="shared" si="292"/>
        <v>2</v>
      </c>
      <c r="AP50" s="54">
        <f t="shared" si="293"/>
        <v>4</v>
      </c>
      <c r="AQ50" s="49">
        <f t="shared" ref="AQ50:AR50" si="350">SUM(AG50,AI50,AK50,AM50,AO50)</f>
        <v>7</v>
      </c>
      <c r="AR50" s="50">
        <f t="shared" si="350"/>
        <v>13</v>
      </c>
      <c r="AS50" s="53">
        <f t="shared" si="295"/>
        <v>2</v>
      </c>
      <c r="AT50" s="54">
        <f t="shared" si="296"/>
        <v>4</v>
      </c>
      <c r="AU50" s="53">
        <f t="shared" si="297"/>
        <v>1</v>
      </c>
      <c r="AV50" s="54">
        <f t="shared" si="298"/>
        <v>2</v>
      </c>
      <c r="AW50" s="53">
        <f t="shared" si="299"/>
        <v>1</v>
      </c>
      <c r="AX50" s="54">
        <f t="shared" si="300"/>
        <v>3</v>
      </c>
      <c r="AY50" s="53">
        <f t="shared" si="301"/>
        <v>0</v>
      </c>
      <c r="AZ50" s="54">
        <f t="shared" si="302"/>
        <v>0</v>
      </c>
      <c r="BA50" s="53">
        <f t="shared" si="303"/>
        <v>1</v>
      </c>
      <c r="BB50" s="54">
        <f t="shared" si="304"/>
        <v>2</v>
      </c>
      <c r="BC50" s="49">
        <f t="shared" ref="BC50:BD50" si="351">SUM(AS50,AU50,AW50,AY50,BA50)</f>
        <v>5</v>
      </c>
      <c r="BD50" s="50">
        <f t="shared" si="351"/>
        <v>11</v>
      </c>
      <c r="BE50" s="68">
        <f t="shared" ref="BE50:BF50" si="352">SUM(E50,G50,I50,O50,Q50,AC50,AQ50,BC50)</f>
        <v>22</v>
      </c>
      <c r="BF50" s="69">
        <f t="shared" si="352"/>
        <v>38</v>
      </c>
      <c r="BG50" s="46" t="str">
        <f>BF50*'ОВгП_РАО'!$B$12</f>
        <v>#REF!</v>
      </c>
      <c r="BH50" s="46" t="str">
        <f>'ОВгП_РАО'!$B$12</f>
        <v>#REF!</v>
      </c>
    </row>
    <row r="51" ht="15.75" customHeight="1">
      <c r="A51" s="80">
        <f t="shared" si="307"/>
        <v>46262</v>
      </c>
      <c r="B51" s="47" t="s">
        <v>131</v>
      </c>
      <c r="C51" s="47" t="s">
        <v>122</v>
      </c>
      <c r="D51" s="47" t="s">
        <v>123</v>
      </c>
      <c r="E51" s="73">
        <f t="shared" si="258"/>
        <v>1</v>
      </c>
      <c r="F51" s="50">
        <f t="shared" si="259"/>
        <v>1</v>
      </c>
      <c r="G51" s="73">
        <f t="shared" si="260"/>
        <v>1</v>
      </c>
      <c r="H51" s="50">
        <f t="shared" si="261"/>
        <v>2</v>
      </c>
      <c r="I51" s="73">
        <f t="shared" si="262"/>
        <v>1</v>
      </c>
      <c r="J51" s="50">
        <f t="shared" si="263"/>
        <v>3</v>
      </c>
      <c r="K51" s="53">
        <f t="shared" si="264"/>
        <v>1</v>
      </c>
      <c r="L51" s="54">
        <f t="shared" si="265"/>
        <v>3</v>
      </c>
      <c r="M51" s="53">
        <f t="shared" si="266"/>
        <v>0</v>
      </c>
      <c r="N51" s="54">
        <f t="shared" si="267"/>
        <v>0</v>
      </c>
      <c r="O51" s="49">
        <f t="shared" ref="O51:P51" si="353">SUM(K51,M51)</f>
        <v>1</v>
      </c>
      <c r="P51" s="50">
        <f t="shared" si="353"/>
        <v>3</v>
      </c>
      <c r="Q51" s="73">
        <f t="shared" si="269"/>
        <v>1</v>
      </c>
      <c r="R51" s="50">
        <f t="shared" si="270"/>
        <v>2</v>
      </c>
      <c r="S51" s="53">
        <f t="shared" si="271"/>
        <v>1</v>
      </c>
      <c r="T51" s="54">
        <f t="shared" si="272"/>
        <v>3</v>
      </c>
      <c r="U51" s="53">
        <f t="shared" si="273"/>
        <v>1</v>
      </c>
      <c r="V51" s="54">
        <f t="shared" si="274"/>
        <v>1</v>
      </c>
      <c r="W51" s="53">
        <f t="shared" si="275"/>
        <v>1</v>
      </c>
      <c r="X51" s="54">
        <f t="shared" si="276"/>
        <v>3</v>
      </c>
      <c r="Y51" s="53">
        <f t="shared" si="277"/>
        <v>1</v>
      </c>
      <c r="Z51" s="54">
        <f t="shared" si="278"/>
        <v>1</v>
      </c>
      <c r="AA51" s="53">
        <f t="shared" si="279"/>
        <v>1</v>
      </c>
      <c r="AB51" s="54">
        <f t="shared" si="280"/>
        <v>1</v>
      </c>
      <c r="AC51" s="49">
        <f t="shared" ref="AC51:AD51" si="354">SUM(S51,U51,W51,Y51,AA51)</f>
        <v>5</v>
      </c>
      <c r="AD51" s="50">
        <f t="shared" si="354"/>
        <v>9</v>
      </c>
      <c r="AE51" s="53">
        <f t="shared" si="282"/>
        <v>0</v>
      </c>
      <c r="AF51" s="54">
        <f t="shared" si="283"/>
        <v>0</v>
      </c>
      <c r="AG51" s="53">
        <f t="shared" si="284"/>
        <v>2</v>
      </c>
      <c r="AH51" s="54">
        <f t="shared" si="285"/>
        <v>4</v>
      </c>
      <c r="AI51" s="53">
        <f t="shared" si="286"/>
        <v>0</v>
      </c>
      <c r="AJ51" s="54">
        <f t="shared" si="287"/>
        <v>0</v>
      </c>
      <c r="AK51" s="53">
        <f t="shared" si="288"/>
        <v>2</v>
      </c>
      <c r="AL51" s="54">
        <f t="shared" si="289"/>
        <v>4</v>
      </c>
      <c r="AM51" s="53">
        <f t="shared" si="290"/>
        <v>2</v>
      </c>
      <c r="AN51" s="54">
        <f t="shared" si="291"/>
        <v>4</v>
      </c>
      <c r="AO51" s="53">
        <f t="shared" si="292"/>
        <v>1</v>
      </c>
      <c r="AP51" s="54">
        <f t="shared" si="293"/>
        <v>2</v>
      </c>
      <c r="AQ51" s="49">
        <f t="shared" ref="AQ51:AR51" si="355">SUM(AG51,AI51,AK51,AM51,AO51)</f>
        <v>7</v>
      </c>
      <c r="AR51" s="50">
        <f t="shared" si="355"/>
        <v>14</v>
      </c>
      <c r="AS51" s="53">
        <f t="shared" si="295"/>
        <v>1</v>
      </c>
      <c r="AT51" s="54">
        <f t="shared" si="296"/>
        <v>2</v>
      </c>
      <c r="AU51" s="53">
        <f t="shared" si="297"/>
        <v>1</v>
      </c>
      <c r="AV51" s="54">
        <f t="shared" si="298"/>
        <v>1</v>
      </c>
      <c r="AW51" s="53">
        <f t="shared" si="299"/>
        <v>1</v>
      </c>
      <c r="AX51" s="54">
        <f t="shared" si="300"/>
        <v>1</v>
      </c>
      <c r="AY51" s="53">
        <f t="shared" si="301"/>
        <v>2</v>
      </c>
      <c r="AZ51" s="54">
        <f t="shared" si="302"/>
        <v>4</v>
      </c>
      <c r="BA51" s="53">
        <f t="shared" si="303"/>
        <v>1</v>
      </c>
      <c r="BB51" s="54">
        <f t="shared" si="304"/>
        <v>3</v>
      </c>
      <c r="BC51" s="49">
        <f t="shared" ref="BC51:BD51" si="356">SUM(AS51,AU51,AW51,AY51,BA51)</f>
        <v>6</v>
      </c>
      <c r="BD51" s="50">
        <f t="shared" si="356"/>
        <v>11</v>
      </c>
      <c r="BE51" s="68">
        <f t="shared" ref="BE51:BF51" si="357">SUM(E51,G51,I51,O51,Q51,AC51,AQ51,BC51)</f>
        <v>23</v>
      </c>
      <c r="BF51" s="69">
        <f t="shared" si="357"/>
        <v>45</v>
      </c>
      <c r="BG51" s="46" t="str">
        <f>BF51*'ОВгП_РАО'!$B$13</f>
        <v>#REF!</v>
      </c>
      <c r="BH51" s="46" t="str">
        <f>'ОВгП_РАО'!$B$13</f>
        <v>#REF!</v>
      </c>
    </row>
    <row r="52" ht="15.75" customHeight="1">
      <c r="A52" s="80">
        <f t="shared" si="307"/>
        <v>46262</v>
      </c>
      <c r="B52" s="47" t="s">
        <v>132</v>
      </c>
      <c r="C52" s="47" t="s">
        <v>122</v>
      </c>
      <c r="D52" s="47" t="s">
        <v>123</v>
      </c>
      <c r="E52" s="73">
        <f t="shared" si="258"/>
        <v>1</v>
      </c>
      <c r="F52" s="50">
        <f t="shared" si="259"/>
        <v>2</v>
      </c>
      <c r="G52" s="73">
        <f t="shared" si="260"/>
        <v>0</v>
      </c>
      <c r="H52" s="50">
        <f t="shared" si="261"/>
        <v>0</v>
      </c>
      <c r="I52" s="73">
        <f t="shared" si="262"/>
        <v>1</v>
      </c>
      <c r="J52" s="50">
        <f t="shared" si="263"/>
        <v>1</v>
      </c>
      <c r="K52" s="53">
        <f t="shared" si="264"/>
        <v>2</v>
      </c>
      <c r="L52" s="54">
        <f t="shared" si="265"/>
        <v>4</v>
      </c>
      <c r="M52" s="53">
        <f t="shared" si="266"/>
        <v>0</v>
      </c>
      <c r="N52" s="54">
        <f t="shared" si="267"/>
        <v>0</v>
      </c>
      <c r="O52" s="49">
        <f t="shared" ref="O52:P52" si="358">SUM(K52,M52)</f>
        <v>2</v>
      </c>
      <c r="P52" s="50">
        <f t="shared" si="358"/>
        <v>4</v>
      </c>
      <c r="Q52" s="73">
        <f t="shared" si="269"/>
        <v>1</v>
      </c>
      <c r="R52" s="50">
        <f t="shared" si="270"/>
        <v>2</v>
      </c>
      <c r="S52" s="53">
        <f t="shared" si="271"/>
        <v>1</v>
      </c>
      <c r="T52" s="54">
        <f t="shared" si="272"/>
        <v>1</v>
      </c>
      <c r="U52" s="53">
        <f t="shared" si="273"/>
        <v>2</v>
      </c>
      <c r="V52" s="54">
        <f t="shared" si="274"/>
        <v>4</v>
      </c>
      <c r="W52" s="53">
        <f t="shared" si="275"/>
        <v>2</v>
      </c>
      <c r="X52" s="54">
        <f t="shared" si="276"/>
        <v>4</v>
      </c>
      <c r="Y52" s="53">
        <f t="shared" si="277"/>
        <v>0</v>
      </c>
      <c r="Z52" s="54">
        <f t="shared" si="278"/>
        <v>0</v>
      </c>
      <c r="AA52" s="53">
        <f t="shared" si="279"/>
        <v>1</v>
      </c>
      <c r="AB52" s="54">
        <f t="shared" si="280"/>
        <v>1</v>
      </c>
      <c r="AC52" s="49">
        <f t="shared" ref="AC52:AD52" si="359">SUM(S52,U52,W52,Y52,AA52)</f>
        <v>6</v>
      </c>
      <c r="AD52" s="50">
        <f t="shared" si="359"/>
        <v>10</v>
      </c>
      <c r="AE52" s="53">
        <f t="shared" si="282"/>
        <v>1</v>
      </c>
      <c r="AF52" s="54">
        <f t="shared" si="283"/>
        <v>3</v>
      </c>
      <c r="AG52" s="53">
        <f t="shared" si="284"/>
        <v>1</v>
      </c>
      <c r="AH52" s="54">
        <f t="shared" si="285"/>
        <v>3</v>
      </c>
      <c r="AI52" s="53">
        <f t="shared" si="286"/>
        <v>2</v>
      </c>
      <c r="AJ52" s="54">
        <f t="shared" si="287"/>
        <v>4</v>
      </c>
      <c r="AK52" s="53">
        <f t="shared" si="288"/>
        <v>1</v>
      </c>
      <c r="AL52" s="54">
        <f t="shared" si="289"/>
        <v>2</v>
      </c>
      <c r="AM52" s="53">
        <f t="shared" si="290"/>
        <v>1</v>
      </c>
      <c r="AN52" s="54">
        <f t="shared" si="291"/>
        <v>3</v>
      </c>
      <c r="AO52" s="53">
        <f t="shared" si="292"/>
        <v>1</v>
      </c>
      <c r="AP52" s="54">
        <f t="shared" si="293"/>
        <v>3</v>
      </c>
      <c r="AQ52" s="49">
        <f t="shared" ref="AQ52:AR52" si="360">SUM(AG52,AI52,AK52,AM52,AO52)</f>
        <v>6</v>
      </c>
      <c r="AR52" s="50">
        <f t="shared" si="360"/>
        <v>15</v>
      </c>
      <c r="AS52" s="53">
        <f t="shared" si="295"/>
        <v>2</v>
      </c>
      <c r="AT52" s="54">
        <f t="shared" si="296"/>
        <v>4</v>
      </c>
      <c r="AU52" s="53">
        <f t="shared" si="297"/>
        <v>2</v>
      </c>
      <c r="AV52" s="54">
        <f t="shared" si="298"/>
        <v>4</v>
      </c>
      <c r="AW52" s="53">
        <f t="shared" si="299"/>
        <v>2</v>
      </c>
      <c r="AX52" s="54">
        <f t="shared" si="300"/>
        <v>4</v>
      </c>
      <c r="AY52" s="53">
        <f t="shared" si="301"/>
        <v>2</v>
      </c>
      <c r="AZ52" s="54">
        <f t="shared" si="302"/>
        <v>4</v>
      </c>
      <c r="BA52" s="53">
        <f t="shared" si="303"/>
        <v>2</v>
      </c>
      <c r="BB52" s="54">
        <f t="shared" si="304"/>
        <v>4</v>
      </c>
      <c r="BC52" s="49">
        <f t="shared" ref="BC52:BD52" si="361">SUM(AS52,AU52,AW52,AY52,BA52)</f>
        <v>10</v>
      </c>
      <c r="BD52" s="50">
        <f t="shared" si="361"/>
        <v>20</v>
      </c>
      <c r="BE52" s="68">
        <f t="shared" ref="BE52:BF52" si="362">SUM(E52,G52,I52,O52,Q52,AC52,AQ52,BC52)</f>
        <v>27</v>
      </c>
      <c r="BF52" s="69">
        <f t="shared" si="362"/>
        <v>54</v>
      </c>
      <c r="BG52" s="46" t="str">
        <f>BF52*'ОВгП_РАО'!$B$14</f>
        <v>#REF!</v>
      </c>
      <c r="BH52" s="46" t="str">
        <f>'ОВгП_РАО'!$B$14</f>
        <v>#REF!</v>
      </c>
    </row>
    <row r="53" ht="15.75" customHeight="1">
      <c r="A53" s="80">
        <f t="shared" si="307"/>
        <v>46262</v>
      </c>
      <c r="B53" s="47" t="s">
        <v>133</v>
      </c>
      <c r="C53" s="47" t="s">
        <v>122</v>
      </c>
      <c r="D53" s="47" t="s">
        <v>123</v>
      </c>
      <c r="E53" s="73">
        <f t="shared" si="258"/>
        <v>2</v>
      </c>
      <c r="F53" s="50">
        <f t="shared" si="259"/>
        <v>4</v>
      </c>
      <c r="G53" s="73">
        <f t="shared" si="260"/>
        <v>1</v>
      </c>
      <c r="H53" s="50">
        <f t="shared" si="261"/>
        <v>1</v>
      </c>
      <c r="I53" s="73">
        <f t="shared" si="262"/>
        <v>1</v>
      </c>
      <c r="J53" s="50">
        <f t="shared" si="263"/>
        <v>3</v>
      </c>
      <c r="K53" s="53">
        <f t="shared" si="264"/>
        <v>1</v>
      </c>
      <c r="L53" s="54">
        <f t="shared" si="265"/>
        <v>1</v>
      </c>
      <c r="M53" s="53">
        <f t="shared" si="266"/>
        <v>2</v>
      </c>
      <c r="N53" s="54">
        <f t="shared" si="267"/>
        <v>4</v>
      </c>
      <c r="O53" s="49">
        <f t="shared" ref="O53:P53" si="363">SUM(K53,M53)</f>
        <v>3</v>
      </c>
      <c r="P53" s="50">
        <f t="shared" si="363"/>
        <v>5</v>
      </c>
      <c r="Q53" s="73">
        <f t="shared" si="269"/>
        <v>1</v>
      </c>
      <c r="R53" s="50">
        <f t="shared" si="270"/>
        <v>2</v>
      </c>
      <c r="S53" s="53">
        <f t="shared" si="271"/>
        <v>1</v>
      </c>
      <c r="T53" s="54">
        <f t="shared" si="272"/>
        <v>1</v>
      </c>
      <c r="U53" s="53">
        <f t="shared" si="273"/>
        <v>1</v>
      </c>
      <c r="V53" s="54">
        <f t="shared" si="274"/>
        <v>2</v>
      </c>
      <c r="W53" s="53">
        <f t="shared" si="275"/>
        <v>0</v>
      </c>
      <c r="X53" s="54">
        <f t="shared" si="276"/>
        <v>0</v>
      </c>
      <c r="Y53" s="53">
        <f t="shared" si="277"/>
        <v>1</v>
      </c>
      <c r="Z53" s="54">
        <f t="shared" si="278"/>
        <v>1</v>
      </c>
      <c r="AA53" s="53">
        <f t="shared" si="279"/>
        <v>1</v>
      </c>
      <c r="AB53" s="54">
        <f t="shared" si="280"/>
        <v>3</v>
      </c>
      <c r="AC53" s="49">
        <f t="shared" ref="AC53:AD53" si="364">SUM(S53,U53,W53,Y53,AA53)</f>
        <v>4</v>
      </c>
      <c r="AD53" s="50">
        <f t="shared" si="364"/>
        <v>7</v>
      </c>
      <c r="AE53" s="53">
        <f t="shared" si="282"/>
        <v>1</v>
      </c>
      <c r="AF53" s="54">
        <f t="shared" si="283"/>
        <v>2</v>
      </c>
      <c r="AG53" s="53">
        <f t="shared" si="284"/>
        <v>1</v>
      </c>
      <c r="AH53" s="54">
        <f t="shared" si="285"/>
        <v>3</v>
      </c>
      <c r="AI53" s="53">
        <f t="shared" si="286"/>
        <v>1</v>
      </c>
      <c r="AJ53" s="54">
        <f t="shared" si="287"/>
        <v>1</v>
      </c>
      <c r="AK53" s="53">
        <f t="shared" si="288"/>
        <v>2</v>
      </c>
      <c r="AL53" s="54">
        <f t="shared" si="289"/>
        <v>4</v>
      </c>
      <c r="AM53" s="53">
        <f t="shared" si="290"/>
        <v>1</v>
      </c>
      <c r="AN53" s="54">
        <f t="shared" si="291"/>
        <v>2</v>
      </c>
      <c r="AO53" s="53">
        <f t="shared" si="292"/>
        <v>0</v>
      </c>
      <c r="AP53" s="54">
        <f t="shared" si="293"/>
        <v>0</v>
      </c>
      <c r="AQ53" s="49">
        <f t="shared" ref="AQ53:AR53" si="365">SUM(AG53,AI53,AK53,AM53,AO53)</f>
        <v>5</v>
      </c>
      <c r="AR53" s="50">
        <f t="shared" si="365"/>
        <v>10</v>
      </c>
      <c r="AS53" s="53">
        <f t="shared" si="295"/>
        <v>1</v>
      </c>
      <c r="AT53" s="54">
        <f t="shared" si="296"/>
        <v>1</v>
      </c>
      <c r="AU53" s="53">
        <f t="shared" si="297"/>
        <v>1</v>
      </c>
      <c r="AV53" s="54">
        <f t="shared" si="298"/>
        <v>1</v>
      </c>
      <c r="AW53" s="53">
        <f t="shared" si="299"/>
        <v>1</v>
      </c>
      <c r="AX53" s="54">
        <f t="shared" si="300"/>
        <v>2</v>
      </c>
      <c r="AY53" s="53">
        <f t="shared" si="301"/>
        <v>1</v>
      </c>
      <c r="AZ53" s="54">
        <f t="shared" si="302"/>
        <v>2</v>
      </c>
      <c r="BA53" s="53">
        <f t="shared" si="303"/>
        <v>1</v>
      </c>
      <c r="BB53" s="54">
        <f t="shared" si="304"/>
        <v>2</v>
      </c>
      <c r="BC53" s="49">
        <f t="shared" ref="BC53:BD53" si="366">SUM(AS53,AU53,AW53,AY53,BA53)</f>
        <v>5</v>
      </c>
      <c r="BD53" s="50">
        <f t="shared" si="366"/>
        <v>8</v>
      </c>
      <c r="BE53" s="68">
        <f t="shared" ref="BE53:BF53" si="367">SUM(E53,G53,I53,O53,Q53,AC53,AQ53,BC53)</f>
        <v>22</v>
      </c>
      <c r="BF53" s="69">
        <f t="shared" si="367"/>
        <v>40</v>
      </c>
      <c r="BG53" s="46" t="str">
        <f>BF53*'ОВгП_РАО'!$B$15</f>
        <v>#REF!</v>
      </c>
      <c r="BH53" s="46" t="str">
        <f>'ОВгП_РАО'!$B$15</f>
        <v>#REF!</v>
      </c>
    </row>
    <row r="54" ht="15.75" customHeight="1">
      <c r="A54" s="80">
        <f t="shared" si="307"/>
        <v>46262</v>
      </c>
      <c r="B54" s="47" t="s">
        <v>134</v>
      </c>
      <c r="C54" s="47" t="s">
        <v>122</v>
      </c>
      <c r="D54" s="47" t="s">
        <v>123</v>
      </c>
      <c r="E54" s="73">
        <f t="shared" si="258"/>
        <v>1</v>
      </c>
      <c r="F54" s="50">
        <f t="shared" si="259"/>
        <v>2</v>
      </c>
      <c r="G54" s="73">
        <f t="shared" si="260"/>
        <v>0</v>
      </c>
      <c r="H54" s="50">
        <f t="shared" si="261"/>
        <v>0</v>
      </c>
      <c r="I54" s="73">
        <f t="shared" si="262"/>
        <v>2</v>
      </c>
      <c r="J54" s="50">
        <f t="shared" si="263"/>
        <v>4</v>
      </c>
      <c r="K54" s="53">
        <f t="shared" si="264"/>
        <v>0</v>
      </c>
      <c r="L54" s="54">
        <f t="shared" si="265"/>
        <v>0</v>
      </c>
      <c r="M54" s="53">
        <f t="shared" si="266"/>
        <v>2</v>
      </c>
      <c r="N54" s="54">
        <f t="shared" si="267"/>
        <v>4</v>
      </c>
      <c r="O54" s="49">
        <f t="shared" ref="O54:P54" si="368">SUM(K54,M54)</f>
        <v>2</v>
      </c>
      <c r="P54" s="50">
        <f t="shared" si="368"/>
        <v>4</v>
      </c>
      <c r="Q54" s="73">
        <f t="shared" si="269"/>
        <v>0</v>
      </c>
      <c r="R54" s="50">
        <f t="shared" si="270"/>
        <v>0</v>
      </c>
      <c r="S54" s="53">
        <f t="shared" si="271"/>
        <v>2</v>
      </c>
      <c r="T54" s="54">
        <f t="shared" si="272"/>
        <v>4</v>
      </c>
      <c r="U54" s="53">
        <f t="shared" si="273"/>
        <v>2</v>
      </c>
      <c r="V54" s="54">
        <f t="shared" si="274"/>
        <v>4</v>
      </c>
      <c r="W54" s="53">
        <f t="shared" si="275"/>
        <v>1</v>
      </c>
      <c r="X54" s="54">
        <f t="shared" si="276"/>
        <v>2</v>
      </c>
      <c r="Y54" s="53">
        <f t="shared" si="277"/>
        <v>0</v>
      </c>
      <c r="Z54" s="54">
        <f t="shared" si="278"/>
        <v>0</v>
      </c>
      <c r="AA54" s="53">
        <f t="shared" si="279"/>
        <v>1</v>
      </c>
      <c r="AB54" s="54">
        <f t="shared" si="280"/>
        <v>1</v>
      </c>
      <c r="AC54" s="49">
        <f t="shared" ref="AC54:AD54" si="369">SUM(S54,U54,W54,Y54,AA54)</f>
        <v>6</v>
      </c>
      <c r="AD54" s="50">
        <f t="shared" si="369"/>
        <v>11</v>
      </c>
      <c r="AE54" s="53">
        <f t="shared" si="282"/>
        <v>0</v>
      </c>
      <c r="AF54" s="54">
        <f t="shared" si="283"/>
        <v>0</v>
      </c>
      <c r="AG54" s="53">
        <f t="shared" si="284"/>
        <v>1</v>
      </c>
      <c r="AH54" s="54">
        <f t="shared" si="285"/>
        <v>1</v>
      </c>
      <c r="AI54" s="53">
        <f t="shared" si="286"/>
        <v>1</v>
      </c>
      <c r="AJ54" s="54">
        <f t="shared" si="287"/>
        <v>2</v>
      </c>
      <c r="AK54" s="53">
        <f t="shared" si="288"/>
        <v>1</v>
      </c>
      <c r="AL54" s="54">
        <f t="shared" si="289"/>
        <v>2</v>
      </c>
      <c r="AM54" s="53">
        <f t="shared" si="290"/>
        <v>1</v>
      </c>
      <c r="AN54" s="54">
        <f t="shared" si="291"/>
        <v>2</v>
      </c>
      <c r="AO54" s="53">
        <f t="shared" si="292"/>
        <v>1</v>
      </c>
      <c r="AP54" s="54">
        <f t="shared" si="293"/>
        <v>3</v>
      </c>
      <c r="AQ54" s="49">
        <f t="shared" ref="AQ54:AR54" si="370">SUM(AG54,AI54,AK54,AM54,AO54)</f>
        <v>5</v>
      </c>
      <c r="AR54" s="50">
        <f t="shared" si="370"/>
        <v>10</v>
      </c>
      <c r="AS54" s="53">
        <f t="shared" si="295"/>
        <v>0</v>
      </c>
      <c r="AT54" s="54">
        <f t="shared" si="296"/>
        <v>0</v>
      </c>
      <c r="AU54" s="53">
        <f t="shared" si="297"/>
        <v>0</v>
      </c>
      <c r="AV54" s="54">
        <f t="shared" si="298"/>
        <v>0</v>
      </c>
      <c r="AW54" s="53">
        <f t="shared" si="299"/>
        <v>1</v>
      </c>
      <c r="AX54" s="54">
        <f t="shared" si="300"/>
        <v>1</v>
      </c>
      <c r="AY54" s="53">
        <f t="shared" si="301"/>
        <v>2</v>
      </c>
      <c r="AZ54" s="54">
        <f t="shared" si="302"/>
        <v>4</v>
      </c>
      <c r="BA54" s="53">
        <f t="shared" si="303"/>
        <v>1</v>
      </c>
      <c r="BB54" s="54">
        <f t="shared" si="304"/>
        <v>2</v>
      </c>
      <c r="BC54" s="49">
        <f t="shared" ref="BC54:BD54" si="371">SUM(AS54,AU54,AW54,AY54,BA54)</f>
        <v>4</v>
      </c>
      <c r="BD54" s="50">
        <f t="shared" si="371"/>
        <v>7</v>
      </c>
      <c r="BE54" s="68">
        <f t="shared" ref="BE54:BF54" si="372">SUM(E54,G54,I54,O54,Q54,AC54,AQ54,BC54)</f>
        <v>20</v>
      </c>
      <c r="BF54" s="69">
        <f t="shared" si="372"/>
        <v>38</v>
      </c>
      <c r="BG54" s="46" t="str">
        <f>BF54*'ОВгП_РАО'!$B$16</f>
        <v>#REF!</v>
      </c>
      <c r="BH54" s="46" t="str">
        <f>'ОВгП_РАО'!$B$16</f>
        <v>#REF!</v>
      </c>
    </row>
    <row r="55" ht="15.75" customHeight="1">
      <c r="A55" s="80">
        <f t="shared" si="307"/>
        <v>46262</v>
      </c>
      <c r="B55" s="129" t="s">
        <v>135</v>
      </c>
      <c r="C55" s="47" t="s">
        <v>122</v>
      </c>
      <c r="D55" s="47" t="s">
        <v>136</v>
      </c>
      <c r="E55" s="73">
        <f t="shared" si="258"/>
        <v>1</v>
      </c>
      <c r="F55" s="50">
        <f t="shared" si="259"/>
        <v>2</v>
      </c>
      <c r="G55" s="73">
        <f t="shared" si="260"/>
        <v>1</v>
      </c>
      <c r="H55" s="50">
        <f t="shared" si="261"/>
        <v>3</v>
      </c>
      <c r="I55" s="73">
        <f t="shared" si="262"/>
        <v>1</v>
      </c>
      <c r="J55" s="50">
        <f t="shared" si="263"/>
        <v>3</v>
      </c>
      <c r="K55" s="53">
        <f t="shared" si="264"/>
        <v>1</v>
      </c>
      <c r="L55" s="54">
        <f t="shared" si="265"/>
        <v>3</v>
      </c>
      <c r="M55" s="53">
        <f t="shared" si="266"/>
        <v>0</v>
      </c>
      <c r="N55" s="54">
        <f t="shared" si="267"/>
        <v>0</v>
      </c>
      <c r="O55" s="49">
        <f t="shared" ref="O55:P55" si="373">SUM(K55,M55)</f>
        <v>1</v>
      </c>
      <c r="P55" s="50">
        <f t="shared" si="373"/>
        <v>3</v>
      </c>
      <c r="Q55" s="73">
        <f t="shared" si="269"/>
        <v>1</v>
      </c>
      <c r="R55" s="50">
        <f t="shared" si="270"/>
        <v>1</v>
      </c>
      <c r="S55" s="53">
        <f t="shared" si="271"/>
        <v>2</v>
      </c>
      <c r="T55" s="54">
        <f t="shared" si="272"/>
        <v>4</v>
      </c>
      <c r="U55" s="53">
        <f t="shared" si="273"/>
        <v>2</v>
      </c>
      <c r="V55" s="54">
        <f t="shared" si="274"/>
        <v>4</v>
      </c>
      <c r="W55" s="53">
        <f t="shared" si="275"/>
        <v>1</v>
      </c>
      <c r="X55" s="54">
        <f t="shared" si="276"/>
        <v>1</v>
      </c>
      <c r="Y55" s="53">
        <f t="shared" si="277"/>
        <v>1</v>
      </c>
      <c r="Z55" s="54">
        <f t="shared" si="278"/>
        <v>3</v>
      </c>
      <c r="AA55" s="53">
        <f t="shared" si="279"/>
        <v>2</v>
      </c>
      <c r="AB55" s="54">
        <f t="shared" si="280"/>
        <v>4</v>
      </c>
      <c r="AC55" s="49">
        <f t="shared" ref="AC55:AD55" si="374">SUM(S55,U55,W55,Y55,AA55)</f>
        <v>8</v>
      </c>
      <c r="AD55" s="50">
        <f t="shared" si="374"/>
        <v>16</v>
      </c>
      <c r="AE55" s="53">
        <f t="shared" si="282"/>
        <v>1</v>
      </c>
      <c r="AF55" s="54">
        <f t="shared" si="283"/>
        <v>3</v>
      </c>
      <c r="AG55" s="53">
        <f t="shared" si="284"/>
        <v>2</v>
      </c>
      <c r="AH55" s="54">
        <f t="shared" si="285"/>
        <v>4</v>
      </c>
      <c r="AI55" s="53">
        <f t="shared" si="286"/>
        <v>0</v>
      </c>
      <c r="AJ55" s="54">
        <f t="shared" si="287"/>
        <v>0</v>
      </c>
      <c r="AK55" s="53">
        <f t="shared" si="288"/>
        <v>2</v>
      </c>
      <c r="AL55" s="54">
        <f t="shared" si="289"/>
        <v>4</v>
      </c>
      <c r="AM55" s="53">
        <f t="shared" si="290"/>
        <v>1</v>
      </c>
      <c r="AN55" s="54">
        <f t="shared" si="291"/>
        <v>2</v>
      </c>
      <c r="AO55" s="53">
        <f t="shared" si="292"/>
        <v>0</v>
      </c>
      <c r="AP55" s="54">
        <f t="shared" si="293"/>
        <v>0</v>
      </c>
      <c r="AQ55" s="49">
        <f t="shared" ref="AQ55:AR55" si="375">SUM(AG55,AI55,AK55,AM55,AO55)</f>
        <v>5</v>
      </c>
      <c r="AR55" s="50">
        <f t="shared" si="375"/>
        <v>10</v>
      </c>
      <c r="AS55" s="53">
        <f t="shared" si="295"/>
        <v>1</v>
      </c>
      <c r="AT55" s="54">
        <f t="shared" si="296"/>
        <v>1</v>
      </c>
      <c r="AU55" s="53">
        <f t="shared" si="297"/>
        <v>2</v>
      </c>
      <c r="AV55" s="54">
        <f t="shared" si="298"/>
        <v>4</v>
      </c>
      <c r="AW55" s="53">
        <f t="shared" si="299"/>
        <v>1</v>
      </c>
      <c r="AX55" s="54">
        <f t="shared" si="300"/>
        <v>3</v>
      </c>
      <c r="AY55" s="53">
        <f t="shared" si="301"/>
        <v>2</v>
      </c>
      <c r="AZ55" s="54">
        <f t="shared" si="302"/>
        <v>4</v>
      </c>
      <c r="BA55" s="53">
        <f t="shared" si="303"/>
        <v>0</v>
      </c>
      <c r="BB55" s="54">
        <f t="shared" si="304"/>
        <v>0</v>
      </c>
      <c r="BC55" s="49">
        <f t="shared" ref="BC55:BD55" si="376">SUM(AS55,AU55,AW55,AY55,BA55)</f>
        <v>6</v>
      </c>
      <c r="BD55" s="50">
        <f t="shared" si="376"/>
        <v>12</v>
      </c>
      <c r="BE55" s="68">
        <f t="shared" ref="BE55:BF55" si="377">SUM(E55,G55,I55,O55,Q55,AC55,AQ55,BC55)</f>
        <v>24</v>
      </c>
      <c r="BF55" s="69">
        <f t="shared" si="377"/>
        <v>50</v>
      </c>
      <c r="BG55" s="46" t="str">
        <f>BF55*'ОВгП_РАО'!$B$17</f>
        <v>#REF!</v>
      </c>
      <c r="BH55" s="46" t="str">
        <f>'ОВгП_РАО'!$B$17</f>
        <v>#REF!</v>
      </c>
    </row>
    <row r="56" ht="15.75" customHeight="1">
      <c r="A56" s="80">
        <f t="shared" si="307"/>
        <v>46262</v>
      </c>
      <c r="B56" s="129" t="s">
        <v>137</v>
      </c>
      <c r="C56" s="47" t="s">
        <v>122</v>
      </c>
      <c r="D56" s="47" t="s">
        <v>136</v>
      </c>
      <c r="E56" s="73">
        <f t="shared" si="258"/>
        <v>0</v>
      </c>
      <c r="F56" s="50">
        <f t="shared" si="259"/>
        <v>0</v>
      </c>
      <c r="G56" s="73">
        <f t="shared" si="260"/>
        <v>0</v>
      </c>
      <c r="H56" s="50">
        <f t="shared" si="261"/>
        <v>0</v>
      </c>
      <c r="I56" s="73">
        <f t="shared" si="262"/>
        <v>1</v>
      </c>
      <c r="J56" s="50">
        <f t="shared" si="263"/>
        <v>2</v>
      </c>
      <c r="K56" s="53">
        <f t="shared" si="264"/>
        <v>1</v>
      </c>
      <c r="L56" s="54">
        <f t="shared" si="265"/>
        <v>1</v>
      </c>
      <c r="M56" s="53">
        <f t="shared" si="266"/>
        <v>1</v>
      </c>
      <c r="N56" s="54">
        <f t="shared" si="267"/>
        <v>1</v>
      </c>
      <c r="O56" s="49">
        <f t="shared" ref="O56:P56" si="378">SUM(K56,M56)</f>
        <v>2</v>
      </c>
      <c r="P56" s="50">
        <f t="shared" si="378"/>
        <v>2</v>
      </c>
      <c r="Q56" s="73">
        <f t="shared" si="269"/>
        <v>1</v>
      </c>
      <c r="R56" s="50">
        <f t="shared" si="270"/>
        <v>2</v>
      </c>
      <c r="S56" s="53">
        <f t="shared" si="271"/>
        <v>1</v>
      </c>
      <c r="T56" s="54">
        <f t="shared" si="272"/>
        <v>1</v>
      </c>
      <c r="U56" s="53">
        <f t="shared" si="273"/>
        <v>0</v>
      </c>
      <c r="V56" s="54">
        <f t="shared" si="274"/>
        <v>0</v>
      </c>
      <c r="W56" s="53">
        <f t="shared" si="275"/>
        <v>0</v>
      </c>
      <c r="X56" s="54">
        <f t="shared" si="276"/>
        <v>0</v>
      </c>
      <c r="Y56" s="53">
        <f t="shared" si="277"/>
        <v>1</v>
      </c>
      <c r="Z56" s="54">
        <f t="shared" si="278"/>
        <v>1</v>
      </c>
      <c r="AA56" s="53">
        <f t="shared" si="279"/>
        <v>0</v>
      </c>
      <c r="AB56" s="54">
        <f t="shared" si="280"/>
        <v>0</v>
      </c>
      <c r="AC56" s="49">
        <f t="shared" ref="AC56:AD56" si="379">SUM(S56,U56,W56,Y56,AA56)</f>
        <v>2</v>
      </c>
      <c r="AD56" s="50">
        <f t="shared" si="379"/>
        <v>2</v>
      </c>
      <c r="AE56" s="53">
        <f t="shared" si="282"/>
        <v>1</v>
      </c>
      <c r="AF56" s="54">
        <f t="shared" si="283"/>
        <v>3</v>
      </c>
      <c r="AG56" s="53">
        <f t="shared" si="284"/>
        <v>1</v>
      </c>
      <c r="AH56" s="54">
        <f t="shared" si="285"/>
        <v>3</v>
      </c>
      <c r="AI56" s="53">
        <f t="shared" si="286"/>
        <v>1</v>
      </c>
      <c r="AJ56" s="54">
        <f t="shared" si="287"/>
        <v>3</v>
      </c>
      <c r="AK56" s="53">
        <f t="shared" si="288"/>
        <v>1</v>
      </c>
      <c r="AL56" s="54">
        <f t="shared" si="289"/>
        <v>2</v>
      </c>
      <c r="AM56" s="53">
        <f t="shared" si="290"/>
        <v>0</v>
      </c>
      <c r="AN56" s="54">
        <f t="shared" si="291"/>
        <v>0</v>
      </c>
      <c r="AO56" s="53">
        <f t="shared" si="292"/>
        <v>1</v>
      </c>
      <c r="AP56" s="54">
        <f t="shared" si="293"/>
        <v>2</v>
      </c>
      <c r="AQ56" s="49">
        <f t="shared" ref="AQ56:AR56" si="380">SUM(AG56,AI56,AK56,AM56,AO56)</f>
        <v>4</v>
      </c>
      <c r="AR56" s="50">
        <f t="shared" si="380"/>
        <v>10</v>
      </c>
      <c r="AS56" s="53">
        <f t="shared" si="295"/>
        <v>2</v>
      </c>
      <c r="AT56" s="54">
        <f t="shared" si="296"/>
        <v>4</v>
      </c>
      <c r="AU56" s="53">
        <f t="shared" si="297"/>
        <v>0</v>
      </c>
      <c r="AV56" s="54">
        <f t="shared" si="298"/>
        <v>0</v>
      </c>
      <c r="AW56" s="53">
        <f t="shared" si="299"/>
        <v>1</v>
      </c>
      <c r="AX56" s="54">
        <f t="shared" si="300"/>
        <v>2</v>
      </c>
      <c r="AY56" s="53">
        <f t="shared" si="301"/>
        <v>1</v>
      </c>
      <c r="AZ56" s="54">
        <f t="shared" si="302"/>
        <v>3</v>
      </c>
      <c r="BA56" s="53">
        <f t="shared" si="303"/>
        <v>1</v>
      </c>
      <c r="BB56" s="54">
        <f t="shared" si="304"/>
        <v>2</v>
      </c>
      <c r="BC56" s="49">
        <f t="shared" ref="BC56:BD56" si="381">SUM(AS56,AU56,AW56,AY56,BA56)</f>
        <v>5</v>
      </c>
      <c r="BD56" s="50">
        <f t="shared" si="381"/>
        <v>11</v>
      </c>
      <c r="BE56" s="68">
        <f t="shared" ref="BE56:BF56" si="382">SUM(E56,G56,I56,O56,Q56,AC56,AQ56,BC56)</f>
        <v>15</v>
      </c>
      <c r="BF56" s="69">
        <f t="shared" si="382"/>
        <v>29</v>
      </c>
      <c r="BG56" s="46" t="str">
        <f>BF56*'ОВгП_РАО'!$B$18</f>
        <v>#REF!</v>
      </c>
      <c r="BH56" s="46" t="str">
        <f>'ОВгП_РАО'!$B$18</f>
        <v>#REF!</v>
      </c>
    </row>
    <row r="57" ht="15.75" customHeight="1">
      <c r="A57" s="80">
        <f t="shared" si="307"/>
        <v>46262</v>
      </c>
      <c r="B57" s="129" t="s">
        <v>138</v>
      </c>
      <c r="C57" s="47" t="s">
        <v>122</v>
      </c>
      <c r="D57" s="47" t="s">
        <v>139</v>
      </c>
      <c r="E57" s="73">
        <f t="shared" si="258"/>
        <v>1</v>
      </c>
      <c r="F57" s="50">
        <f t="shared" si="259"/>
        <v>1</v>
      </c>
      <c r="G57" s="73">
        <f t="shared" si="260"/>
        <v>1</v>
      </c>
      <c r="H57" s="50">
        <f t="shared" si="261"/>
        <v>2</v>
      </c>
      <c r="I57" s="73">
        <f t="shared" si="262"/>
        <v>1</v>
      </c>
      <c r="J57" s="50">
        <f t="shared" si="263"/>
        <v>3</v>
      </c>
      <c r="K57" s="53">
        <f t="shared" si="264"/>
        <v>0</v>
      </c>
      <c r="L57" s="54">
        <f t="shared" si="265"/>
        <v>0</v>
      </c>
      <c r="M57" s="53">
        <f t="shared" si="266"/>
        <v>1</v>
      </c>
      <c r="N57" s="54">
        <f t="shared" si="267"/>
        <v>1</v>
      </c>
      <c r="O57" s="49">
        <f t="shared" ref="O57:P57" si="383">SUM(K57,M57)</f>
        <v>1</v>
      </c>
      <c r="P57" s="50">
        <f t="shared" si="383"/>
        <v>1</v>
      </c>
      <c r="Q57" s="73">
        <f t="shared" si="269"/>
        <v>1</v>
      </c>
      <c r="R57" s="50">
        <f t="shared" si="270"/>
        <v>3</v>
      </c>
      <c r="S57" s="53">
        <f t="shared" si="271"/>
        <v>0</v>
      </c>
      <c r="T57" s="54">
        <f t="shared" si="272"/>
        <v>0</v>
      </c>
      <c r="U57" s="53">
        <f t="shared" si="273"/>
        <v>1</v>
      </c>
      <c r="V57" s="54">
        <f t="shared" si="274"/>
        <v>1</v>
      </c>
      <c r="W57" s="53">
        <f t="shared" si="275"/>
        <v>1</v>
      </c>
      <c r="X57" s="54">
        <f t="shared" si="276"/>
        <v>2</v>
      </c>
      <c r="Y57" s="53">
        <f t="shared" si="277"/>
        <v>2</v>
      </c>
      <c r="Z57" s="54">
        <f t="shared" si="278"/>
        <v>4</v>
      </c>
      <c r="AA57" s="53">
        <f t="shared" si="279"/>
        <v>0</v>
      </c>
      <c r="AB57" s="54">
        <f t="shared" si="280"/>
        <v>0</v>
      </c>
      <c r="AC57" s="49">
        <f t="shared" ref="AC57:AD57" si="384">SUM(S57,U57,W57,Y57,AA57)</f>
        <v>4</v>
      </c>
      <c r="AD57" s="50">
        <f t="shared" si="384"/>
        <v>7</v>
      </c>
      <c r="AE57" s="53">
        <f t="shared" si="282"/>
        <v>0</v>
      </c>
      <c r="AF57" s="54">
        <f t="shared" si="283"/>
        <v>0</v>
      </c>
      <c r="AG57" s="53">
        <f t="shared" si="284"/>
        <v>1</v>
      </c>
      <c r="AH57" s="54">
        <f t="shared" si="285"/>
        <v>2</v>
      </c>
      <c r="AI57" s="53">
        <f t="shared" si="286"/>
        <v>1</v>
      </c>
      <c r="AJ57" s="54">
        <f t="shared" si="287"/>
        <v>1</v>
      </c>
      <c r="AK57" s="53">
        <f t="shared" si="288"/>
        <v>1</v>
      </c>
      <c r="AL57" s="54">
        <f t="shared" si="289"/>
        <v>3</v>
      </c>
      <c r="AM57" s="53">
        <f t="shared" si="290"/>
        <v>1</v>
      </c>
      <c r="AN57" s="54">
        <f t="shared" si="291"/>
        <v>3</v>
      </c>
      <c r="AO57" s="53">
        <f t="shared" si="292"/>
        <v>0</v>
      </c>
      <c r="AP57" s="54">
        <f t="shared" si="293"/>
        <v>0</v>
      </c>
      <c r="AQ57" s="49">
        <f t="shared" ref="AQ57:AR57" si="385">SUM(AG57,AI57,AK57,AM57,AO57)</f>
        <v>4</v>
      </c>
      <c r="AR57" s="50">
        <f t="shared" si="385"/>
        <v>9</v>
      </c>
      <c r="AS57" s="53">
        <f t="shared" si="295"/>
        <v>0</v>
      </c>
      <c r="AT57" s="54">
        <f t="shared" si="296"/>
        <v>0</v>
      </c>
      <c r="AU57" s="53">
        <f t="shared" si="297"/>
        <v>1</v>
      </c>
      <c r="AV57" s="54">
        <f t="shared" si="298"/>
        <v>2</v>
      </c>
      <c r="AW57" s="53">
        <f t="shared" si="299"/>
        <v>1</v>
      </c>
      <c r="AX57" s="54">
        <f t="shared" si="300"/>
        <v>3</v>
      </c>
      <c r="AY57" s="53">
        <f t="shared" si="301"/>
        <v>1</v>
      </c>
      <c r="AZ57" s="54">
        <f t="shared" si="302"/>
        <v>1</v>
      </c>
      <c r="BA57" s="53">
        <f t="shared" si="303"/>
        <v>2</v>
      </c>
      <c r="BB57" s="54">
        <f t="shared" si="304"/>
        <v>4</v>
      </c>
      <c r="BC57" s="49">
        <f t="shared" ref="BC57:BD57" si="386">SUM(AS57,AU57,AW57,AY57,BA57)</f>
        <v>5</v>
      </c>
      <c r="BD57" s="50">
        <f t="shared" si="386"/>
        <v>10</v>
      </c>
      <c r="BE57" s="68">
        <f t="shared" ref="BE57:BF57" si="387">SUM(E57,G57,I57,O57,Q57,AC57,AQ57,BC57)</f>
        <v>18</v>
      </c>
      <c r="BF57" s="69">
        <f t="shared" si="387"/>
        <v>36</v>
      </c>
      <c r="BG57" s="46" t="str">
        <f>BF57*'ОВгП_РАО'!$B$19</f>
        <v>#REF!</v>
      </c>
      <c r="BH57" s="46" t="str">
        <f>'ОВгП_РАО'!$B$19</f>
        <v>#REF!</v>
      </c>
    </row>
    <row r="58" ht="15.75" customHeight="1">
      <c r="A58" s="80">
        <f t="shared" si="307"/>
        <v>46262</v>
      </c>
      <c r="B58" s="129" t="s">
        <v>140</v>
      </c>
      <c r="C58" s="47" t="s">
        <v>122</v>
      </c>
      <c r="D58" s="47" t="s">
        <v>139</v>
      </c>
      <c r="E58" s="73">
        <f t="shared" si="258"/>
        <v>1</v>
      </c>
      <c r="F58" s="50">
        <f t="shared" si="259"/>
        <v>3</v>
      </c>
      <c r="G58" s="73">
        <f t="shared" si="260"/>
        <v>1</v>
      </c>
      <c r="H58" s="50">
        <f t="shared" si="261"/>
        <v>3</v>
      </c>
      <c r="I58" s="73">
        <f t="shared" si="262"/>
        <v>0</v>
      </c>
      <c r="J58" s="50">
        <f t="shared" si="263"/>
        <v>0</v>
      </c>
      <c r="K58" s="53">
        <f t="shared" si="264"/>
        <v>1</v>
      </c>
      <c r="L58" s="54">
        <f t="shared" si="265"/>
        <v>2</v>
      </c>
      <c r="M58" s="53">
        <f t="shared" si="266"/>
        <v>1</v>
      </c>
      <c r="N58" s="54">
        <f t="shared" si="267"/>
        <v>2</v>
      </c>
      <c r="O58" s="49">
        <f t="shared" ref="O58:P58" si="388">SUM(K58,M58)</f>
        <v>2</v>
      </c>
      <c r="P58" s="50">
        <f t="shared" si="388"/>
        <v>4</v>
      </c>
      <c r="Q58" s="73">
        <f t="shared" si="269"/>
        <v>1</v>
      </c>
      <c r="R58" s="50">
        <f t="shared" si="270"/>
        <v>3</v>
      </c>
      <c r="S58" s="53">
        <f t="shared" si="271"/>
        <v>0</v>
      </c>
      <c r="T58" s="54">
        <f t="shared" si="272"/>
        <v>0</v>
      </c>
      <c r="U58" s="53">
        <f t="shared" si="273"/>
        <v>1</v>
      </c>
      <c r="V58" s="54">
        <f t="shared" si="274"/>
        <v>2</v>
      </c>
      <c r="W58" s="53">
        <f t="shared" si="275"/>
        <v>0</v>
      </c>
      <c r="X58" s="54">
        <f t="shared" si="276"/>
        <v>0</v>
      </c>
      <c r="Y58" s="53">
        <f t="shared" si="277"/>
        <v>2</v>
      </c>
      <c r="Z58" s="54">
        <f t="shared" si="278"/>
        <v>4</v>
      </c>
      <c r="AA58" s="53">
        <f t="shared" si="279"/>
        <v>1</v>
      </c>
      <c r="AB58" s="54">
        <f t="shared" si="280"/>
        <v>1</v>
      </c>
      <c r="AC58" s="49">
        <f t="shared" ref="AC58:AD58" si="389">SUM(S58,U58,W58,Y58,AA58)</f>
        <v>4</v>
      </c>
      <c r="AD58" s="50">
        <f t="shared" si="389"/>
        <v>7</v>
      </c>
      <c r="AE58" s="53">
        <f t="shared" si="282"/>
        <v>1</v>
      </c>
      <c r="AF58" s="54">
        <f t="shared" si="283"/>
        <v>3</v>
      </c>
      <c r="AG58" s="53">
        <f t="shared" si="284"/>
        <v>2</v>
      </c>
      <c r="AH58" s="54">
        <f t="shared" si="285"/>
        <v>4</v>
      </c>
      <c r="AI58" s="53">
        <f t="shared" si="286"/>
        <v>0</v>
      </c>
      <c r="AJ58" s="54">
        <f t="shared" si="287"/>
        <v>0</v>
      </c>
      <c r="AK58" s="53">
        <f t="shared" si="288"/>
        <v>0</v>
      </c>
      <c r="AL58" s="54">
        <f t="shared" si="289"/>
        <v>0</v>
      </c>
      <c r="AM58" s="53">
        <f t="shared" si="290"/>
        <v>0</v>
      </c>
      <c r="AN58" s="54">
        <f t="shared" si="291"/>
        <v>0</v>
      </c>
      <c r="AO58" s="53">
        <f t="shared" si="292"/>
        <v>2</v>
      </c>
      <c r="AP58" s="54">
        <f t="shared" si="293"/>
        <v>4</v>
      </c>
      <c r="AQ58" s="49">
        <f t="shared" ref="AQ58:AR58" si="390">SUM(AG58,AI58,AK58,AM58,AO58)</f>
        <v>4</v>
      </c>
      <c r="AR58" s="50">
        <f t="shared" si="390"/>
        <v>8</v>
      </c>
      <c r="AS58" s="53">
        <f t="shared" si="295"/>
        <v>1</v>
      </c>
      <c r="AT58" s="54">
        <f t="shared" si="296"/>
        <v>1</v>
      </c>
      <c r="AU58" s="53">
        <f t="shared" si="297"/>
        <v>2</v>
      </c>
      <c r="AV58" s="54">
        <f t="shared" si="298"/>
        <v>4</v>
      </c>
      <c r="AW58" s="53">
        <f t="shared" si="299"/>
        <v>0</v>
      </c>
      <c r="AX58" s="54">
        <f t="shared" si="300"/>
        <v>0</v>
      </c>
      <c r="AY58" s="53">
        <f t="shared" si="301"/>
        <v>1</v>
      </c>
      <c r="AZ58" s="54">
        <f t="shared" si="302"/>
        <v>1</v>
      </c>
      <c r="BA58" s="53">
        <f t="shared" si="303"/>
        <v>1</v>
      </c>
      <c r="BB58" s="54">
        <f t="shared" si="304"/>
        <v>3</v>
      </c>
      <c r="BC58" s="49">
        <f t="shared" ref="BC58:BD58" si="391">SUM(AS58,AU58,AW58,AY58,BA58)</f>
        <v>5</v>
      </c>
      <c r="BD58" s="50">
        <f t="shared" si="391"/>
        <v>9</v>
      </c>
      <c r="BE58" s="68">
        <f t="shared" ref="BE58:BF58" si="392">SUM(E58,G58,I58,O58,Q58,AC58,AQ58,BC58)</f>
        <v>18</v>
      </c>
      <c r="BF58" s="69">
        <f t="shared" si="392"/>
        <v>37</v>
      </c>
      <c r="BG58" s="46" t="str">
        <f>BF58*'ОВгП_РАО'!$B$20</f>
        <v>#REF!</v>
      </c>
      <c r="BH58" s="46" t="str">
        <f>'ОВгП_РАО'!$B$20</f>
        <v>#REF!</v>
      </c>
    </row>
    <row r="59" ht="15.75" customHeight="1">
      <c r="A59" s="80">
        <f t="shared" si="307"/>
        <v>46262</v>
      </c>
      <c r="B59" s="129" t="s">
        <v>141</v>
      </c>
      <c r="C59" s="47" t="s">
        <v>122</v>
      </c>
      <c r="D59" s="47" t="s">
        <v>139</v>
      </c>
      <c r="E59" s="73">
        <f t="shared" si="258"/>
        <v>1</v>
      </c>
      <c r="F59" s="50">
        <f t="shared" si="259"/>
        <v>3</v>
      </c>
      <c r="G59" s="73">
        <f t="shared" si="260"/>
        <v>1</v>
      </c>
      <c r="H59" s="50">
        <f t="shared" si="261"/>
        <v>2</v>
      </c>
      <c r="I59" s="73">
        <f t="shared" si="262"/>
        <v>1</v>
      </c>
      <c r="J59" s="50">
        <f t="shared" si="263"/>
        <v>1</v>
      </c>
      <c r="K59" s="53">
        <f t="shared" si="264"/>
        <v>2</v>
      </c>
      <c r="L59" s="54">
        <f t="shared" si="265"/>
        <v>4</v>
      </c>
      <c r="M59" s="53">
        <f t="shared" si="266"/>
        <v>2</v>
      </c>
      <c r="N59" s="54">
        <f t="shared" si="267"/>
        <v>4</v>
      </c>
      <c r="O59" s="49">
        <f t="shared" ref="O59:P59" si="393">SUM(K59,M59)</f>
        <v>4</v>
      </c>
      <c r="P59" s="50">
        <f t="shared" si="393"/>
        <v>8</v>
      </c>
      <c r="Q59" s="73">
        <f t="shared" si="269"/>
        <v>0</v>
      </c>
      <c r="R59" s="50">
        <f t="shared" si="270"/>
        <v>0</v>
      </c>
      <c r="S59" s="53">
        <f t="shared" si="271"/>
        <v>1</v>
      </c>
      <c r="T59" s="54">
        <f t="shared" si="272"/>
        <v>2</v>
      </c>
      <c r="U59" s="53">
        <f t="shared" si="273"/>
        <v>1</v>
      </c>
      <c r="V59" s="54">
        <f t="shared" si="274"/>
        <v>1</v>
      </c>
      <c r="W59" s="53">
        <f t="shared" si="275"/>
        <v>1</v>
      </c>
      <c r="X59" s="54">
        <f t="shared" si="276"/>
        <v>2</v>
      </c>
      <c r="Y59" s="53">
        <f t="shared" si="277"/>
        <v>0</v>
      </c>
      <c r="Z59" s="54">
        <f t="shared" si="278"/>
        <v>0</v>
      </c>
      <c r="AA59" s="53">
        <f t="shared" si="279"/>
        <v>0</v>
      </c>
      <c r="AB59" s="54">
        <f t="shared" si="280"/>
        <v>0</v>
      </c>
      <c r="AC59" s="49">
        <f t="shared" ref="AC59:AD59" si="394">SUM(S59,U59,W59,Y59,AA59)</f>
        <v>3</v>
      </c>
      <c r="AD59" s="50">
        <f t="shared" si="394"/>
        <v>5</v>
      </c>
      <c r="AE59" s="53">
        <f t="shared" si="282"/>
        <v>1</v>
      </c>
      <c r="AF59" s="54">
        <f t="shared" si="283"/>
        <v>1</v>
      </c>
      <c r="AG59" s="53">
        <f t="shared" si="284"/>
        <v>2</v>
      </c>
      <c r="AH59" s="54">
        <f t="shared" si="285"/>
        <v>4</v>
      </c>
      <c r="AI59" s="53">
        <f t="shared" si="286"/>
        <v>2</v>
      </c>
      <c r="AJ59" s="54">
        <f t="shared" si="287"/>
        <v>4</v>
      </c>
      <c r="AK59" s="53">
        <f t="shared" si="288"/>
        <v>1</v>
      </c>
      <c r="AL59" s="54">
        <f t="shared" si="289"/>
        <v>2</v>
      </c>
      <c r="AM59" s="53">
        <f t="shared" si="290"/>
        <v>1</v>
      </c>
      <c r="AN59" s="54">
        <f t="shared" si="291"/>
        <v>2</v>
      </c>
      <c r="AO59" s="53">
        <f t="shared" si="292"/>
        <v>1</v>
      </c>
      <c r="AP59" s="54">
        <f t="shared" si="293"/>
        <v>3</v>
      </c>
      <c r="AQ59" s="49">
        <f t="shared" ref="AQ59:AR59" si="395">SUM(AG59,AI59,AK59,AM59,AO59)</f>
        <v>7</v>
      </c>
      <c r="AR59" s="50">
        <f t="shared" si="395"/>
        <v>15</v>
      </c>
      <c r="AS59" s="53">
        <f t="shared" si="295"/>
        <v>2</v>
      </c>
      <c r="AT59" s="54">
        <f t="shared" si="296"/>
        <v>4</v>
      </c>
      <c r="AU59" s="53">
        <f t="shared" si="297"/>
        <v>0</v>
      </c>
      <c r="AV59" s="54">
        <f t="shared" si="298"/>
        <v>0</v>
      </c>
      <c r="AW59" s="53">
        <f t="shared" si="299"/>
        <v>1</v>
      </c>
      <c r="AX59" s="54">
        <f t="shared" si="300"/>
        <v>1</v>
      </c>
      <c r="AY59" s="53">
        <f t="shared" si="301"/>
        <v>2</v>
      </c>
      <c r="AZ59" s="54">
        <f t="shared" si="302"/>
        <v>4</v>
      </c>
      <c r="BA59" s="53">
        <f t="shared" si="303"/>
        <v>1</v>
      </c>
      <c r="BB59" s="54">
        <f t="shared" si="304"/>
        <v>2</v>
      </c>
      <c r="BC59" s="49">
        <f t="shared" ref="BC59:BD59" si="396">SUM(AS59,AU59,AW59,AY59,BA59)</f>
        <v>6</v>
      </c>
      <c r="BD59" s="50">
        <f t="shared" si="396"/>
        <v>11</v>
      </c>
      <c r="BE59" s="68">
        <f t="shared" ref="BE59:BF59" si="397">SUM(E59,G59,I59,O59,Q59,AC59,AQ59,BC59)</f>
        <v>23</v>
      </c>
      <c r="BF59" s="69">
        <f t="shared" si="397"/>
        <v>45</v>
      </c>
      <c r="BG59" s="46" t="str">
        <f>BF59*'ОВгП_РАО'!$B$21</f>
        <v>#REF!</v>
      </c>
      <c r="BH59" s="46" t="str">
        <f>'ОВгП_РАО'!$B$21</f>
        <v>#REF!</v>
      </c>
    </row>
    <row r="60" ht="15.75" customHeight="1">
      <c r="A60" s="80">
        <f t="shared" si="307"/>
        <v>46262</v>
      </c>
      <c r="B60" s="47" t="s">
        <v>142</v>
      </c>
      <c r="C60" s="46" t="s">
        <v>96</v>
      </c>
      <c r="D60" s="47" t="s">
        <v>98</v>
      </c>
      <c r="E60" s="73">
        <f t="shared" si="258"/>
        <v>1</v>
      </c>
      <c r="F60" s="50">
        <f t="shared" si="259"/>
        <v>1</v>
      </c>
      <c r="G60" s="73">
        <f t="shared" si="260"/>
        <v>2</v>
      </c>
      <c r="H60" s="50">
        <f t="shared" si="261"/>
        <v>4</v>
      </c>
      <c r="I60" s="73">
        <f t="shared" si="262"/>
        <v>2</v>
      </c>
      <c r="J60" s="50">
        <f t="shared" si="263"/>
        <v>4</v>
      </c>
      <c r="K60" s="53">
        <f t="shared" si="264"/>
        <v>0</v>
      </c>
      <c r="L60" s="54">
        <f t="shared" si="265"/>
        <v>0</v>
      </c>
      <c r="M60" s="53">
        <f t="shared" si="266"/>
        <v>1</v>
      </c>
      <c r="N60" s="54">
        <f t="shared" si="267"/>
        <v>2</v>
      </c>
      <c r="O60" s="49">
        <f t="shared" ref="O60:P60" si="398">SUM(K60,M60)</f>
        <v>1</v>
      </c>
      <c r="P60" s="50">
        <f t="shared" si="398"/>
        <v>2</v>
      </c>
      <c r="Q60" s="73">
        <f t="shared" si="269"/>
        <v>0</v>
      </c>
      <c r="R60" s="50">
        <f t="shared" si="270"/>
        <v>0</v>
      </c>
      <c r="S60" s="53">
        <f t="shared" si="271"/>
        <v>0</v>
      </c>
      <c r="T60" s="54">
        <f t="shared" si="272"/>
        <v>0</v>
      </c>
      <c r="U60" s="53">
        <f t="shared" si="273"/>
        <v>1</v>
      </c>
      <c r="V60" s="54">
        <f t="shared" si="274"/>
        <v>3</v>
      </c>
      <c r="W60" s="53">
        <f t="shared" si="275"/>
        <v>1</v>
      </c>
      <c r="X60" s="54">
        <f t="shared" si="276"/>
        <v>1</v>
      </c>
      <c r="Y60" s="53">
        <f t="shared" si="277"/>
        <v>0</v>
      </c>
      <c r="Z60" s="54">
        <f t="shared" si="278"/>
        <v>0</v>
      </c>
      <c r="AA60" s="53">
        <f t="shared" si="279"/>
        <v>0</v>
      </c>
      <c r="AB60" s="54">
        <f t="shared" si="280"/>
        <v>0</v>
      </c>
      <c r="AC60" s="49">
        <f t="shared" ref="AC60:AD60" si="399">SUM(S60,U60,W60,Y60,AA60)</f>
        <v>2</v>
      </c>
      <c r="AD60" s="50">
        <f t="shared" si="399"/>
        <v>4</v>
      </c>
      <c r="AE60" s="53">
        <f t="shared" si="282"/>
        <v>0</v>
      </c>
      <c r="AF60" s="54">
        <f t="shared" si="283"/>
        <v>0</v>
      </c>
      <c r="AG60" s="53">
        <f t="shared" si="284"/>
        <v>0</v>
      </c>
      <c r="AH60" s="54">
        <f t="shared" si="285"/>
        <v>0</v>
      </c>
      <c r="AI60" s="53">
        <f t="shared" si="286"/>
        <v>0</v>
      </c>
      <c r="AJ60" s="54">
        <f t="shared" si="287"/>
        <v>0</v>
      </c>
      <c r="AK60" s="53">
        <f t="shared" si="288"/>
        <v>1</v>
      </c>
      <c r="AL60" s="54">
        <f t="shared" si="289"/>
        <v>3</v>
      </c>
      <c r="AM60" s="53">
        <f t="shared" si="290"/>
        <v>1</v>
      </c>
      <c r="AN60" s="54">
        <f t="shared" si="291"/>
        <v>1</v>
      </c>
      <c r="AO60" s="53">
        <f t="shared" si="292"/>
        <v>0</v>
      </c>
      <c r="AP60" s="54">
        <f t="shared" si="293"/>
        <v>0</v>
      </c>
      <c r="AQ60" s="49">
        <f t="shared" ref="AQ60:AR60" si="400">SUM(AG60,AI60,AK60,AM60,AO60)</f>
        <v>2</v>
      </c>
      <c r="AR60" s="50">
        <f t="shared" si="400"/>
        <v>4</v>
      </c>
      <c r="AS60" s="53">
        <f t="shared" si="295"/>
        <v>2</v>
      </c>
      <c r="AT60" s="54">
        <f t="shared" si="296"/>
        <v>4</v>
      </c>
      <c r="AU60" s="53">
        <f t="shared" si="297"/>
        <v>0</v>
      </c>
      <c r="AV60" s="54">
        <f t="shared" si="298"/>
        <v>0</v>
      </c>
      <c r="AW60" s="53">
        <f t="shared" si="299"/>
        <v>1</v>
      </c>
      <c r="AX60" s="54">
        <f t="shared" si="300"/>
        <v>3</v>
      </c>
      <c r="AY60" s="53">
        <f t="shared" si="301"/>
        <v>1</v>
      </c>
      <c r="AZ60" s="54">
        <f t="shared" si="302"/>
        <v>2</v>
      </c>
      <c r="BA60" s="53">
        <f t="shared" si="303"/>
        <v>2</v>
      </c>
      <c r="BB60" s="54">
        <f t="shared" si="304"/>
        <v>4</v>
      </c>
      <c r="BC60" s="49">
        <f t="shared" ref="BC60:BD60" si="401">SUM(AS60,AU60,AW60,AY60,BA60)</f>
        <v>6</v>
      </c>
      <c r="BD60" s="50">
        <f t="shared" si="401"/>
        <v>13</v>
      </c>
      <c r="BE60" s="68">
        <f t="shared" ref="BE60:BF60" si="402">SUM(E60,G60,I60,O60,Q60,AC60,AQ60,BC60)</f>
        <v>16</v>
      </c>
      <c r="BF60" s="69">
        <f t="shared" si="402"/>
        <v>32</v>
      </c>
      <c r="BG60" s="46" t="str">
        <f>BF60*'ОВгП_РАО'!$B$22</f>
        <v>#REF!</v>
      </c>
      <c r="BH60" s="46" t="str">
        <f>'ОВгП_РАО'!$B$22</f>
        <v>#REF!</v>
      </c>
    </row>
    <row r="61" ht="15.75" customHeight="1">
      <c r="A61" s="80">
        <f t="shared" si="307"/>
        <v>46262</v>
      </c>
      <c r="B61" s="47" t="s">
        <v>143</v>
      </c>
      <c r="C61" s="46" t="s">
        <v>96</v>
      </c>
      <c r="D61" s="47" t="s">
        <v>98</v>
      </c>
      <c r="E61" s="73">
        <f t="shared" si="258"/>
        <v>1</v>
      </c>
      <c r="F61" s="50">
        <f t="shared" si="259"/>
        <v>2</v>
      </c>
      <c r="G61" s="73">
        <f t="shared" si="260"/>
        <v>1</v>
      </c>
      <c r="H61" s="50">
        <f t="shared" si="261"/>
        <v>1</v>
      </c>
      <c r="I61" s="73">
        <f t="shared" si="262"/>
        <v>1</v>
      </c>
      <c r="J61" s="50">
        <f t="shared" si="263"/>
        <v>2</v>
      </c>
      <c r="K61" s="53">
        <f t="shared" si="264"/>
        <v>2</v>
      </c>
      <c r="L61" s="54">
        <f t="shared" si="265"/>
        <v>4</v>
      </c>
      <c r="M61" s="53">
        <f t="shared" si="266"/>
        <v>0</v>
      </c>
      <c r="N61" s="54">
        <f t="shared" si="267"/>
        <v>0</v>
      </c>
      <c r="O61" s="49">
        <f t="shared" ref="O61:P61" si="403">SUM(K61,M61)</f>
        <v>2</v>
      </c>
      <c r="P61" s="50">
        <f t="shared" si="403"/>
        <v>4</v>
      </c>
      <c r="Q61" s="73">
        <f t="shared" si="269"/>
        <v>1</v>
      </c>
      <c r="R61" s="50">
        <f t="shared" si="270"/>
        <v>1</v>
      </c>
      <c r="S61" s="53">
        <f t="shared" si="271"/>
        <v>2</v>
      </c>
      <c r="T61" s="54">
        <f t="shared" si="272"/>
        <v>4</v>
      </c>
      <c r="U61" s="53">
        <f t="shared" si="273"/>
        <v>1</v>
      </c>
      <c r="V61" s="54">
        <f t="shared" si="274"/>
        <v>3</v>
      </c>
      <c r="W61" s="53">
        <f t="shared" si="275"/>
        <v>2</v>
      </c>
      <c r="X61" s="54">
        <f t="shared" si="276"/>
        <v>4</v>
      </c>
      <c r="Y61" s="53">
        <f t="shared" si="277"/>
        <v>1</v>
      </c>
      <c r="Z61" s="54">
        <f t="shared" si="278"/>
        <v>3</v>
      </c>
      <c r="AA61" s="53">
        <f t="shared" si="279"/>
        <v>1</v>
      </c>
      <c r="AB61" s="54">
        <f t="shared" si="280"/>
        <v>2</v>
      </c>
      <c r="AC61" s="49">
        <f t="shared" ref="AC61:AD61" si="404">SUM(S61,U61,W61,Y61,AA61)</f>
        <v>7</v>
      </c>
      <c r="AD61" s="50">
        <f t="shared" si="404"/>
        <v>16</v>
      </c>
      <c r="AE61" s="53">
        <f t="shared" si="282"/>
        <v>1</v>
      </c>
      <c r="AF61" s="54">
        <f t="shared" si="283"/>
        <v>1</v>
      </c>
      <c r="AG61" s="53">
        <f t="shared" si="284"/>
        <v>1</v>
      </c>
      <c r="AH61" s="54">
        <f t="shared" si="285"/>
        <v>1</v>
      </c>
      <c r="AI61" s="53">
        <f t="shared" si="286"/>
        <v>1</v>
      </c>
      <c r="AJ61" s="54">
        <f t="shared" si="287"/>
        <v>2</v>
      </c>
      <c r="AK61" s="53">
        <f t="shared" si="288"/>
        <v>1</v>
      </c>
      <c r="AL61" s="54">
        <f t="shared" si="289"/>
        <v>1</v>
      </c>
      <c r="AM61" s="53">
        <f t="shared" si="290"/>
        <v>1</v>
      </c>
      <c r="AN61" s="54">
        <f t="shared" si="291"/>
        <v>1</v>
      </c>
      <c r="AO61" s="53">
        <f t="shared" si="292"/>
        <v>1</v>
      </c>
      <c r="AP61" s="54">
        <f t="shared" si="293"/>
        <v>1</v>
      </c>
      <c r="AQ61" s="49">
        <f t="shared" ref="AQ61:AR61" si="405">SUM(AG61,AI61,AK61,AM61,AO61)</f>
        <v>5</v>
      </c>
      <c r="AR61" s="50">
        <f t="shared" si="405"/>
        <v>6</v>
      </c>
      <c r="AS61" s="53">
        <f t="shared" si="295"/>
        <v>1</v>
      </c>
      <c r="AT61" s="54">
        <f t="shared" si="296"/>
        <v>2</v>
      </c>
      <c r="AU61" s="53">
        <f t="shared" si="297"/>
        <v>1</v>
      </c>
      <c r="AV61" s="54">
        <f t="shared" si="298"/>
        <v>1</v>
      </c>
      <c r="AW61" s="53">
        <f t="shared" si="299"/>
        <v>2</v>
      </c>
      <c r="AX61" s="54">
        <f t="shared" si="300"/>
        <v>4</v>
      </c>
      <c r="AY61" s="53">
        <f t="shared" si="301"/>
        <v>2</v>
      </c>
      <c r="AZ61" s="54">
        <f t="shared" si="302"/>
        <v>4</v>
      </c>
      <c r="BA61" s="53">
        <f t="shared" si="303"/>
        <v>1</v>
      </c>
      <c r="BB61" s="54">
        <f t="shared" si="304"/>
        <v>3</v>
      </c>
      <c r="BC61" s="49">
        <f t="shared" ref="BC61:BD61" si="406">SUM(AS61,AU61,AW61,AY61,BA61)</f>
        <v>7</v>
      </c>
      <c r="BD61" s="50">
        <f t="shared" si="406"/>
        <v>14</v>
      </c>
      <c r="BE61" s="68">
        <f t="shared" ref="BE61:BF61" si="407">SUM(E61,G61,I61,O61,Q61,AC61,AQ61,BC61)</f>
        <v>25</v>
      </c>
      <c r="BF61" s="69">
        <f t="shared" si="407"/>
        <v>46</v>
      </c>
      <c r="BG61" s="46" t="str">
        <f>BF61*'ОВгП_РАО'!$B$23</f>
        <v>#REF!</v>
      </c>
      <c r="BH61" s="46" t="str">
        <f>'ОВгП_РАО'!$B$23</f>
        <v>#REF!</v>
      </c>
    </row>
    <row r="62" ht="15.75" customHeight="1">
      <c r="A62" s="80">
        <f t="shared" si="307"/>
        <v>46262</v>
      </c>
      <c r="B62" s="47" t="s">
        <v>144</v>
      </c>
      <c r="C62" s="46" t="s">
        <v>96</v>
      </c>
      <c r="D62" s="47" t="s">
        <v>145</v>
      </c>
      <c r="E62" s="73">
        <f t="shared" si="258"/>
        <v>0</v>
      </c>
      <c r="F62" s="50">
        <f t="shared" si="259"/>
        <v>0</v>
      </c>
      <c r="G62" s="73">
        <f t="shared" si="260"/>
        <v>1</v>
      </c>
      <c r="H62" s="50">
        <f t="shared" si="261"/>
        <v>1</v>
      </c>
      <c r="I62" s="73">
        <f t="shared" si="262"/>
        <v>1</v>
      </c>
      <c r="J62" s="50">
        <f t="shared" si="263"/>
        <v>3</v>
      </c>
      <c r="K62" s="53">
        <f t="shared" si="264"/>
        <v>0</v>
      </c>
      <c r="L62" s="54">
        <f t="shared" si="265"/>
        <v>0</v>
      </c>
      <c r="M62" s="53">
        <f t="shared" si="266"/>
        <v>1</v>
      </c>
      <c r="N62" s="54">
        <f t="shared" si="267"/>
        <v>1</v>
      </c>
      <c r="O62" s="49">
        <f t="shared" ref="O62:P62" si="408">SUM(K62,M62)</f>
        <v>1</v>
      </c>
      <c r="P62" s="50">
        <f t="shared" si="408"/>
        <v>1</v>
      </c>
      <c r="Q62" s="73">
        <f t="shared" si="269"/>
        <v>2</v>
      </c>
      <c r="R62" s="50">
        <f t="shared" si="270"/>
        <v>4</v>
      </c>
      <c r="S62" s="53">
        <f t="shared" si="271"/>
        <v>0</v>
      </c>
      <c r="T62" s="54">
        <f t="shared" si="272"/>
        <v>0</v>
      </c>
      <c r="U62" s="53">
        <f t="shared" si="273"/>
        <v>1</v>
      </c>
      <c r="V62" s="54">
        <f t="shared" si="274"/>
        <v>2</v>
      </c>
      <c r="W62" s="53">
        <f t="shared" si="275"/>
        <v>2</v>
      </c>
      <c r="X62" s="54">
        <f t="shared" si="276"/>
        <v>4</v>
      </c>
      <c r="Y62" s="53">
        <f t="shared" si="277"/>
        <v>0</v>
      </c>
      <c r="Z62" s="54">
        <f t="shared" si="278"/>
        <v>0</v>
      </c>
      <c r="AA62" s="53">
        <f t="shared" si="279"/>
        <v>1</v>
      </c>
      <c r="AB62" s="54">
        <f t="shared" si="280"/>
        <v>1</v>
      </c>
      <c r="AC62" s="49">
        <f t="shared" ref="AC62:AD62" si="409">SUM(S62,U62,W62,Y62,AA62)</f>
        <v>4</v>
      </c>
      <c r="AD62" s="50">
        <f t="shared" si="409"/>
        <v>7</v>
      </c>
      <c r="AE62" s="53">
        <f t="shared" si="282"/>
        <v>2</v>
      </c>
      <c r="AF62" s="54">
        <f t="shared" si="283"/>
        <v>4</v>
      </c>
      <c r="AG62" s="53">
        <f t="shared" si="284"/>
        <v>1</v>
      </c>
      <c r="AH62" s="54">
        <f t="shared" si="285"/>
        <v>3</v>
      </c>
      <c r="AI62" s="53">
        <f t="shared" si="286"/>
        <v>1</v>
      </c>
      <c r="AJ62" s="54">
        <f t="shared" si="287"/>
        <v>2</v>
      </c>
      <c r="AK62" s="53">
        <f t="shared" si="288"/>
        <v>2</v>
      </c>
      <c r="AL62" s="54">
        <f t="shared" si="289"/>
        <v>4</v>
      </c>
      <c r="AM62" s="53">
        <f t="shared" si="290"/>
        <v>1</v>
      </c>
      <c r="AN62" s="54">
        <f t="shared" si="291"/>
        <v>3</v>
      </c>
      <c r="AO62" s="53">
        <f t="shared" si="292"/>
        <v>1</v>
      </c>
      <c r="AP62" s="54">
        <f t="shared" si="293"/>
        <v>1</v>
      </c>
      <c r="AQ62" s="49">
        <f t="shared" ref="AQ62:AR62" si="410">SUM(AG62,AI62,AK62,AM62,AO62)</f>
        <v>6</v>
      </c>
      <c r="AR62" s="50">
        <f t="shared" si="410"/>
        <v>13</v>
      </c>
      <c r="AS62" s="53">
        <f t="shared" si="295"/>
        <v>1</v>
      </c>
      <c r="AT62" s="54">
        <f t="shared" si="296"/>
        <v>3</v>
      </c>
      <c r="AU62" s="53">
        <f t="shared" si="297"/>
        <v>0</v>
      </c>
      <c r="AV62" s="54">
        <f t="shared" si="298"/>
        <v>0</v>
      </c>
      <c r="AW62" s="53">
        <f t="shared" si="299"/>
        <v>0</v>
      </c>
      <c r="AX62" s="54">
        <f t="shared" si="300"/>
        <v>0</v>
      </c>
      <c r="AY62" s="53">
        <f t="shared" si="301"/>
        <v>1</v>
      </c>
      <c r="AZ62" s="54">
        <f t="shared" si="302"/>
        <v>1</v>
      </c>
      <c r="BA62" s="53">
        <f t="shared" si="303"/>
        <v>1</v>
      </c>
      <c r="BB62" s="54">
        <f t="shared" si="304"/>
        <v>2</v>
      </c>
      <c r="BC62" s="49">
        <f t="shared" ref="BC62:BD62" si="411">SUM(AS62,AU62,AW62,AY62,BA62)</f>
        <v>3</v>
      </c>
      <c r="BD62" s="50">
        <f t="shared" si="411"/>
        <v>6</v>
      </c>
      <c r="BE62" s="68">
        <f t="shared" ref="BE62:BF62" si="412">SUM(E62,G62,I62,O62,Q62,AC62,AQ62,BC62)</f>
        <v>18</v>
      </c>
      <c r="BF62" s="69">
        <f t="shared" si="412"/>
        <v>35</v>
      </c>
      <c r="BG62" s="46" t="str">
        <f>BF62*'ОВгП_РАО'!$B$24</f>
        <v>#REF!</v>
      </c>
      <c r="BH62" s="46" t="str">
        <f>'ОВгП_РАО'!$B$24</f>
        <v>#REF!</v>
      </c>
    </row>
    <row r="63" ht="15.75" customHeight="1">
      <c r="A63" s="80">
        <f t="shared" si="307"/>
        <v>46262</v>
      </c>
      <c r="B63" s="47" t="s">
        <v>146</v>
      </c>
      <c r="C63" s="46" t="s">
        <v>96</v>
      </c>
      <c r="D63" s="47" t="s">
        <v>145</v>
      </c>
      <c r="E63" s="73">
        <f t="shared" si="258"/>
        <v>1</v>
      </c>
      <c r="F63" s="50">
        <f t="shared" si="259"/>
        <v>3</v>
      </c>
      <c r="G63" s="73">
        <f t="shared" si="260"/>
        <v>1</v>
      </c>
      <c r="H63" s="50">
        <f t="shared" si="261"/>
        <v>2</v>
      </c>
      <c r="I63" s="73">
        <f t="shared" si="262"/>
        <v>1</v>
      </c>
      <c r="J63" s="50">
        <f t="shared" si="263"/>
        <v>2</v>
      </c>
      <c r="K63" s="53">
        <f t="shared" si="264"/>
        <v>1</v>
      </c>
      <c r="L63" s="54">
        <f t="shared" si="265"/>
        <v>2</v>
      </c>
      <c r="M63" s="53">
        <f t="shared" si="266"/>
        <v>1</v>
      </c>
      <c r="N63" s="54">
        <f t="shared" si="267"/>
        <v>3</v>
      </c>
      <c r="O63" s="49">
        <f t="shared" ref="O63:P63" si="413">SUM(K63,M63)</f>
        <v>2</v>
      </c>
      <c r="P63" s="50">
        <f t="shared" si="413"/>
        <v>5</v>
      </c>
      <c r="Q63" s="73">
        <f t="shared" si="269"/>
        <v>1</v>
      </c>
      <c r="R63" s="50">
        <f t="shared" si="270"/>
        <v>3</v>
      </c>
      <c r="S63" s="53">
        <f t="shared" si="271"/>
        <v>1</v>
      </c>
      <c r="T63" s="54">
        <f t="shared" si="272"/>
        <v>2</v>
      </c>
      <c r="U63" s="53">
        <f t="shared" si="273"/>
        <v>1</v>
      </c>
      <c r="V63" s="54">
        <f t="shared" si="274"/>
        <v>1</v>
      </c>
      <c r="W63" s="53">
        <f t="shared" si="275"/>
        <v>2</v>
      </c>
      <c r="X63" s="54">
        <f t="shared" si="276"/>
        <v>4</v>
      </c>
      <c r="Y63" s="53">
        <f t="shared" si="277"/>
        <v>0</v>
      </c>
      <c r="Z63" s="54">
        <f t="shared" si="278"/>
        <v>0</v>
      </c>
      <c r="AA63" s="53">
        <f t="shared" si="279"/>
        <v>2</v>
      </c>
      <c r="AB63" s="54">
        <f t="shared" si="280"/>
        <v>4</v>
      </c>
      <c r="AC63" s="49">
        <f t="shared" ref="AC63:AD63" si="414">SUM(S63,U63,W63,Y63,AA63)</f>
        <v>6</v>
      </c>
      <c r="AD63" s="50">
        <f t="shared" si="414"/>
        <v>11</v>
      </c>
      <c r="AE63" s="53">
        <f t="shared" si="282"/>
        <v>1</v>
      </c>
      <c r="AF63" s="54">
        <f t="shared" si="283"/>
        <v>3</v>
      </c>
      <c r="AG63" s="53">
        <f t="shared" si="284"/>
        <v>0</v>
      </c>
      <c r="AH63" s="54">
        <f t="shared" si="285"/>
        <v>0</v>
      </c>
      <c r="AI63" s="53">
        <f t="shared" si="286"/>
        <v>1</v>
      </c>
      <c r="AJ63" s="54">
        <f t="shared" si="287"/>
        <v>3</v>
      </c>
      <c r="AK63" s="53">
        <f t="shared" si="288"/>
        <v>1</v>
      </c>
      <c r="AL63" s="54">
        <f t="shared" si="289"/>
        <v>2</v>
      </c>
      <c r="AM63" s="53">
        <f t="shared" si="290"/>
        <v>1</v>
      </c>
      <c r="AN63" s="54">
        <f t="shared" si="291"/>
        <v>2</v>
      </c>
      <c r="AO63" s="53">
        <f t="shared" si="292"/>
        <v>1</v>
      </c>
      <c r="AP63" s="54">
        <f t="shared" si="293"/>
        <v>2</v>
      </c>
      <c r="AQ63" s="49">
        <f t="shared" ref="AQ63:AR63" si="415">SUM(AG63,AI63,AK63,AM63,AO63)</f>
        <v>4</v>
      </c>
      <c r="AR63" s="50">
        <f t="shared" si="415"/>
        <v>9</v>
      </c>
      <c r="AS63" s="53">
        <f t="shared" si="295"/>
        <v>1</v>
      </c>
      <c r="AT63" s="54">
        <f t="shared" si="296"/>
        <v>3</v>
      </c>
      <c r="AU63" s="53">
        <f t="shared" si="297"/>
        <v>1</v>
      </c>
      <c r="AV63" s="54">
        <f t="shared" si="298"/>
        <v>2</v>
      </c>
      <c r="AW63" s="53">
        <f t="shared" si="299"/>
        <v>1</v>
      </c>
      <c r="AX63" s="54">
        <f t="shared" si="300"/>
        <v>3</v>
      </c>
      <c r="AY63" s="53">
        <f t="shared" si="301"/>
        <v>1</v>
      </c>
      <c r="AZ63" s="54">
        <f t="shared" si="302"/>
        <v>1</v>
      </c>
      <c r="BA63" s="53">
        <f t="shared" si="303"/>
        <v>2</v>
      </c>
      <c r="BB63" s="54">
        <f t="shared" si="304"/>
        <v>4</v>
      </c>
      <c r="BC63" s="49">
        <f t="shared" ref="BC63:BD63" si="416">SUM(AS63,AU63,AW63,AY63,BA63)</f>
        <v>6</v>
      </c>
      <c r="BD63" s="50">
        <f t="shared" si="416"/>
        <v>13</v>
      </c>
      <c r="BE63" s="68">
        <f t="shared" ref="BE63:BF63" si="417">SUM(E63,G63,I63,O63,Q63,AC63,AQ63,BC63)</f>
        <v>22</v>
      </c>
      <c r="BF63" s="69">
        <f t="shared" si="417"/>
        <v>48</v>
      </c>
      <c r="BG63" s="46" t="str">
        <f>BF63*'ОВгП_РАО'!$B$25</f>
        <v>#REF!</v>
      </c>
      <c r="BH63" s="46" t="str">
        <f>'ОВгП_РАО'!$B$25</f>
        <v>#REF!</v>
      </c>
    </row>
    <row r="64" ht="15.75" customHeight="1">
      <c r="A64" s="80">
        <f t="shared" si="307"/>
        <v>46262</v>
      </c>
      <c r="B64" s="47" t="s">
        <v>147</v>
      </c>
      <c r="C64" s="46" t="s">
        <v>96</v>
      </c>
      <c r="D64" s="47" t="s">
        <v>148</v>
      </c>
      <c r="E64" s="73">
        <f t="shared" si="258"/>
        <v>1</v>
      </c>
      <c r="F64" s="50">
        <f t="shared" si="259"/>
        <v>2</v>
      </c>
      <c r="G64" s="73">
        <f t="shared" si="260"/>
        <v>1</v>
      </c>
      <c r="H64" s="50">
        <f t="shared" si="261"/>
        <v>1</v>
      </c>
      <c r="I64" s="73">
        <f t="shared" si="262"/>
        <v>2</v>
      </c>
      <c r="J64" s="50">
        <f t="shared" si="263"/>
        <v>4</v>
      </c>
      <c r="K64" s="53">
        <f t="shared" si="264"/>
        <v>2</v>
      </c>
      <c r="L64" s="54">
        <f t="shared" si="265"/>
        <v>4</v>
      </c>
      <c r="M64" s="53">
        <f t="shared" si="266"/>
        <v>0</v>
      </c>
      <c r="N64" s="54">
        <f t="shared" si="267"/>
        <v>0</v>
      </c>
      <c r="O64" s="49">
        <f t="shared" ref="O64:P64" si="418">SUM(K64,M64)</f>
        <v>2</v>
      </c>
      <c r="P64" s="50">
        <f t="shared" si="418"/>
        <v>4</v>
      </c>
      <c r="Q64" s="73">
        <f t="shared" si="269"/>
        <v>1</v>
      </c>
      <c r="R64" s="50">
        <f t="shared" si="270"/>
        <v>2</v>
      </c>
      <c r="S64" s="53">
        <f t="shared" si="271"/>
        <v>1</v>
      </c>
      <c r="T64" s="54">
        <f t="shared" si="272"/>
        <v>3</v>
      </c>
      <c r="U64" s="53">
        <f t="shared" si="273"/>
        <v>1</v>
      </c>
      <c r="V64" s="54">
        <f t="shared" si="274"/>
        <v>3</v>
      </c>
      <c r="W64" s="53">
        <f t="shared" si="275"/>
        <v>1</v>
      </c>
      <c r="X64" s="54">
        <f t="shared" si="276"/>
        <v>3</v>
      </c>
      <c r="Y64" s="53">
        <f t="shared" si="277"/>
        <v>0</v>
      </c>
      <c r="Z64" s="54">
        <f t="shared" si="278"/>
        <v>0</v>
      </c>
      <c r="AA64" s="53">
        <f t="shared" si="279"/>
        <v>0</v>
      </c>
      <c r="AB64" s="54">
        <f t="shared" si="280"/>
        <v>0</v>
      </c>
      <c r="AC64" s="49">
        <f t="shared" ref="AC64:AD64" si="419">SUM(S64,U64,W64,Y64,AA64)</f>
        <v>3</v>
      </c>
      <c r="AD64" s="50">
        <f t="shared" si="419"/>
        <v>9</v>
      </c>
      <c r="AE64" s="53">
        <f t="shared" si="282"/>
        <v>0</v>
      </c>
      <c r="AF64" s="54">
        <f t="shared" si="283"/>
        <v>0</v>
      </c>
      <c r="AG64" s="53">
        <f t="shared" si="284"/>
        <v>1</v>
      </c>
      <c r="AH64" s="54">
        <f t="shared" si="285"/>
        <v>2</v>
      </c>
      <c r="AI64" s="53">
        <f t="shared" si="286"/>
        <v>1</v>
      </c>
      <c r="AJ64" s="54">
        <f t="shared" si="287"/>
        <v>2</v>
      </c>
      <c r="AK64" s="53">
        <f t="shared" si="288"/>
        <v>1</v>
      </c>
      <c r="AL64" s="54">
        <f t="shared" si="289"/>
        <v>3</v>
      </c>
      <c r="AM64" s="53">
        <f t="shared" si="290"/>
        <v>1</v>
      </c>
      <c r="AN64" s="54">
        <f t="shared" si="291"/>
        <v>2</v>
      </c>
      <c r="AO64" s="53">
        <f t="shared" si="292"/>
        <v>1</v>
      </c>
      <c r="AP64" s="54">
        <f t="shared" si="293"/>
        <v>2</v>
      </c>
      <c r="AQ64" s="49">
        <f t="shared" ref="AQ64:AR64" si="420">SUM(AG64,AI64,AK64,AM64,AO64)</f>
        <v>5</v>
      </c>
      <c r="AR64" s="50">
        <f t="shared" si="420"/>
        <v>11</v>
      </c>
      <c r="AS64" s="53">
        <f t="shared" si="295"/>
        <v>1</v>
      </c>
      <c r="AT64" s="54">
        <f t="shared" si="296"/>
        <v>2</v>
      </c>
      <c r="AU64" s="53">
        <f t="shared" si="297"/>
        <v>2</v>
      </c>
      <c r="AV64" s="54">
        <f t="shared" si="298"/>
        <v>4</v>
      </c>
      <c r="AW64" s="53">
        <f t="shared" si="299"/>
        <v>1</v>
      </c>
      <c r="AX64" s="54">
        <f t="shared" si="300"/>
        <v>3</v>
      </c>
      <c r="AY64" s="53">
        <f t="shared" si="301"/>
        <v>0</v>
      </c>
      <c r="AZ64" s="54">
        <f t="shared" si="302"/>
        <v>0</v>
      </c>
      <c r="BA64" s="53">
        <f t="shared" si="303"/>
        <v>0</v>
      </c>
      <c r="BB64" s="54">
        <f t="shared" si="304"/>
        <v>0</v>
      </c>
      <c r="BC64" s="49">
        <f t="shared" ref="BC64:BD64" si="421">SUM(AS64,AU64,AW64,AY64,BA64)</f>
        <v>4</v>
      </c>
      <c r="BD64" s="50">
        <f t="shared" si="421"/>
        <v>9</v>
      </c>
      <c r="BE64" s="68">
        <f t="shared" ref="BE64:BF64" si="422">SUM(E64,G64,I64,O64,Q64,AC64,AQ64,BC64)</f>
        <v>19</v>
      </c>
      <c r="BF64" s="69">
        <f t="shared" si="422"/>
        <v>42</v>
      </c>
      <c r="BG64" s="46" t="str">
        <f>BF64*'ОВгП_РАО'!$B$26</f>
        <v>#REF!</v>
      </c>
      <c r="BH64" s="46" t="str">
        <f>'ОВгП_РАО'!$B$26</f>
        <v>#REF!</v>
      </c>
    </row>
    <row r="65" ht="15.75" customHeight="1">
      <c r="A65" s="80">
        <f t="shared" si="307"/>
        <v>46262</v>
      </c>
      <c r="B65" s="47" t="s">
        <v>149</v>
      </c>
      <c r="C65" s="47" t="s">
        <v>122</v>
      </c>
      <c r="D65" s="47" t="s">
        <v>150</v>
      </c>
      <c r="E65" s="73">
        <f t="shared" si="258"/>
        <v>0</v>
      </c>
      <c r="F65" s="50">
        <f t="shared" si="259"/>
        <v>0</v>
      </c>
      <c r="G65" s="73">
        <f t="shared" si="260"/>
        <v>0</v>
      </c>
      <c r="H65" s="50">
        <f t="shared" si="261"/>
        <v>0</v>
      </c>
      <c r="I65" s="73">
        <f t="shared" si="262"/>
        <v>0</v>
      </c>
      <c r="J65" s="50">
        <f t="shared" si="263"/>
        <v>0</v>
      </c>
      <c r="K65" s="53">
        <f t="shared" si="264"/>
        <v>0</v>
      </c>
      <c r="L65" s="54">
        <f t="shared" si="265"/>
        <v>0</v>
      </c>
      <c r="M65" s="53">
        <f t="shared" si="266"/>
        <v>1</v>
      </c>
      <c r="N65" s="54">
        <f t="shared" si="267"/>
        <v>3</v>
      </c>
      <c r="O65" s="49">
        <f t="shared" ref="O65:P65" si="423">SUM(K65,M65)</f>
        <v>1</v>
      </c>
      <c r="P65" s="50">
        <f t="shared" si="423"/>
        <v>3</v>
      </c>
      <c r="Q65" s="73">
        <f t="shared" si="269"/>
        <v>2</v>
      </c>
      <c r="R65" s="50">
        <f t="shared" si="270"/>
        <v>4</v>
      </c>
      <c r="S65" s="53">
        <f t="shared" si="271"/>
        <v>0</v>
      </c>
      <c r="T65" s="54">
        <f t="shared" si="272"/>
        <v>0</v>
      </c>
      <c r="U65" s="53">
        <f t="shared" si="273"/>
        <v>1</v>
      </c>
      <c r="V65" s="54">
        <f t="shared" si="274"/>
        <v>2</v>
      </c>
      <c r="W65" s="53">
        <f t="shared" si="275"/>
        <v>1</v>
      </c>
      <c r="X65" s="54">
        <f t="shared" si="276"/>
        <v>3</v>
      </c>
      <c r="Y65" s="53">
        <f t="shared" si="277"/>
        <v>2</v>
      </c>
      <c r="Z65" s="54">
        <f t="shared" si="278"/>
        <v>4</v>
      </c>
      <c r="AA65" s="53">
        <f t="shared" si="279"/>
        <v>0</v>
      </c>
      <c r="AB65" s="54">
        <f t="shared" si="280"/>
        <v>0</v>
      </c>
      <c r="AC65" s="49">
        <f t="shared" ref="AC65:AD65" si="424">SUM(S65,U65,W65,Y65,AA65)</f>
        <v>4</v>
      </c>
      <c r="AD65" s="50">
        <f t="shared" si="424"/>
        <v>9</v>
      </c>
      <c r="AE65" s="53">
        <f t="shared" si="282"/>
        <v>0</v>
      </c>
      <c r="AF65" s="54">
        <f t="shared" si="283"/>
        <v>0</v>
      </c>
      <c r="AG65" s="53">
        <f t="shared" si="284"/>
        <v>1</v>
      </c>
      <c r="AH65" s="54">
        <f t="shared" si="285"/>
        <v>2</v>
      </c>
      <c r="AI65" s="53">
        <f t="shared" si="286"/>
        <v>0</v>
      </c>
      <c r="AJ65" s="54">
        <f t="shared" si="287"/>
        <v>0</v>
      </c>
      <c r="AK65" s="53">
        <f t="shared" si="288"/>
        <v>2</v>
      </c>
      <c r="AL65" s="54">
        <f t="shared" si="289"/>
        <v>4</v>
      </c>
      <c r="AM65" s="53">
        <f t="shared" si="290"/>
        <v>0</v>
      </c>
      <c r="AN65" s="54">
        <f t="shared" si="291"/>
        <v>0</v>
      </c>
      <c r="AO65" s="53">
        <f t="shared" si="292"/>
        <v>0</v>
      </c>
      <c r="AP65" s="54">
        <f t="shared" si="293"/>
        <v>0</v>
      </c>
      <c r="AQ65" s="49">
        <f t="shared" ref="AQ65:AR65" si="425">SUM(AG65,AI65,AK65,AM65,AO65)</f>
        <v>3</v>
      </c>
      <c r="AR65" s="50">
        <f t="shared" si="425"/>
        <v>6</v>
      </c>
      <c r="AS65" s="53">
        <f t="shared" si="295"/>
        <v>2</v>
      </c>
      <c r="AT65" s="54">
        <f t="shared" si="296"/>
        <v>4</v>
      </c>
      <c r="AU65" s="53">
        <f t="shared" si="297"/>
        <v>1</v>
      </c>
      <c r="AV65" s="54">
        <f t="shared" si="298"/>
        <v>1</v>
      </c>
      <c r="AW65" s="53">
        <f t="shared" si="299"/>
        <v>1</v>
      </c>
      <c r="AX65" s="54">
        <f t="shared" si="300"/>
        <v>3</v>
      </c>
      <c r="AY65" s="53">
        <f t="shared" si="301"/>
        <v>0</v>
      </c>
      <c r="AZ65" s="54">
        <f t="shared" si="302"/>
        <v>0</v>
      </c>
      <c r="BA65" s="53">
        <f t="shared" si="303"/>
        <v>1</v>
      </c>
      <c r="BB65" s="54">
        <f t="shared" si="304"/>
        <v>2</v>
      </c>
      <c r="BC65" s="49">
        <f t="shared" ref="BC65:BD65" si="426">SUM(AS65,AU65,AW65,AY65,BA65)</f>
        <v>5</v>
      </c>
      <c r="BD65" s="50">
        <f t="shared" si="426"/>
        <v>10</v>
      </c>
      <c r="BE65" s="68">
        <f t="shared" ref="BE65:BF65" si="427">SUM(E65,G65,I65,O65,Q65,AC65,AQ65,BC65)</f>
        <v>15</v>
      </c>
      <c r="BF65" s="69">
        <f t="shared" si="427"/>
        <v>32</v>
      </c>
      <c r="BG65" s="46" t="str">
        <f>BF65*'ОВгП_РАО'!$B$27</f>
        <v>#REF!</v>
      </c>
      <c r="BH65" s="46" t="str">
        <f>'ОВгП_РАО'!$B$27</f>
        <v>#REF!</v>
      </c>
    </row>
    <row r="66" ht="15.75" customHeight="1">
      <c r="A66" s="80">
        <f t="shared" si="307"/>
        <v>46262</v>
      </c>
      <c r="B66" s="47" t="s">
        <v>151</v>
      </c>
      <c r="C66" s="47" t="s">
        <v>122</v>
      </c>
      <c r="D66" s="47" t="s">
        <v>152</v>
      </c>
      <c r="E66" s="73">
        <f t="shared" si="258"/>
        <v>1</v>
      </c>
      <c r="F66" s="50">
        <f t="shared" ref="F66:F74" si="433">RANDBETWEEN(0,100)</f>
        <v>2</v>
      </c>
      <c r="G66" s="73">
        <f t="shared" si="260"/>
        <v>26</v>
      </c>
      <c r="H66" s="50">
        <f t="shared" ref="H66:H74" si="434">RANDBETWEEN(0,100)</f>
        <v>78</v>
      </c>
      <c r="I66" s="73">
        <f t="shared" si="262"/>
        <v>31</v>
      </c>
      <c r="J66" s="50">
        <f t="shared" ref="J66:J74" si="435">RANDBETWEEN(0,100)</f>
        <v>92</v>
      </c>
      <c r="K66" s="53">
        <f t="shared" si="264"/>
        <v>0</v>
      </c>
      <c r="L66" s="54">
        <f t="shared" ref="L66:L74" si="436">RANDBETWEEN(0,100)</f>
        <v>0</v>
      </c>
      <c r="M66" s="53">
        <f t="shared" si="266"/>
        <v>4</v>
      </c>
      <c r="N66" s="54">
        <f t="shared" ref="N66:N74" si="437">RANDBETWEEN(0,100)</f>
        <v>11</v>
      </c>
      <c r="O66" s="49">
        <f t="shared" ref="O66:P66" si="428">SUM(K66,M66)</f>
        <v>4</v>
      </c>
      <c r="P66" s="50">
        <f t="shared" si="428"/>
        <v>11</v>
      </c>
      <c r="Q66" s="73">
        <f t="shared" si="269"/>
        <v>32</v>
      </c>
      <c r="R66" s="50">
        <f t="shared" ref="R66:R74" si="439">RANDBETWEEN(0,100)</f>
        <v>94</v>
      </c>
      <c r="S66" s="53">
        <f t="shared" si="271"/>
        <v>3</v>
      </c>
      <c r="T66" s="54">
        <f t="shared" ref="T66:T74" si="440">RANDBETWEEN(0,300)</f>
        <v>9</v>
      </c>
      <c r="U66" s="53">
        <f t="shared" si="273"/>
        <v>15</v>
      </c>
      <c r="V66" s="54">
        <f t="shared" ref="V66:V74" si="441">RANDBETWEEN(0,300)</f>
        <v>43</v>
      </c>
      <c r="W66" s="53">
        <f t="shared" si="275"/>
        <v>69</v>
      </c>
      <c r="X66" s="54">
        <f t="shared" ref="X66:X74" si="442">RANDBETWEEN(0,300)</f>
        <v>205</v>
      </c>
      <c r="Y66" s="53">
        <f t="shared" si="277"/>
        <v>54</v>
      </c>
      <c r="Z66" s="54">
        <f t="shared" ref="Z66:Z74" si="443">RANDBETWEEN(0,300)</f>
        <v>160</v>
      </c>
      <c r="AA66" s="53">
        <f t="shared" si="279"/>
        <v>94</v>
      </c>
      <c r="AB66" s="54">
        <f t="shared" ref="AB66:AB74" si="444">RANDBETWEEN(0,300)</f>
        <v>282</v>
      </c>
      <c r="AC66" s="49">
        <f t="shared" ref="AC66:AD66" si="429">SUM(S66,U66,W66,Y66,AA66)</f>
        <v>235</v>
      </c>
      <c r="AD66" s="50">
        <f t="shared" si="429"/>
        <v>699</v>
      </c>
      <c r="AE66" s="53">
        <f t="shared" si="282"/>
        <v>118</v>
      </c>
      <c r="AF66" s="54">
        <f>RANDBETWEEN(100,500)</f>
        <v>353</v>
      </c>
      <c r="AG66" s="53">
        <f t="shared" si="284"/>
        <v>61</v>
      </c>
      <c r="AH66" s="54">
        <f>RANDBETWEEN(100,500)</f>
        <v>183</v>
      </c>
      <c r="AI66" s="53">
        <f t="shared" si="286"/>
        <v>119</v>
      </c>
      <c r="AJ66" s="54">
        <f>RANDBETWEEN(100,500)</f>
        <v>357</v>
      </c>
      <c r="AK66" s="53">
        <f t="shared" si="288"/>
        <v>57</v>
      </c>
      <c r="AL66" s="54">
        <f>RANDBETWEEN(100,500)</f>
        <v>169</v>
      </c>
      <c r="AM66" s="53">
        <f t="shared" si="290"/>
        <v>97</v>
      </c>
      <c r="AN66" s="54">
        <f>RANDBETWEEN(100,500)</f>
        <v>289</v>
      </c>
      <c r="AO66" s="53">
        <f t="shared" si="292"/>
        <v>59</v>
      </c>
      <c r="AP66" s="54">
        <f>RANDBETWEEN(100,500)</f>
        <v>175</v>
      </c>
      <c r="AQ66" s="49">
        <f t="shared" ref="AQ66:AR66" si="430">SUM(AG66,AI66,AK66,AM66,AO66)</f>
        <v>393</v>
      </c>
      <c r="AR66" s="50">
        <f t="shared" si="430"/>
        <v>1173</v>
      </c>
      <c r="AS66" s="53">
        <f t="shared" si="295"/>
        <v>37</v>
      </c>
      <c r="AT66" s="54">
        <f>RANDBETWEEN(100,500)</f>
        <v>109</v>
      </c>
      <c r="AU66" s="53">
        <f t="shared" si="297"/>
        <v>44</v>
      </c>
      <c r="AV66" s="54">
        <f>RANDBETWEEN(100,500)</f>
        <v>131</v>
      </c>
      <c r="AW66" s="53">
        <f t="shared" si="299"/>
        <v>65</v>
      </c>
      <c r="AX66" s="54">
        <f>RANDBETWEEN(100,500)</f>
        <v>194</v>
      </c>
      <c r="AY66" s="53">
        <f t="shared" si="301"/>
        <v>51</v>
      </c>
      <c r="AZ66" s="54">
        <f>RANDBETWEEN(100,500)</f>
        <v>152</v>
      </c>
      <c r="BA66" s="53">
        <f t="shared" si="303"/>
        <v>40</v>
      </c>
      <c r="BB66" s="54">
        <f>RANDBETWEEN(100,500)</f>
        <v>119</v>
      </c>
      <c r="BC66" s="49">
        <f t="shared" ref="BC66:BD66" si="431">SUM(AS66,AU66,AW66,AY66,BA66)</f>
        <v>237</v>
      </c>
      <c r="BD66" s="50">
        <f t="shared" si="431"/>
        <v>705</v>
      </c>
      <c r="BE66" s="68">
        <f t="shared" ref="BE66:BF66" si="432">SUM(E66,G66,I66,O66,Q66,AC66,AQ66,BC66)</f>
        <v>959</v>
      </c>
      <c r="BF66" s="69">
        <f t="shared" si="432"/>
        <v>2854</v>
      </c>
      <c r="BG66" s="46" t="str">
        <f>BF66*'ОВгП_РАО'!$B$28</f>
        <v>#REF!</v>
      </c>
      <c r="BH66" s="46" t="str">
        <f>'ОВгП_РАО'!$B$28</f>
        <v>#REF!</v>
      </c>
    </row>
    <row r="67" ht="15.75" customHeight="1">
      <c r="A67" s="80">
        <f t="shared" si="307"/>
        <v>46262</v>
      </c>
      <c r="B67" s="47" t="s">
        <v>153</v>
      </c>
      <c r="C67" s="47" t="s">
        <v>122</v>
      </c>
      <c r="D67" s="47" t="s">
        <v>152</v>
      </c>
      <c r="E67" s="73">
        <f t="shared" si="258"/>
        <v>33</v>
      </c>
      <c r="F67" s="50">
        <f t="shared" si="433"/>
        <v>98</v>
      </c>
      <c r="G67" s="73">
        <f t="shared" si="260"/>
        <v>11</v>
      </c>
      <c r="H67" s="50">
        <f t="shared" si="434"/>
        <v>33</v>
      </c>
      <c r="I67" s="73">
        <f t="shared" si="262"/>
        <v>9</v>
      </c>
      <c r="J67" s="50">
        <f t="shared" si="435"/>
        <v>25</v>
      </c>
      <c r="K67" s="53">
        <f t="shared" si="264"/>
        <v>8</v>
      </c>
      <c r="L67" s="54">
        <f t="shared" si="436"/>
        <v>23</v>
      </c>
      <c r="M67" s="53">
        <f t="shared" si="266"/>
        <v>17</v>
      </c>
      <c r="N67" s="54">
        <f t="shared" si="437"/>
        <v>49</v>
      </c>
      <c r="O67" s="49">
        <f t="shared" ref="O67:P67" si="438">SUM(K67,M67)</f>
        <v>25</v>
      </c>
      <c r="P67" s="50">
        <f t="shared" si="438"/>
        <v>72</v>
      </c>
      <c r="Q67" s="73">
        <f t="shared" si="269"/>
        <v>34</v>
      </c>
      <c r="R67" s="50">
        <f t="shared" si="439"/>
        <v>100</v>
      </c>
      <c r="S67" s="53">
        <f t="shared" si="271"/>
        <v>76</v>
      </c>
      <c r="T67" s="54">
        <f t="shared" si="440"/>
        <v>226</v>
      </c>
      <c r="U67" s="53">
        <f t="shared" si="273"/>
        <v>37</v>
      </c>
      <c r="V67" s="54">
        <f t="shared" si="441"/>
        <v>109</v>
      </c>
      <c r="W67" s="53">
        <f t="shared" si="275"/>
        <v>81</v>
      </c>
      <c r="X67" s="54">
        <f t="shared" si="442"/>
        <v>241</v>
      </c>
      <c r="Y67" s="53">
        <f t="shared" si="277"/>
        <v>6</v>
      </c>
      <c r="Z67" s="54">
        <f t="shared" si="443"/>
        <v>16</v>
      </c>
      <c r="AA67" s="53">
        <f t="shared" si="279"/>
        <v>61</v>
      </c>
      <c r="AB67" s="54">
        <f t="shared" si="444"/>
        <v>183</v>
      </c>
      <c r="AC67" s="49">
        <f t="shared" ref="AC67:AD67" si="445">SUM(S67,U67,W67,Y67,AA67)</f>
        <v>261</v>
      </c>
      <c r="AD67" s="50">
        <f t="shared" si="445"/>
        <v>775</v>
      </c>
      <c r="AE67" s="53">
        <f t="shared" si="282"/>
        <v>2</v>
      </c>
      <c r="AF67" s="54">
        <f t="shared" ref="AF67:AF74" si="451">RANDBETWEEN(0,300)</f>
        <v>6</v>
      </c>
      <c r="AG67" s="53">
        <f t="shared" si="284"/>
        <v>90</v>
      </c>
      <c r="AH67" s="54">
        <f t="shared" ref="AH67:AH74" si="452">RANDBETWEEN(0,300)</f>
        <v>269</v>
      </c>
      <c r="AI67" s="53">
        <f t="shared" si="286"/>
        <v>8</v>
      </c>
      <c r="AJ67" s="54">
        <f t="shared" ref="AJ67:AJ74" si="453">RANDBETWEEN(0,300)</f>
        <v>22</v>
      </c>
      <c r="AK67" s="53">
        <f t="shared" si="288"/>
        <v>49</v>
      </c>
      <c r="AL67" s="54">
        <f t="shared" ref="AL67:AL74" si="454">RANDBETWEEN(0,300)</f>
        <v>146</v>
      </c>
      <c r="AM67" s="53">
        <f t="shared" si="290"/>
        <v>99</v>
      </c>
      <c r="AN67" s="54">
        <f t="shared" ref="AN67:AN74" si="455">RANDBETWEEN(0,300)</f>
        <v>295</v>
      </c>
      <c r="AO67" s="53">
        <f t="shared" si="292"/>
        <v>56</v>
      </c>
      <c r="AP67" s="54">
        <f t="shared" ref="AP67:AP74" si="456">RANDBETWEEN(0,300)</f>
        <v>166</v>
      </c>
      <c r="AQ67" s="49">
        <f t="shared" ref="AQ67:AR67" si="446">SUM(AG67,AI67,AK67,AM67,AO67)</f>
        <v>302</v>
      </c>
      <c r="AR67" s="50">
        <f t="shared" si="446"/>
        <v>898</v>
      </c>
      <c r="AS67" s="53">
        <f t="shared" si="295"/>
        <v>9</v>
      </c>
      <c r="AT67" s="54">
        <f t="shared" ref="AT67:AT68" si="458">RANDBETWEEN(0,300)</f>
        <v>27</v>
      </c>
      <c r="AU67" s="53">
        <f t="shared" si="297"/>
        <v>14</v>
      </c>
      <c r="AV67" s="54">
        <f t="shared" ref="AV67:AV68" si="459">RANDBETWEEN(0,300)</f>
        <v>40</v>
      </c>
      <c r="AW67" s="53">
        <f t="shared" si="299"/>
        <v>58</v>
      </c>
      <c r="AX67" s="54">
        <f t="shared" ref="AX67:AX68" si="460">RANDBETWEEN(0,300)</f>
        <v>174</v>
      </c>
      <c r="AY67" s="53">
        <f t="shared" si="301"/>
        <v>98</v>
      </c>
      <c r="AZ67" s="54">
        <f t="shared" ref="AZ67:AZ68" si="461">RANDBETWEEN(0,300)</f>
        <v>293</v>
      </c>
      <c r="BA67" s="53">
        <f t="shared" si="303"/>
        <v>98</v>
      </c>
      <c r="BB67" s="54">
        <f t="shared" ref="BB67:BB68" si="462">RANDBETWEEN(0,300)</f>
        <v>293</v>
      </c>
      <c r="BC67" s="49">
        <f t="shared" ref="BC67:BD67" si="447">SUM(AS67,AU67,AW67,AY67,BA67)</f>
        <v>277</v>
      </c>
      <c r="BD67" s="50">
        <f t="shared" si="447"/>
        <v>827</v>
      </c>
      <c r="BE67" s="68">
        <f t="shared" ref="BE67:BF67" si="448">SUM(E67,G67,I67,O67,Q67,AC67,AQ67,BC67)</f>
        <v>952</v>
      </c>
      <c r="BF67" s="69">
        <f t="shared" si="448"/>
        <v>2828</v>
      </c>
      <c r="BG67" s="46" t="str">
        <f>BF67*'ОВгП_РАО'!$B$29</f>
        <v>#REF!</v>
      </c>
      <c r="BH67" s="46" t="str">
        <f>'ОВгП_РАО'!$B$29</f>
        <v>#REF!</v>
      </c>
    </row>
    <row r="68" ht="15.75" customHeight="1">
      <c r="A68" s="80">
        <f t="shared" si="307"/>
        <v>46262</v>
      </c>
      <c r="B68" s="47" t="s">
        <v>154</v>
      </c>
      <c r="C68" s="47" t="s">
        <v>122</v>
      </c>
      <c r="D68" s="47" t="s">
        <v>152</v>
      </c>
      <c r="E68" s="73">
        <f t="shared" si="258"/>
        <v>13</v>
      </c>
      <c r="F68" s="50">
        <f t="shared" si="433"/>
        <v>38</v>
      </c>
      <c r="G68" s="73">
        <f t="shared" si="260"/>
        <v>16</v>
      </c>
      <c r="H68" s="50">
        <f t="shared" si="434"/>
        <v>47</v>
      </c>
      <c r="I68" s="73">
        <f t="shared" si="262"/>
        <v>11</v>
      </c>
      <c r="J68" s="50">
        <f t="shared" si="435"/>
        <v>31</v>
      </c>
      <c r="K68" s="53">
        <f t="shared" si="264"/>
        <v>8</v>
      </c>
      <c r="L68" s="54">
        <f t="shared" si="436"/>
        <v>24</v>
      </c>
      <c r="M68" s="53">
        <f t="shared" si="266"/>
        <v>7</v>
      </c>
      <c r="N68" s="54">
        <f t="shared" si="437"/>
        <v>21</v>
      </c>
      <c r="O68" s="49">
        <f t="shared" ref="O68:P68" si="449">SUM(K68,M68)</f>
        <v>15</v>
      </c>
      <c r="P68" s="50">
        <f t="shared" si="449"/>
        <v>45</v>
      </c>
      <c r="Q68" s="73">
        <f t="shared" si="269"/>
        <v>9</v>
      </c>
      <c r="R68" s="50">
        <f t="shared" si="439"/>
        <v>25</v>
      </c>
      <c r="S68" s="53">
        <f t="shared" si="271"/>
        <v>11</v>
      </c>
      <c r="T68" s="54">
        <f t="shared" si="440"/>
        <v>33</v>
      </c>
      <c r="U68" s="53">
        <f t="shared" si="273"/>
        <v>34</v>
      </c>
      <c r="V68" s="54">
        <f t="shared" si="441"/>
        <v>101</v>
      </c>
      <c r="W68" s="53">
        <f t="shared" si="275"/>
        <v>18</v>
      </c>
      <c r="X68" s="54">
        <f t="shared" si="442"/>
        <v>52</v>
      </c>
      <c r="Y68" s="53">
        <f t="shared" si="277"/>
        <v>22</v>
      </c>
      <c r="Z68" s="54">
        <f t="shared" si="443"/>
        <v>66</v>
      </c>
      <c r="AA68" s="53">
        <f t="shared" si="279"/>
        <v>88</v>
      </c>
      <c r="AB68" s="54">
        <f t="shared" si="444"/>
        <v>264</v>
      </c>
      <c r="AC68" s="49">
        <f t="shared" ref="AC68:AD68" si="450">SUM(S68,U68,W68,Y68,AA68)</f>
        <v>173</v>
      </c>
      <c r="AD68" s="50">
        <f t="shared" si="450"/>
        <v>516</v>
      </c>
      <c r="AE68" s="53">
        <f t="shared" si="282"/>
        <v>75</v>
      </c>
      <c r="AF68" s="54">
        <f t="shared" si="451"/>
        <v>223</v>
      </c>
      <c r="AG68" s="53">
        <f t="shared" si="284"/>
        <v>95</v>
      </c>
      <c r="AH68" s="54">
        <f t="shared" si="452"/>
        <v>283</v>
      </c>
      <c r="AI68" s="53">
        <f t="shared" si="286"/>
        <v>58</v>
      </c>
      <c r="AJ68" s="54">
        <f t="shared" si="453"/>
        <v>174</v>
      </c>
      <c r="AK68" s="53">
        <f t="shared" si="288"/>
        <v>45</v>
      </c>
      <c r="AL68" s="54">
        <f t="shared" si="454"/>
        <v>135</v>
      </c>
      <c r="AM68" s="53">
        <f t="shared" si="290"/>
        <v>37</v>
      </c>
      <c r="AN68" s="54">
        <f t="shared" si="455"/>
        <v>109</v>
      </c>
      <c r="AO68" s="53">
        <f t="shared" si="292"/>
        <v>85</v>
      </c>
      <c r="AP68" s="54">
        <f t="shared" si="456"/>
        <v>255</v>
      </c>
      <c r="AQ68" s="49">
        <f t="shared" ref="AQ68:AR68" si="457">SUM(AG68,AI68,AK68,AM68,AO68)</f>
        <v>320</v>
      </c>
      <c r="AR68" s="50">
        <f t="shared" si="457"/>
        <v>956</v>
      </c>
      <c r="AS68" s="53">
        <f t="shared" si="295"/>
        <v>99</v>
      </c>
      <c r="AT68" s="54">
        <f t="shared" si="458"/>
        <v>296</v>
      </c>
      <c r="AU68" s="53">
        <f t="shared" si="297"/>
        <v>18</v>
      </c>
      <c r="AV68" s="54">
        <f t="shared" si="459"/>
        <v>53</v>
      </c>
      <c r="AW68" s="53">
        <f t="shared" si="299"/>
        <v>72</v>
      </c>
      <c r="AX68" s="54">
        <f t="shared" si="460"/>
        <v>214</v>
      </c>
      <c r="AY68" s="53">
        <f t="shared" si="301"/>
        <v>17</v>
      </c>
      <c r="AZ68" s="54">
        <f t="shared" si="461"/>
        <v>49</v>
      </c>
      <c r="BA68" s="53">
        <f t="shared" si="303"/>
        <v>70</v>
      </c>
      <c r="BB68" s="54">
        <f t="shared" si="462"/>
        <v>209</v>
      </c>
      <c r="BC68" s="49">
        <f t="shared" ref="BC68:BD68" si="463">SUM(AS68,AU68,AW68,AY68,BA68)</f>
        <v>276</v>
      </c>
      <c r="BD68" s="50">
        <f t="shared" si="463"/>
        <v>821</v>
      </c>
      <c r="BE68" s="68">
        <f t="shared" ref="BE68:BF68" si="464">SUM(E68,G68,I68,O68,Q68,AC68,AQ68,BC68)</f>
        <v>833</v>
      </c>
      <c r="BF68" s="69">
        <f t="shared" si="464"/>
        <v>2479</v>
      </c>
      <c r="BG68" s="46" t="str">
        <f>BF68*'ОВгП_РАО'!$B$30</f>
        <v>#REF!</v>
      </c>
      <c r="BH68" s="46" t="str">
        <f>'ОВгП_РАО'!$B$30</f>
        <v>#REF!</v>
      </c>
    </row>
    <row r="69" ht="15.75" customHeight="1">
      <c r="A69" s="80">
        <f t="shared" si="307"/>
        <v>46262</v>
      </c>
      <c r="B69" s="47" t="s">
        <v>155</v>
      </c>
      <c r="C69" s="47" t="s">
        <v>122</v>
      </c>
      <c r="D69" s="47" t="s">
        <v>156</v>
      </c>
      <c r="E69" s="73">
        <f t="shared" si="258"/>
        <v>6</v>
      </c>
      <c r="F69" s="50">
        <f t="shared" si="433"/>
        <v>18</v>
      </c>
      <c r="G69" s="73">
        <f t="shared" si="260"/>
        <v>6</v>
      </c>
      <c r="H69" s="50">
        <f t="shared" si="434"/>
        <v>18</v>
      </c>
      <c r="I69" s="73">
        <f t="shared" si="262"/>
        <v>21</v>
      </c>
      <c r="J69" s="50">
        <f t="shared" si="435"/>
        <v>61</v>
      </c>
      <c r="K69" s="53">
        <f t="shared" si="264"/>
        <v>26</v>
      </c>
      <c r="L69" s="54">
        <f t="shared" si="436"/>
        <v>76</v>
      </c>
      <c r="M69" s="53">
        <f t="shared" si="266"/>
        <v>24</v>
      </c>
      <c r="N69" s="54">
        <f t="shared" si="437"/>
        <v>71</v>
      </c>
      <c r="O69" s="49">
        <f t="shared" ref="O69:P69" si="465">SUM(K69,M69)</f>
        <v>50</v>
      </c>
      <c r="P69" s="50">
        <f t="shared" si="465"/>
        <v>147</v>
      </c>
      <c r="Q69" s="73">
        <f t="shared" si="269"/>
        <v>4</v>
      </c>
      <c r="R69" s="50">
        <f t="shared" si="439"/>
        <v>10</v>
      </c>
      <c r="S69" s="53">
        <f t="shared" si="271"/>
        <v>88</v>
      </c>
      <c r="T69" s="54">
        <f t="shared" si="440"/>
        <v>263</v>
      </c>
      <c r="U69" s="53">
        <f t="shared" si="273"/>
        <v>68</v>
      </c>
      <c r="V69" s="54">
        <f t="shared" si="441"/>
        <v>204</v>
      </c>
      <c r="W69" s="53">
        <f t="shared" si="275"/>
        <v>97</v>
      </c>
      <c r="X69" s="54">
        <f t="shared" si="442"/>
        <v>289</v>
      </c>
      <c r="Y69" s="53">
        <f t="shared" si="277"/>
        <v>9</v>
      </c>
      <c r="Z69" s="54">
        <f t="shared" si="443"/>
        <v>27</v>
      </c>
      <c r="AA69" s="53">
        <f t="shared" si="279"/>
        <v>89</v>
      </c>
      <c r="AB69" s="54">
        <f t="shared" si="444"/>
        <v>267</v>
      </c>
      <c r="AC69" s="49">
        <f t="shared" ref="AC69:AD69" si="466">SUM(S69,U69,W69,Y69,AA69)</f>
        <v>351</v>
      </c>
      <c r="AD69" s="50">
        <f t="shared" si="466"/>
        <v>1050</v>
      </c>
      <c r="AE69" s="53">
        <f t="shared" si="282"/>
        <v>86</v>
      </c>
      <c r="AF69" s="54">
        <f t="shared" si="451"/>
        <v>257</v>
      </c>
      <c r="AG69" s="53">
        <f t="shared" si="284"/>
        <v>19</v>
      </c>
      <c r="AH69" s="54">
        <f t="shared" si="452"/>
        <v>55</v>
      </c>
      <c r="AI69" s="53">
        <f t="shared" si="286"/>
        <v>89</v>
      </c>
      <c r="AJ69" s="54">
        <f t="shared" si="453"/>
        <v>265</v>
      </c>
      <c r="AK69" s="53">
        <f t="shared" si="288"/>
        <v>12</v>
      </c>
      <c r="AL69" s="54">
        <f t="shared" si="454"/>
        <v>36</v>
      </c>
      <c r="AM69" s="53">
        <f t="shared" si="290"/>
        <v>67</v>
      </c>
      <c r="AN69" s="54">
        <f t="shared" si="455"/>
        <v>199</v>
      </c>
      <c r="AO69" s="53">
        <f t="shared" si="292"/>
        <v>89</v>
      </c>
      <c r="AP69" s="54">
        <f t="shared" si="456"/>
        <v>267</v>
      </c>
      <c r="AQ69" s="49">
        <f t="shared" ref="AQ69:AR69" si="467">SUM(AG69,AI69,AK69,AM69,AO69)</f>
        <v>276</v>
      </c>
      <c r="AR69" s="50">
        <f t="shared" si="467"/>
        <v>822</v>
      </c>
      <c r="AS69" s="53">
        <f t="shared" si="295"/>
        <v>7</v>
      </c>
      <c r="AT69" s="54">
        <f t="shared" ref="AT69:AT71" si="473">RANDBETWEEN(0,100)</f>
        <v>20</v>
      </c>
      <c r="AU69" s="53">
        <f t="shared" si="297"/>
        <v>3</v>
      </c>
      <c r="AV69" s="54">
        <f t="shared" ref="AV69:AV71" si="474">RANDBETWEEN(0,100)</f>
        <v>7</v>
      </c>
      <c r="AW69" s="53">
        <f t="shared" si="299"/>
        <v>4</v>
      </c>
      <c r="AX69" s="54">
        <f t="shared" ref="AX69:AX71" si="475">RANDBETWEEN(0,100)</f>
        <v>10</v>
      </c>
      <c r="AY69" s="53">
        <f t="shared" si="301"/>
        <v>3</v>
      </c>
      <c r="AZ69" s="54">
        <f t="shared" ref="AZ69:AZ71" si="476">RANDBETWEEN(0,100)</f>
        <v>7</v>
      </c>
      <c r="BA69" s="53">
        <f t="shared" si="303"/>
        <v>31</v>
      </c>
      <c r="BB69" s="54">
        <f t="shared" ref="BB69:BB71" si="477">RANDBETWEEN(0,100)</f>
        <v>93</v>
      </c>
      <c r="BC69" s="49">
        <f t="shared" ref="BC69:BD69" si="468">SUM(AS69,AU69,AW69,AY69,BA69)</f>
        <v>48</v>
      </c>
      <c r="BD69" s="50">
        <f t="shared" si="468"/>
        <v>137</v>
      </c>
      <c r="BE69" s="68">
        <f t="shared" ref="BE69:BF69" si="469">SUM(E69,G69,I69,O69,Q69,AC69,AQ69,BC69)</f>
        <v>762</v>
      </c>
      <c r="BF69" s="69">
        <f t="shared" si="469"/>
        <v>2263</v>
      </c>
      <c r="BG69" s="46" t="str">
        <f>BF69*'ОВгП_РАО'!$B$31</f>
        <v>#REF!</v>
      </c>
      <c r="BH69" s="46" t="str">
        <f>'ОВгП_РАО'!$B$31</f>
        <v>#REF!</v>
      </c>
    </row>
    <row r="70" ht="15.75" customHeight="1">
      <c r="A70" s="80">
        <f t="shared" si="307"/>
        <v>46262</v>
      </c>
      <c r="B70" s="47" t="s">
        <v>158</v>
      </c>
      <c r="C70" s="47" t="s">
        <v>122</v>
      </c>
      <c r="D70" s="47" t="s">
        <v>156</v>
      </c>
      <c r="E70" s="73">
        <f t="shared" si="258"/>
        <v>3</v>
      </c>
      <c r="F70" s="50">
        <f t="shared" si="433"/>
        <v>7</v>
      </c>
      <c r="G70" s="73">
        <f t="shared" si="260"/>
        <v>4</v>
      </c>
      <c r="H70" s="50">
        <f t="shared" si="434"/>
        <v>10</v>
      </c>
      <c r="I70" s="73">
        <f t="shared" si="262"/>
        <v>29</v>
      </c>
      <c r="J70" s="50">
        <f t="shared" si="435"/>
        <v>86</v>
      </c>
      <c r="K70" s="53">
        <f t="shared" si="264"/>
        <v>1</v>
      </c>
      <c r="L70" s="54">
        <f t="shared" si="436"/>
        <v>3</v>
      </c>
      <c r="M70" s="53">
        <f t="shared" si="266"/>
        <v>8</v>
      </c>
      <c r="N70" s="54">
        <f t="shared" si="437"/>
        <v>22</v>
      </c>
      <c r="O70" s="49">
        <f t="shared" ref="O70:P70" si="470">SUM(K70,M70)</f>
        <v>9</v>
      </c>
      <c r="P70" s="50">
        <f t="shared" si="470"/>
        <v>25</v>
      </c>
      <c r="Q70" s="73">
        <f t="shared" si="269"/>
        <v>29</v>
      </c>
      <c r="R70" s="50">
        <f t="shared" si="439"/>
        <v>87</v>
      </c>
      <c r="S70" s="53">
        <f t="shared" si="271"/>
        <v>82</v>
      </c>
      <c r="T70" s="54">
        <f t="shared" si="440"/>
        <v>246</v>
      </c>
      <c r="U70" s="53">
        <f t="shared" si="273"/>
        <v>72</v>
      </c>
      <c r="V70" s="54">
        <f t="shared" si="441"/>
        <v>215</v>
      </c>
      <c r="W70" s="53">
        <f t="shared" si="275"/>
        <v>54</v>
      </c>
      <c r="X70" s="54">
        <f t="shared" si="442"/>
        <v>162</v>
      </c>
      <c r="Y70" s="53">
        <f t="shared" si="277"/>
        <v>19</v>
      </c>
      <c r="Z70" s="54">
        <f t="shared" si="443"/>
        <v>56</v>
      </c>
      <c r="AA70" s="53">
        <f t="shared" si="279"/>
        <v>55</v>
      </c>
      <c r="AB70" s="54">
        <f t="shared" si="444"/>
        <v>164</v>
      </c>
      <c r="AC70" s="49">
        <f t="shared" ref="AC70:AD70" si="471">SUM(S70,U70,W70,Y70,AA70)</f>
        <v>282</v>
      </c>
      <c r="AD70" s="50">
        <f t="shared" si="471"/>
        <v>843</v>
      </c>
      <c r="AE70" s="53">
        <f t="shared" si="282"/>
        <v>0</v>
      </c>
      <c r="AF70" s="54">
        <f t="shared" si="451"/>
        <v>0</v>
      </c>
      <c r="AG70" s="53">
        <f t="shared" si="284"/>
        <v>78</v>
      </c>
      <c r="AH70" s="54">
        <f t="shared" si="452"/>
        <v>234</v>
      </c>
      <c r="AI70" s="53">
        <f t="shared" si="286"/>
        <v>95</v>
      </c>
      <c r="AJ70" s="54">
        <f t="shared" si="453"/>
        <v>285</v>
      </c>
      <c r="AK70" s="53">
        <f t="shared" si="288"/>
        <v>59</v>
      </c>
      <c r="AL70" s="54">
        <f t="shared" si="454"/>
        <v>176</v>
      </c>
      <c r="AM70" s="53">
        <f t="shared" si="290"/>
        <v>14</v>
      </c>
      <c r="AN70" s="54">
        <f t="shared" si="455"/>
        <v>42</v>
      </c>
      <c r="AO70" s="53">
        <f t="shared" si="292"/>
        <v>40</v>
      </c>
      <c r="AP70" s="54">
        <f t="shared" si="456"/>
        <v>119</v>
      </c>
      <c r="AQ70" s="49">
        <f t="shared" ref="AQ70:AR70" si="472">SUM(AG70,AI70,AK70,AM70,AO70)</f>
        <v>286</v>
      </c>
      <c r="AR70" s="50">
        <f t="shared" si="472"/>
        <v>856</v>
      </c>
      <c r="AS70" s="53">
        <f t="shared" si="295"/>
        <v>22</v>
      </c>
      <c r="AT70" s="54">
        <f t="shared" si="473"/>
        <v>66</v>
      </c>
      <c r="AU70" s="53">
        <f t="shared" si="297"/>
        <v>14</v>
      </c>
      <c r="AV70" s="54">
        <f t="shared" si="474"/>
        <v>42</v>
      </c>
      <c r="AW70" s="53">
        <f t="shared" si="299"/>
        <v>33</v>
      </c>
      <c r="AX70" s="54">
        <f t="shared" si="475"/>
        <v>98</v>
      </c>
      <c r="AY70" s="53">
        <f t="shared" si="301"/>
        <v>22</v>
      </c>
      <c r="AZ70" s="54">
        <f t="shared" si="476"/>
        <v>66</v>
      </c>
      <c r="BA70" s="53">
        <f t="shared" si="303"/>
        <v>32</v>
      </c>
      <c r="BB70" s="54">
        <f t="shared" si="477"/>
        <v>95</v>
      </c>
      <c r="BC70" s="49">
        <f t="shared" ref="BC70:BD70" si="478">SUM(AS70,AU70,AW70,AY70,BA70)</f>
        <v>123</v>
      </c>
      <c r="BD70" s="50">
        <f t="shared" si="478"/>
        <v>367</v>
      </c>
      <c r="BE70" s="68">
        <f t="shared" ref="BE70:BF70" si="479">SUM(E70,G70,I70,O70,Q70,AC70,AQ70,BC70)</f>
        <v>765</v>
      </c>
      <c r="BF70" s="69">
        <f t="shared" si="479"/>
        <v>2281</v>
      </c>
      <c r="BG70" s="46" t="str">
        <f>BF70*'ОВгП_РАО'!$B$32</f>
        <v>#REF!</v>
      </c>
      <c r="BH70" s="46" t="str">
        <f>'ОВгП_РАО'!$B$32</f>
        <v>#REF!</v>
      </c>
    </row>
    <row r="71" ht="15.75" customHeight="1">
      <c r="A71" s="80">
        <f t="shared" si="307"/>
        <v>46262</v>
      </c>
      <c r="B71" s="47" t="s">
        <v>159</v>
      </c>
      <c r="C71" s="47" t="s">
        <v>122</v>
      </c>
      <c r="D71" s="47" t="s">
        <v>156</v>
      </c>
      <c r="E71" s="73">
        <f t="shared" si="258"/>
        <v>27</v>
      </c>
      <c r="F71" s="50">
        <f t="shared" si="433"/>
        <v>79</v>
      </c>
      <c r="G71" s="73">
        <f t="shared" si="260"/>
        <v>21</v>
      </c>
      <c r="H71" s="50">
        <f t="shared" si="434"/>
        <v>63</v>
      </c>
      <c r="I71" s="73">
        <f t="shared" si="262"/>
        <v>2</v>
      </c>
      <c r="J71" s="50">
        <f t="shared" si="435"/>
        <v>6</v>
      </c>
      <c r="K71" s="53">
        <f t="shared" si="264"/>
        <v>26</v>
      </c>
      <c r="L71" s="54">
        <f t="shared" si="436"/>
        <v>77</v>
      </c>
      <c r="M71" s="53">
        <f t="shared" si="266"/>
        <v>23</v>
      </c>
      <c r="N71" s="54">
        <f t="shared" si="437"/>
        <v>67</v>
      </c>
      <c r="O71" s="49">
        <f t="shared" ref="O71:P71" si="480">SUM(K71,M71)</f>
        <v>49</v>
      </c>
      <c r="P71" s="50">
        <f t="shared" si="480"/>
        <v>144</v>
      </c>
      <c r="Q71" s="73">
        <f t="shared" si="269"/>
        <v>15</v>
      </c>
      <c r="R71" s="50">
        <f t="shared" si="439"/>
        <v>44</v>
      </c>
      <c r="S71" s="53">
        <f t="shared" si="271"/>
        <v>94</v>
      </c>
      <c r="T71" s="54">
        <f t="shared" si="440"/>
        <v>282</v>
      </c>
      <c r="U71" s="53">
        <f t="shared" si="273"/>
        <v>94</v>
      </c>
      <c r="V71" s="54">
        <f t="shared" si="441"/>
        <v>282</v>
      </c>
      <c r="W71" s="53">
        <f t="shared" si="275"/>
        <v>68</v>
      </c>
      <c r="X71" s="54">
        <f t="shared" si="442"/>
        <v>203</v>
      </c>
      <c r="Y71" s="53">
        <f t="shared" si="277"/>
        <v>41</v>
      </c>
      <c r="Z71" s="54">
        <f t="shared" si="443"/>
        <v>121</v>
      </c>
      <c r="AA71" s="53">
        <f t="shared" si="279"/>
        <v>63</v>
      </c>
      <c r="AB71" s="54">
        <f t="shared" si="444"/>
        <v>187</v>
      </c>
      <c r="AC71" s="49">
        <f t="shared" ref="AC71:AD71" si="481">SUM(S71,U71,W71,Y71,AA71)</f>
        <v>360</v>
      </c>
      <c r="AD71" s="50">
        <f t="shared" si="481"/>
        <v>1075</v>
      </c>
      <c r="AE71" s="53">
        <f t="shared" si="282"/>
        <v>61</v>
      </c>
      <c r="AF71" s="54">
        <f t="shared" si="451"/>
        <v>183</v>
      </c>
      <c r="AG71" s="53">
        <f t="shared" si="284"/>
        <v>35</v>
      </c>
      <c r="AH71" s="54">
        <f t="shared" si="452"/>
        <v>103</v>
      </c>
      <c r="AI71" s="53">
        <f t="shared" si="286"/>
        <v>20</v>
      </c>
      <c r="AJ71" s="54">
        <f t="shared" si="453"/>
        <v>58</v>
      </c>
      <c r="AK71" s="53">
        <f t="shared" si="288"/>
        <v>16</v>
      </c>
      <c r="AL71" s="54">
        <f t="shared" si="454"/>
        <v>47</v>
      </c>
      <c r="AM71" s="53">
        <f t="shared" si="290"/>
        <v>25</v>
      </c>
      <c r="AN71" s="54">
        <f t="shared" si="455"/>
        <v>75</v>
      </c>
      <c r="AO71" s="53">
        <f t="shared" si="292"/>
        <v>16</v>
      </c>
      <c r="AP71" s="54">
        <f t="shared" si="456"/>
        <v>47</v>
      </c>
      <c r="AQ71" s="49">
        <f t="shared" ref="AQ71:AR71" si="482">SUM(AG71,AI71,AK71,AM71,AO71)</f>
        <v>112</v>
      </c>
      <c r="AR71" s="50">
        <f t="shared" si="482"/>
        <v>330</v>
      </c>
      <c r="AS71" s="53">
        <f t="shared" si="295"/>
        <v>9</v>
      </c>
      <c r="AT71" s="54">
        <f t="shared" si="473"/>
        <v>27</v>
      </c>
      <c r="AU71" s="53">
        <f t="shared" si="297"/>
        <v>17</v>
      </c>
      <c r="AV71" s="54">
        <f t="shared" si="474"/>
        <v>51</v>
      </c>
      <c r="AW71" s="53">
        <f t="shared" si="299"/>
        <v>10</v>
      </c>
      <c r="AX71" s="54">
        <f t="shared" si="475"/>
        <v>28</v>
      </c>
      <c r="AY71" s="53">
        <f t="shared" si="301"/>
        <v>13</v>
      </c>
      <c r="AZ71" s="54">
        <f t="shared" si="476"/>
        <v>37</v>
      </c>
      <c r="BA71" s="53">
        <f t="shared" si="303"/>
        <v>9</v>
      </c>
      <c r="BB71" s="54">
        <f t="shared" si="477"/>
        <v>27</v>
      </c>
      <c r="BC71" s="49">
        <f t="shared" ref="BC71:BD71" si="483">SUM(AS71,AU71,AW71,AY71,BA71)</f>
        <v>58</v>
      </c>
      <c r="BD71" s="50">
        <f t="shared" si="483"/>
        <v>170</v>
      </c>
      <c r="BE71" s="68">
        <f t="shared" ref="BE71:BF71" si="484">SUM(E71,G71,I71,O71,Q71,AC71,AQ71,BC71)</f>
        <v>644</v>
      </c>
      <c r="BF71" s="69">
        <f t="shared" si="484"/>
        <v>1911</v>
      </c>
      <c r="BG71" s="46" t="str">
        <f>BF71*'ОВгП_РАО'!$B$33</f>
        <v>#REF!</v>
      </c>
      <c r="BH71" s="46" t="str">
        <f>'ОВгП_РАО'!$B$33</f>
        <v>#REF!</v>
      </c>
    </row>
    <row r="72" ht="15.75" customHeight="1">
      <c r="A72" s="80">
        <f t="shared" si="307"/>
        <v>46262</v>
      </c>
      <c r="B72" s="47" t="s">
        <v>160</v>
      </c>
      <c r="C72" s="47" t="s">
        <v>161</v>
      </c>
      <c r="D72" s="47" t="s">
        <v>98</v>
      </c>
      <c r="E72" s="73">
        <f t="shared" si="258"/>
        <v>28</v>
      </c>
      <c r="F72" s="50">
        <f t="shared" si="433"/>
        <v>84</v>
      </c>
      <c r="G72" s="73">
        <f t="shared" si="260"/>
        <v>21</v>
      </c>
      <c r="H72" s="50">
        <f t="shared" si="434"/>
        <v>61</v>
      </c>
      <c r="I72" s="73">
        <f t="shared" si="262"/>
        <v>6</v>
      </c>
      <c r="J72" s="50">
        <f t="shared" si="435"/>
        <v>18</v>
      </c>
      <c r="K72" s="53">
        <f t="shared" si="264"/>
        <v>26</v>
      </c>
      <c r="L72" s="54">
        <f t="shared" si="436"/>
        <v>76</v>
      </c>
      <c r="M72" s="53">
        <f t="shared" si="266"/>
        <v>25</v>
      </c>
      <c r="N72" s="54">
        <f t="shared" si="437"/>
        <v>74</v>
      </c>
      <c r="O72" s="49">
        <f t="shared" ref="O72:P72" si="485">SUM(K72,M72)</f>
        <v>51</v>
      </c>
      <c r="P72" s="50">
        <f t="shared" si="485"/>
        <v>150</v>
      </c>
      <c r="Q72" s="73">
        <f t="shared" si="269"/>
        <v>2</v>
      </c>
      <c r="R72" s="50">
        <f t="shared" si="439"/>
        <v>6</v>
      </c>
      <c r="S72" s="53">
        <f t="shared" si="271"/>
        <v>66</v>
      </c>
      <c r="T72" s="54">
        <f t="shared" si="440"/>
        <v>197</v>
      </c>
      <c r="U72" s="53">
        <f t="shared" si="273"/>
        <v>38</v>
      </c>
      <c r="V72" s="54">
        <f t="shared" si="441"/>
        <v>112</v>
      </c>
      <c r="W72" s="53">
        <f t="shared" si="275"/>
        <v>47</v>
      </c>
      <c r="X72" s="54">
        <f t="shared" si="442"/>
        <v>140</v>
      </c>
      <c r="Y72" s="53">
        <f t="shared" si="277"/>
        <v>90</v>
      </c>
      <c r="Z72" s="54">
        <f t="shared" si="443"/>
        <v>268</v>
      </c>
      <c r="AA72" s="53">
        <f t="shared" si="279"/>
        <v>59</v>
      </c>
      <c r="AB72" s="54">
        <f t="shared" si="444"/>
        <v>175</v>
      </c>
      <c r="AC72" s="49">
        <f t="shared" ref="AC72:AD72" si="486">SUM(S72,U72,W72,Y72,AA72)</f>
        <v>300</v>
      </c>
      <c r="AD72" s="50">
        <f t="shared" si="486"/>
        <v>892</v>
      </c>
      <c r="AE72" s="53">
        <f t="shared" si="282"/>
        <v>64</v>
      </c>
      <c r="AF72" s="54">
        <f t="shared" si="451"/>
        <v>190</v>
      </c>
      <c r="AG72" s="53">
        <f t="shared" si="284"/>
        <v>69</v>
      </c>
      <c r="AH72" s="54">
        <f t="shared" si="452"/>
        <v>207</v>
      </c>
      <c r="AI72" s="53">
        <f t="shared" si="286"/>
        <v>58</v>
      </c>
      <c r="AJ72" s="54">
        <f t="shared" si="453"/>
        <v>174</v>
      </c>
      <c r="AK72" s="53">
        <f t="shared" si="288"/>
        <v>27</v>
      </c>
      <c r="AL72" s="54">
        <f t="shared" si="454"/>
        <v>80</v>
      </c>
      <c r="AM72" s="53">
        <f t="shared" si="290"/>
        <v>30</v>
      </c>
      <c r="AN72" s="54">
        <f t="shared" si="455"/>
        <v>88</v>
      </c>
      <c r="AO72" s="53">
        <f t="shared" si="292"/>
        <v>71</v>
      </c>
      <c r="AP72" s="54">
        <f t="shared" si="456"/>
        <v>212</v>
      </c>
      <c r="AQ72" s="49">
        <f t="shared" ref="AQ72:AR72" si="487">SUM(AG72,AI72,AK72,AM72,AO72)</f>
        <v>255</v>
      </c>
      <c r="AR72" s="50">
        <f t="shared" si="487"/>
        <v>761</v>
      </c>
      <c r="AS72" s="53">
        <f t="shared" si="295"/>
        <v>1</v>
      </c>
      <c r="AT72" s="54">
        <f t="shared" ref="AT72:AT74" si="493">RANDBETWEEN(0,300)</f>
        <v>2</v>
      </c>
      <c r="AU72" s="53">
        <f t="shared" si="297"/>
        <v>42</v>
      </c>
      <c r="AV72" s="54">
        <f t="shared" ref="AV72:AV74" si="494">RANDBETWEEN(0,300)</f>
        <v>124</v>
      </c>
      <c r="AW72" s="53">
        <f t="shared" si="299"/>
        <v>11</v>
      </c>
      <c r="AX72" s="54">
        <f t="shared" ref="AX72:AX74" si="495">RANDBETWEEN(0,300)</f>
        <v>32</v>
      </c>
      <c r="AY72" s="53">
        <f t="shared" si="301"/>
        <v>2</v>
      </c>
      <c r="AZ72" s="54">
        <f t="shared" ref="AZ72:AZ74" si="496">RANDBETWEEN(0,300)</f>
        <v>5</v>
      </c>
      <c r="BA72" s="53">
        <f t="shared" si="303"/>
        <v>85</v>
      </c>
      <c r="BB72" s="54">
        <f t="shared" ref="BB72:BB74" si="497">RANDBETWEEN(0,300)</f>
        <v>254</v>
      </c>
      <c r="BC72" s="49">
        <f t="shared" ref="BC72:BD72" si="488">SUM(AS72,AU72,AW72,AY72,BA72)</f>
        <v>141</v>
      </c>
      <c r="BD72" s="50">
        <f t="shared" si="488"/>
        <v>417</v>
      </c>
      <c r="BE72" s="68">
        <f t="shared" ref="BE72:BF72" si="489">SUM(E72,G72,I72,O72,Q72,AC72,AQ72,BC72)</f>
        <v>804</v>
      </c>
      <c r="BF72" s="69">
        <f t="shared" si="489"/>
        <v>2389</v>
      </c>
      <c r="BG72" s="46" t="str">
        <f>BF72*'ОВгП_РАО'!$B$34</f>
        <v>#REF!</v>
      </c>
      <c r="BH72" s="46" t="str">
        <f>'ОВгП_РАО'!$B$34</f>
        <v>#REF!</v>
      </c>
    </row>
    <row r="73" ht="15.75" customHeight="1">
      <c r="A73" s="80">
        <f t="shared" si="307"/>
        <v>46262</v>
      </c>
      <c r="B73" s="47" t="s">
        <v>163</v>
      </c>
      <c r="C73" s="47" t="s">
        <v>161</v>
      </c>
      <c r="D73" s="47" t="s">
        <v>145</v>
      </c>
      <c r="E73" s="73">
        <f t="shared" si="258"/>
        <v>24</v>
      </c>
      <c r="F73" s="50">
        <f t="shared" si="433"/>
        <v>72</v>
      </c>
      <c r="G73" s="73">
        <f t="shared" si="260"/>
        <v>30</v>
      </c>
      <c r="H73" s="50">
        <f t="shared" si="434"/>
        <v>89</v>
      </c>
      <c r="I73" s="73">
        <f t="shared" si="262"/>
        <v>4</v>
      </c>
      <c r="J73" s="50">
        <f t="shared" si="435"/>
        <v>12</v>
      </c>
      <c r="K73" s="53">
        <f t="shared" si="264"/>
        <v>21</v>
      </c>
      <c r="L73" s="54">
        <f t="shared" si="436"/>
        <v>61</v>
      </c>
      <c r="M73" s="53">
        <f t="shared" si="266"/>
        <v>34</v>
      </c>
      <c r="N73" s="54">
        <f t="shared" si="437"/>
        <v>100</v>
      </c>
      <c r="O73" s="49">
        <f t="shared" ref="O73:P73" si="490">SUM(K73,M73)</f>
        <v>55</v>
      </c>
      <c r="P73" s="50">
        <f t="shared" si="490"/>
        <v>161</v>
      </c>
      <c r="Q73" s="73">
        <f t="shared" si="269"/>
        <v>23</v>
      </c>
      <c r="R73" s="50">
        <f t="shared" si="439"/>
        <v>67</v>
      </c>
      <c r="S73" s="53">
        <f t="shared" si="271"/>
        <v>12</v>
      </c>
      <c r="T73" s="54">
        <f t="shared" si="440"/>
        <v>35</v>
      </c>
      <c r="U73" s="53">
        <f t="shared" si="273"/>
        <v>88</v>
      </c>
      <c r="V73" s="54">
        <f t="shared" si="441"/>
        <v>262</v>
      </c>
      <c r="W73" s="53">
        <f t="shared" si="275"/>
        <v>93</v>
      </c>
      <c r="X73" s="54">
        <f t="shared" si="442"/>
        <v>278</v>
      </c>
      <c r="Y73" s="53">
        <f t="shared" si="277"/>
        <v>91</v>
      </c>
      <c r="Z73" s="54">
        <f t="shared" si="443"/>
        <v>273</v>
      </c>
      <c r="AA73" s="53">
        <f t="shared" si="279"/>
        <v>98</v>
      </c>
      <c r="AB73" s="54">
        <f t="shared" si="444"/>
        <v>294</v>
      </c>
      <c r="AC73" s="49">
        <f t="shared" ref="AC73:AD73" si="491">SUM(S73,U73,W73,Y73,AA73)</f>
        <v>382</v>
      </c>
      <c r="AD73" s="50">
        <f t="shared" si="491"/>
        <v>1142</v>
      </c>
      <c r="AE73" s="53">
        <f t="shared" si="282"/>
        <v>9</v>
      </c>
      <c r="AF73" s="54">
        <f t="shared" si="451"/>
        <v>25</v>
      </c>
      <c r="AG73" s="53">
        <f t="shared" si="284"/>
        <v>12</v>
      </c>
      <c r="AH73" s="54">
        <f t="shared" si="452"/>
        <v>36</v>
      </c>
      <c r="AI73" s="53">
        <f t="shared" si="286"/>
        <v>30</v>
      </c>
      <c r="AJ73" s="54">
        <f t="shared" si="453"/>
        <v>90</v>
      </c>
      <c r="AK73" s="53">
        <f t="shared" si="288"/>
        <v>68</v>
      </c>
      <c r="AL73" s="54">
        <f t="shared" si="454"/>
        <v>202</v>
      </c>
      <c r="AM73" s="53">
        <f t="shared" si="290"/>
        <v>43</v>
      </c>
      <c r="AN73" s="54">
        <f t="shared" si="455"/>
        <v>128</v>
      </c>
      <c r="AO73" s="53">
        <f t="shared" si="292"/>
        <v>72</v>
      </c>
      <c r="AP73" s="54">
        <f t="shared" si="456"/>
        <v>214</v>
      </c>
      <c r="AQ73" s="49">
        <f t="shared" ref="AQ73:AR73" si="492">SUM(AG73,AI73,AK73,AM73,AO73)</f>
        <v>225</v>
      </c>
      <c r="AR73" s="50">
        <f t="shared" si="492"/>
        <v>670</v>
      </c>
      <c r="AS73" s="53">
        <f t="shared" si="295"/>
        <v>43</v>
      </c>
      <c r="AT73" s="54">
        <f t="shared" si="493"/>
        <v>127</v>
      </c>
      <c r="AU73" s="53">
        <f t="shared" si="297"/>
        <v>12</v>
      </c>
      <c r="AV73" s="54">
        <f t="shared" si="494"/>
        <v>36</v>
      </c>
      <c r="AW73" s="53">
        <f t="shared" si="299"/>
        <v>17</v>
      </c>
      <c r="AX73" s="54">
        <f t="shared" si="495"/>
        <v>49</v>
      </c>
      <c r="AY73" s="53">
        <f t="shared" si="301"/>
        <v>36</v>
      </c>
      <c r="AZ73" s="54">
        <f t="shared" si="496"/>
        <v>108</v>
      </c>
      <c r="BA73" s="53">
        <f t="shared" si="303"/>
        <v>34</v>
      </c>
      <c r="BB73" s="54">
        <f t="shared" si="497"/>
        <v>100</v>
      </c>
      <c r="BC73" s="49">
        <f t="shared" ref="BC73:BD73" si="498">SUM(AS73,AU73,AW73,AY73,BA73)</f>
        <v>142</v>
      </c>
      <c r="BD73" s="50">
        <f t="shared" si="498"/>
        <v>420</v>
      </c>
      <c r="BE73" s="68">
        <f t="shared" ref="BE73:BF73" si="499">SUM(E73,G73,I73,O73,Q73,AC73,AQ73,BC73)</f>
        <v>885</v>
      </c>
      <c r="BF73" s="69">
        <f t="shared" si="499"/>
        <v>2633</v>
      </c>
      <c r="BG73" s="46" t="str">
        <f>BF73*'ОВгП_РАО'!$B$35</f>
        <v>#REF!</v>
      </c>
      <c r="BH73" s="46" t="str">
        <f>'ОВгП_РАО'!$B$35</f>
        <v>#REF!</v>
      </c>
    </row>
    <row r="74" ht="15.75" customHeight="1">
      <c r="A74" s="80">
        <f t="shared" si="307"/>
        <v>46262</v>
      </c>
      <c r="B74" s="47" t="s">
        <v>164</v>
      </c>
      <c r="C74" s="47" t="s">
        <v>161</v>
      </c>
      <c r="D74" s="47" t="s">
        <v>148</v>
      </c>
      <c r="E74" s="73">
        <f t="shared" si="258"/>
        <v>23</v>
      </c>
      <c r="F74" s="50">
        <f t="shared" si="433"/>
        <v>68</v>
      </c>
      <c r="G74" s="73">
        <f t="shared" si="260"/>
        <v>27</v>
      </c>
      <c r="H74" s="50">
        <f t="shared" si="434"/>
        <v>80</v>
      </c>
      <c r="I74" s="73">
        <f t="shared" si="262"/>
        <v>5</v>
      </c>
      <c r="J74" s="50">
        <f t="shared" si="435"/>
        <v>13</v>
      </c>
      <c r="K74" s="53">
        <f t="shared" si="264"/>
        <v>10</v>
      </c>
      <c r="L74" s="54">
        <f t="shared" si="436"/>
        <v>29</v>
      </c>
      <c r="M74" s="53">
        <f t="shared" si="266"/>
        <v>24</v>
      </c>
      <c r="N74" s="54">
        <f t="shared" si="437"/>
        <v>71</v>
      </c>
      <c r="O74" s="49">
        <f t="shared" ref="O74:P74" si="500">SUM(K74,M74)</f>
        <v>34</v>
      </c>
      <c r="P74" s="50">
        <f t="shared" si="500"/>
        <v>100</v>
      </c>
      <c r="Q74" s="73">
        <f t="shared" si="269"/>
        <v>33</v>
      </c>
      <c r="R74" s="50">
        <f t="shared" si="439"/>
        <v>99</v>
      </c>
      <c r="S74" s="53">
        <f t="shared" si="271"/>
        <v>3</v>
      </c>
      <c r="T74" s="54">
        <f t="shared" si="440"/>
        <v>9</v>
      </c>
      <c r="U74" s="53">
        <f t="shared" si="273"/>
        <v>94</v>
      </c>
      <c r="V74" s="54">
        <f t="shared" si="441"/>
        <v>281</v>
      </c>
      <c r="W74" s="53">
        <f t="shared" si="275"/>
        <v>8</v>
      </c>
      <c r="X74" s="54">
        <f t="shared" si="442"/>
        <v>23</v>
      </c>
      <c r="Y74" s="53">
        <f t="shared" si="277"/>
        <v>63</v>
      </c>
      <c r="Z74" s="54">
        <f t="shared" si="443"/>
        <v>189</v>
      </c>
      <c r="AA74" s="53">
        <f t="shared" si="279"/>
        <v>24</v>
      </c>
      <c r="AB74" s="54">
        <f t="shared" si="444"/>
        <v>72</v>
      </c>
      <c r="AC74" s="49">
        <f t="shared" ref="AC74:AD74" si="501">SUM(S74,U74,W74,Y74,AA74)</f>
        <v>192</v>
      </c>
      <c r="AD74" s="50">
        <f t="shared" si="501"/>
        <v>574</v>
      </c>
      <c r="AE74" s="53">
        <f t="shared" si="282"/>
        <v>30</v>
      </c>
      <c r="AF74" s="54">
        <f t="shared" si="451"/>
        <v>90</v>
      </c>
      <c r="AG74" s="53">
        <f t="shared" si="284"/>
        <v>64</v>
      </c>
      <c r="AH74" s="54">
        <f t="shared" si="452"/>
        <v>191</v>
      </c>
      <c r="AI74" s="53">
        <f t="shared" si="286"/>
        <v>1</v>
      </c>
      <c r="AJ74" s="54">
        <f t="shared" si="453"/>
        <v>2</v>
      </c>
      <c r="AK74" s="53">
        <f t="shared" si="288"/>
        <v>81</v>
      </c>
      <c r="AL74" s="54">
        <f t="shared" si="454"/>
        <v>243</v>
      </c>
      <c r="AM74" s="53">
        <f t="shared" si="290"/>
        <v>64</v>
      </c>
      <c r="AN74" s="54">
        <f t="shared" si="455"/>
        <v>191</v>
      </c>
      <c r="AO74" s="53">
        <f t="shared" si="292"/>
        <v>92</v>
      </c>
      <c r="AP74" s="54">
        <f t="shared" si="456"/>
        <v>276</v>
      </c>
      <c r="AQ74" s="49">
        <f t="shared" ref="AQ74:AR74" si="502">SUM(AG74,AI74,AK74,AM74,AO74)</f>
        <v>302</v>
      </c>
      <c r="AR74" s="50">
        <f t="shared" si="502"/>
        <v>903</v>
      </c>
      <c r="AS74" s="53">
        <f t="shared" si="295"/>
        <v>43</v>
      </c>
      <c r="AT74" s="54">
        <f t="shared" si="493"/>
        <v>128</v>
      </c>
      <c r="AU74" s="53">
        <f t="shared" si="297"/>
        <v>85</v>
      </c>
      <c r="AV74" s="54">
        <f t="shared" si="494"/>
        <v>254</v>
      </c>
      <c r="AW74" s="53">
        <f t="shared" si="299"/>
        <v>49</v>
      </c>
      <c r="AX74" s="54">
        <f t="shared" si="495"/>
        <v>147</v>
      </c>
      <c r="AY74" s="53">
        <f t="shared" si="301"/>
        <v>66</v>
      </c>
      <c r="AZ74" s="54">
        <f t="shared" si="496"/>
        <v>196</v>
      </c>
      <c r="BA74" s="53">
        <f t="shared" si="303"/>
        <v>57</v>
      </c>
      <c r="BB74" s="54">
        <f t="shared" si="497"/>
        <v>171</v>
      </c>
      <c r="BC74" s="49">
        <f t="shared" ref="BC74:BD74" si="503">SUM(AS74,AU74,AW74,AY74,BA74)</f>
        <v>300</v>
      </c>
      <c r="BD74" s="50">
        <f t="shared" si="503"/>
        <v>896</v>
      </c>
      <c r="BE74" s="68">
        <f t="shared" ref="BE74:BF74" si="504">SUM(E74,G74,I74,O74,Q74,AC74,AQ74,BC74)</f>
        <v>916</v>
      </c>
      <c r="BF74" s="69">
        <f t="shared" si="504"/>
        <v>2733</v>
      </c>
      <c r="BG74" s="46" t="str">
        <f>BF74*'ОВгП_РАО'!$B$36</f>
        <v>#REF!</v>
      </c>
      <c r="BH74" s="46" t="str">
        <f>'ОВгП_РАО'!B72</f>
        <v>#REF!</v>
      </c>
    </row>
    <row r="75" ht="15.75" customHeight="1">
      <c r="A75" s="161"/>
      <c r="B75" s="162"/>
      <c r="C75" s="162"/>
      <c r="D75" s="162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2"/>
    </row>
    <row r="76" ht="15.75" customHeight="1">
      <c r="A76" s="44">
        <f>A74+1</f>
        <v>46263</v>
      </c>
      <c r="B76" s="163" t="s">
        <v>95</v>
      </c>
      <c r="C76" s="46" t="s">
        <v>96</v>
      </c>
      <c r="D76" s="47" t="s">
        <v>98</v>
      </c>
      <c r="E76" s="49">
        <f t="shared" ref="E76:E110" si="510">ROUNDUP(F76/3,0)</f>
        <v>2</v>
      </c>
      <c r="F76" s="50">
        <f t="shared" ref="F76:F101" si="511">RANDBETWEEN(0,4)</f>
        <v>4</v>
      </c>
      <c r="G76" s="49">
        <f t="shared" ref="G76:G110" si="512">ROUNDUP(H76/3,0)</f>
        <v>1</v>
      </c>
      <c r="H76" s="50">
        <f t="shared" ref="H76:H101" si="513">RANDBETWEEN(0,4)</f>
        <v>2</v>
      </c>
      <c r="I76" s="49">
        <f t="shared" ref="I76:I110" si="514">ROUNDUP(J76/3,0)</f>
        <v>2</v>
      </c>
      <c r="J76" s="50">
        <f t="shared" ref="J76:J101" si="515">RANDBETWEEN(0,4)</f>
        <v>4</v>
      </c>
      <c r="K76" s="53">
        <f t="shared" ref="K76:K110" si="516">ROUNDUP(L76/3,0)</f>
        <v>2</v>
      </c>
      <c r="L76" s="54">
        <f t="shared" ref="L76:L101" si="517">RANDBETWEEN(0,4)</f>
        <v>4</v>
      </c>
      <c r="M76" s="53">
        <f t="shared" ref="M76:M110" si="518">ROUNDUP(N76/3,0)</f>
        <v>2</v>
      </c>
      <c r="N76" s="54">
        <f t="shared" ref="N76:N101" si="519">RANDBETWEEN(0,4)</f>
        <v>4</v>
      </c>
      <c r="O76" s="49">
        <f t="shared" ref="O76:P76" si="505">SUM(K76,M76)</f>
        <v>4</v>
      </c>
      <c r="P76" s="50">
        <f t="shared" si="505"/>
        <v>8</v>
      </c>
      <c r="Q76" s="49">
        <f t="shared" ref="Q76:Q110" si="521">ROUNDUP(R76/3,0)</f>
        <v>2</v>
      </c>
      <c r="R76" s="50">
        <f t="shared" ref="R76:R101" si="522">RANDBETWEEN(0,4)</f>
        <v>4</v>
      </c>
      <c r="S76" s="53">
        <f t="shared" ref="S76:S110" si="523">ROUNDUP(T76/3,0)</f>
        <v>2</v>
      </c>
      <c r="T76" s="54">
        <f t="shared" ref="T76:T101" si="524">RANDBETWEEN(0,4)</f>
        <v>4</v>
      </c>
      <c r="U76" s="53">
        <f t="shared" ref="U76:U110" si="525">ROUNDUP(V76/3,0)</f>
        <v>1</v>
      </c>
      <c r="V76" s="54">
        <f t="shared" ref="V76:V101" si="526">RANDBETWEEN(0,4)</f>
        <v>1</v>
      </c>
      <c r="W76" s="53">
        <f t="shared" ref="W76:W110" si="527">ROUNDUP(X76/3,0)</f>
        <v>0</v>
      </c>
      <c r="X76" s="54">
        <f t="shared" ref="X76:X101" si="528">RANDBETWEEN(0,4)</f>
        <v>0</v>
      </c>
      <c r="Y76" s="53">
        <f t="shared" ref="Y76:Y110" si="529">ROUNDUP(Z76/3,0)</f>
        <v>1</v>
      </c>
      <c r="Z76" s="54">
        <f t="shared" ref="Z76:Z101" si="530">RANDBETWEEN(0,4)</f>
        <v>1</v>
      </c>
      <c r="AA76" s="53">
        <f t="shared" ref="AA76:AA110" si="531">ROUNDUP(AB76/3,0)</f>
        <v>1</v>
      </c>
      <c r="AB76" s="54">
        <f t="shared" ref="AB76:AB101" si="532">RANDBETWEEN(0,4)</f>
        <v>3</v>
      </c>
      <c r="AC76" s="49">
        <f t="shared" ref="AC76:AD76" si="506">SUM(S76,U76,W76,Y76,AA76)</f>
        <v>5</v>
      </c>
      <c r="AD76" s="50">
        <f t="shared" si="506"/>
        <v>9</v>
      </c>
      <c r="AE76" s="53">
        <f t="shared" ref="AE76:AE110" si="534">ROUNDUP(AF76/3,0)</f>
        <v>1</v>
      </c>
      <c r="AF76" s="54">
        <f t="shared" ref="AF76:AF101" si="535">RANDBETWEEN(0,4)</f>
        <v>2</v>
      </c>
      <c r="AG76" s="53">
        <f t="shared" ref="AG76:AG110" si="536">ROUNDUP(AH76/3,0)</f>
        <v>2</v>
      </c>
      <c r="AH76" s="54">
        <f t="shared" ref="AH76:AH101" si="537">RANDBETWEEN(0,4)</f>
        <v>4</v>
      </c>
      <c r="AI76" s="53">
        <f t="shared" ref="AI76:AI110" si="538">ROUNDUP(AJ76/3,0)</f>
        <v>0</v>
      </c>
      <c r="AJ76" s="54">
        <f t="shared" ref="AJ76:AJ101" si="539">RANDBETWEEN(0,4)</f>
        <v>0</v>
      </c>
      <c r="AK76" s="53">
        <f t="shared" ref="AK76:AK110" si="540">ROUNDUP(AL76/3,0)</f>
        <v>1</v>
      </c>
      <c r="AL76" s="54">
        <f t="shared" ref="AL76:AL101" si="541">RANDBETWEEN(0,4)</f>
        <v>1</v>
      </c>
      <c r="AM76" s="53">
        <f t="shared" ref="AM76:AM110" si="542">ROUNDUP(AN76/3,0)</f>
        <v>1</v>
      </c>
      <c r="AN76" s="54">
        <f t="shared" ref="AN76:AN101" si="543">RANDBETWEEN(0,4)</f>
        <v>3</v>
      </c>
      <c r="AO76" s="53">
        <f t="shared" ref="AO76:AO110" si="544">ROUNDUP(AP76/3,0)</f>
        <v>1</v>
      </c>
      <c r="AP76" s="54">
        <f t="shared" ref="AP76:AP101" si="545">RANDBETWEEN(0,4)</f>
        <v>2</v>
      </c>
      <c r="AQ76" s="49">
        <f t="shared" ref="AQ76:AR76" si="507">SUM(AG76,AI76,AK76,AM76,AO76)</f>
        <v>5</v>
      </c>
      <c r="AR76" s="50">
        <f t="shared" si="507"/>
        <v>10</v>
      </c>
      <c r="AS76" s="53">
        <f t="shared" ref="AS76:AS110" si="547">ROUNDUP(AT76/3,0)</f>
        <v>0</v>
      </c>
      <c r="AT76" s="54">
        <f t="shared" ref="AT76:AT101" si="548">RANDBETWEEN(0,4)</f>
        <v>0</v>
      </c>
      <c r="AU76" s="53">
        <f t="shared" ref="AU76:AU110" si="549">ROUNDUP(AV76/3,0)</f>
        <v>1</v>
      </c>
      <c r="AV76" s="54">
        <f t="shared" ref="AV76:AV101" si="550">RANDBETWEEN(0,4)</f>
        <v>1</v>
      </c>
      <c r="AW76" s="53">
        <f t="shared" ref="AW76:AW110" si="551">ROUNDUP(AX76/3,0)</f>
        <v>0</v>
      </c>
      <c r="AX76" s="54">
        <f t="shared" ref="AX76:AX101" si="552">RANDBETWEEN(0,4)</f>
        <v>0</v>
      </c>
      <c r="AY76" s="53">
        <f t="shared" ref="AY76:AY110" si="553">ROUNDUP(AZ76/3,0)</f>
        <v>1</v>
      </c>
      <c r="AZ76" s="54">
        <f t="shared" ref="AZ76:AZ101" si="554">RANDBETWEEN(0,4)</f>
        <v>1</v>
      </c>
      <c r="BA76" s="53">
        <f t="shared" ref="BA76:BA110" si="555">ROUNDUP(BB76/3,0)</f>
        <v>1</v>
      </c>
      <c r="BB76" s="54">
        <f t="shared" ref="BB76:BB101" si="556">RANDBETWEEN(0,4)</f>
        <v>2</v>
      </c>
      <c r="BC76" s="49">
        <f t="shared" ref="BC76:BD76" si="508">SUM(AS76,AU76,AW76,AY76,BA76)</f>
        <v>3</v>
      </c>
      <c r="BD76" s="50">
        <f t="shared" si="508"/>
        <v>4</v>
      </c>
      <c r="BE76" s="68">
        <f t="shared" ref="BE76:BF76" si="509">SUM(E76,G76,I76,O76,Q76,AC76,AQ76,BC76)</f>
        <v>24</v>
      </c>
      <c r="BF76" s="69">
        <f t="shared" si="509"/>
        <v>45</v>
      </c>
      <c r="BG76" s="46" t="str">
        <f>BF76*'ОВгП_РАО'!$B$2</f>
        <v>#REF!</v>
      </c>
      <c r="BH76" s="46" t="str">
        <f>'ОВгП_РАО'!$B$2</f>
        <v>#REF!</v>
      </c>
    </row>
    <row r="77" ht="15.75" customHeight="1">
      <c r="A77" s="71">
        <f t="shared" ref="A77:A110" si="559">A76</f>
        <v>46263</v>
      </c>
      <c r="B77" s="45" t="s">
        <v>115</v>
      </c>
      <c r="C77" s="46" t="s">
        <v>96</v>
      </c>
      <c r="D77" s="47" t="s">
        <v>98</v>
      </c>
      <c r="E77" s="73">
        <f t="shared" si="510"/>
        <v>2</v>
      </c>
      <c r="F77" s="50">
        <f t="shared" si="511"/>
        <v>4</v>
      </c>
      <c r="G77" s="73">
        <f t="shared" si="512"/>
        <v>1</v>
      </c>
      <c r="H77" s="50">
        <f t="shared" si="513"/>
        <v>2</v>
      </c>
      <c r="I77" s="73">
        <f t="shared" si="514"/>
        <v>1</v>
      </c>
      <c r="J77" s="50">
        <f t="shared" si="515"/>
        <v>2</v>
      </c>
      <c r="K77" s="53">
        <f t="shared" si="516"/>
        <v>2</v>
      </c>
      <c r="L77" s="54">
        <f t="shared" si="517"/>
        <v>4</v>
      </c>
      <c r="M77" s="53">
        <f t="shared" si="518"/>
        <v>0</v>
      </c>
      <c r="N77" s="54">
        <f t="shared" si="519"/>
        <v>0</v>
      </c>
      <c r="O77" s="49">
        <f t="shared" ref="O77:P77" si="520">SUM(K77,M77)</f>
        <v>2</v>
      </c>
      <c r="P77" s="50">
        <f t="shared" si="520"/>
        <v>4</v>
      </c>
      <c r="Q77" s="73">
        <f t="shared" si="521"/>
        <v>2</v>
      </c>
      <c r="R77" s="50">
        <f t="shared" si="522"/>
        <v>4</v>
      </c>
      <c r="S77" s="53">
        <f t="shared" si="523"/>
        <v>1</v>
      </c>
      <c r="T77" s="54">
        <f t="shared" si="524"/>
        <v>2</v>
      </c>
      <c r="U77" s="53">
        <f t="shared" si="525"/>
        <v>1</v>
      </c>
      <c r="V77" s="54">
        <f t="shared" si="526"/>
        <v>1</v>
      </c>
      <c r="W77" s="53">
        <f t="shared" si="527"/>
        <v>1</v>
      </c>
      <c r="X77" s="54">
        <f t="shared" si="528"/>
        <v>2</v>
      </c>
      <c r="Y77" s="53">
        <f t="shared" si="529"/>
        <v>0</v>
      </c>
      <c r="Z77" s="54">
        <f t="shared" si="530"/>
        <v>0</v>
      </c>
      <c r="AA77" s="53">
        <f t="shared" si="531"/>
        <v>0</v>
      </c>
      <c r="AB77" s="54">
        <f t="shared" si="532"/>
        <v>0</v>
      </c>
      <c r="AC77" s="49">
        <f t="shared" ref="AC77:AD77" si="533">SUM(S77,U77,W77,Y77,AA77)</f>
        <v>3</v>
      </c>
      <c r="AD77" s="50">
        <f t="shared" si="533"/>
        <v>5</v>
      </c>
      <c r="AE77" s="53">
        <f t="shared" si="534"/>
        <v>1</v>
      </c>
      <c r="AF77" s="54">
        <f t="shared" si="535"/>
        <v>1</v>
      </c>
      <c r="AG77" s="53">
        <f t="shared" si="536"/>
        <v>1</v>
      </c>
      <c r="AH77" s="54">
        <f t="shared" si="537"/>
        <v>2</v>
      </c>
      <c r="AI77" s="53">
        <f t="shared" si="538"/>
        <v>1</v>
      </c>
      <c r="AJ77" s="54">
        <f t="shared" si="539"/>
        <v>2</v>
      </c>
      <c r="AK77" s="53">
        <f t="shared" si="540"/>
        <v>1</v>
      </c>
      <c r="AL77" s="54">
        <f t="shared" si="541"/>
        <v>2</v>
      </c>
      <c r="AM77" s="53">
        <f t="shared" si="542"/>
        <v>1</v>
      </c>
      <c r="AN77" s="54">
        <f t="shared" si="543"/>
        <v>1</v>
      </c>
      <c r="AO77" s="53">
        <f t="shared" si="544"/>
        <v>1</v>
      </c>
      <c r="AP77" s="54">
        <f t="shared" si="545"/>
        <v>2</v>
      </c>
      <c r="AQ77" s="49">
        <f t="shared" ref="AQ77:AR77" si="546">SUM(AG77,AI77,AK77,AM77,AO77)</f>
        <v>5</v>
      </c>
      <c r="AR77" s="50">
        <f t="shared" si="546"/>
        <v>9</v>
      </c>
      <c r="AS77" s="53">
        <f t="shared" si="547"/>
        <v>1</v>
      </c>
      <c r="AT77" s="54">
        <f t="shared" si="548"/>
        <v>3</v>
      </c>
      <c r="AU77" s="53">
        <f t="shared" si="549"/>
        <v>0</v>
      </c>
      <c r="AV77" s="54">
        <f t="shared" si="550"/>
        <v>0</v>
      </c>
      <c r="AW77" s="53">
        <f t="shared" si="551"/>
        <v>2</v>
      </c>
      <c r="AX77" s="54">
        <f t="shared" si="552"/>
        <v>4</v>
      </c>
      <c r="AY77" s="53">
        <f t="shared" si="553"/>
        <v>2</v>
      </c>
      <c r="AZ77" s="54">
        <f t="shared" si="554"/>
        <v>4</v>
      </c>
      <c r="BA77" s="53">
        <f t="shared" si="555"/>
        <v>1</v>
      </c>
      <c r="BB77" s="54">
        <f t="shared" si="556"/>
        <v>3</v>
      </c>
      <c r="BC77" s="49">
        <f t="shared" ref="BC77:BD77" si="557">SUM(AS77,AU77,AW77,AY77,BA77)</f>
        <v>6</v>
      </c>
      <c r="BD77" s="50">
        <f t="shared" si="557"/>
        <v>14</v>
      </c>
      <c r="BE77" s="68">
        <f t="shared" ref="BE77:BF77" si="558">SUM(E77,G77,I77,O77,Q77,AC77,AQ77,BC77)</f>
        <v>22</v>
      </c>
      <c r="BF77" s="69">
        <f t="shared" si="558"/>
        <v>44</v>
      </c>
      <c r="BG77" s="46" t="str">
        <f>BF77*'ОВгП_РАО'!$B$3</f>
        <v>#REF!</v>
      </c>
      <c r="BH77" s="46" t="str">
        <f>'ОВгП_РАО'!$B$3</f>
        <v>#REF!</v>
      </c>
    </row>
    <row r="78" ht="15.75" customHeight="1">
      <c r="A78" s="80">
        <f t="shared" si="559"/>
        <v>46263</v>
      </c>
      <c r="B78" s="45" t="s">
        <v>116</v>
      </c>
      <c r="C78" s="46" t="s">
        <v>96</v>
      </c>
      <c r="D78" s="47" t="s">
        <v>98</v>
      </c>
      <c r="E78" s="73">
        <f t="shared" si="510"/>
        <v>1</v>
      </c>
      <c r="F78" s="50">
        <f t="shared" si="511"/>
        <v>1</v>
      </c>
      <c r="G78" s="73">
        <f t="shared" si="512"/>
        <v>1</v>
      </c>
      <c r="H78" s="50">
        <f t="shared" si="513"/>
        <v>1</v>
      </c>
      <c r="I78" s="73">
        <f t="shared" si="514"/>
        <v>0</v>
      </c>
      <c r="J78" s="50">
        <f t="shared" si="515"/>
        <v>0</v>
      </c>
      <c r="K78" s="53">
        <f t="shared" si="516"/>
        <v>2</v>
      </c>
      <c r="L78" s="54">
        <f t="shared" si="517"/>
        <v>4</v>
      </c>
      <c r="M78" s="53">
        <f t="shared" si="518"/>
        <v>1</v>
      </c>
      <c r="N78" s="54">
        <f t="shared" si="519"/>
        <v>1</v>
      </c>
      <c r="O78" s="49">
        <f t="shared" ref="O78:P78" si="560">SUM(K78,M78)</f>
        <v>3</v>
      </c>
      <c r="P78" s="50">
        <f t="shared" si="560"/>
        <v>5</v>
      </c>
      <c r="Q78" s="73">
        <f t="shared" si="521"/>
        <v>1</v>
      </c>
      <c r="R78" s="50">
        <f t="shared" si="522"/>
        <v>2</v>
      </c>
      <c r="S78" s="53">
        <f t="shared" si="523"/>
        <v>2</v>
      </c>
      <c r="T78" s="54">
        <f t="shared" si="524"/>
        <v>4</v>
      </c>
      <c r="U78" s="53">
        <f t="shared" si="525"/>
        <v>1</v>
      </c>
      <c r="V78" s="54">
        <f t="shared" si="526"/>
        <v>3</v>
      </c>
      <c r="W78" s="53">
        <f t="shared" si="527"/>
        <v>2</v>
      </c>
      <c r="X78" s="54">
        <f t="shared" si="528"/>
        <v>4</v>
      </c>
      <c r="Y78" s="53">
        <f t="shared" si="529"/>
        <v>1</v>
      </c>
      <c r="Z78" s="54">
        <f t="shared" si="530"/>
        <v>2</v>
      </c>
      <c r="AA78" s="53">
        <f t="shared" si="531"/>
        <v>0</v>
      </c>
      <c r="AB78" s="54">
        <f t="shared" si="532"/>
        <v>0</v>
      </c>
      <c r="AC78" s="49">
        <f t="shared" ref="AC78:AD78" si="561">SUM(S78,U78,W78,Y78,AA78)</f>
        <v>6</v>
      </c>
      <c r="AD78" s="50">
        <f t="shared" si="561"/>
        <v>13</v>
      </c>
      <c r="AE78" s="53">
        <f t="shared" si="534"/>
        <v>1</v>
      </c>
      <c r="AF78" s="54">
        <f t="shared" si="535"/>
        <v>2</v>
      </c>
      <c r="AG78" s="53">
        <f t="shared" si="536"/>
        <v>2</v>
      </c>
      <c r="AH78" s="54">
        <f t="shared" si="537"/>
        <v>4</v>
      </c>
      <c r="AI78" s="53">
        <f t="shared" si="538"/>
        <v>1</v>
      </c>
      <c r="AJ78" s="54">
        <f t="shared" si="539"/>
        <v>3</v>
      </c>
      <c r="AK78" s="53">
        <f t="shared" si="540"/>
        <v>1</v>
      </c>
      <c r="AL78" s="54">
        <f t="shared" si="541"/>
        <v>2</v>
      </c>
      <c r="AM78" s="53">
        <f t="shared" si="542"/>
        <v>1</v>
      </c>
      <c r="AN78" s="54">
        <f t="shared" si="543"/>
        <v>2</v>
      </c>
      <c r="AO78" s="53">
        <f t="shared" si="544"/>
        <v>2</v>
      </c>
      <c r="AP78" s="54">
        <f t="shared" si="545"/>
        <v>4</v>
      </c>
      <c r="AQ78" s="49">
        <f t="shared" ref="AQ78:AR78" si="562">SUM(AG78,AI78,AK78,AM78,AO78)</f>
        <v>7</v>
      </c>
      <c r="AR78" s="50">
        <f t="shared" si="562"/>
        <v>15</v>
      </c>
      <c r="AS78" s="53">
        <f t="shared" si="547"/>
        <v>1</v>
      </c>
      <c r="AT78" s="54">
        <f t="shared" si="548"/>
        <v>1</v>
      </c>
      <c r="AU78" s="53">
        <f t="shared" si="549"/>
        <v>1</v>
      </c>
      <c r="AV78" s="54">
        <f t="shared" si="550"/>
        <v>2</v>
      </c>
      <c r="AW78" s="53">
        <f t="shared" si="551"/>
        <v>1</v>
      </c>
      <c r="AX78" s="54">
        <f t="shared" si="552"/>
        <v>1</v>
      </c>
      <c r="AY78" s="53">
        <f t="shared" si="553"/>
        <v>1</v>
      </c>
      <c r="AZ78" s="54">
        <f t="shared" si="554"/>
        <v>2</v>
      </c>
      <c r="BA78" s="53">
        <f t="shared" si="555"/>
        <v>1</v>
      </c>
      <c r="BB78" s="54">
        <f t="shared" si="556"/>
        <v>1</v>
      </c>
      <c r="BC78" s="49">
        <f t="shared" ref="BC78:BD78" si="563">SUM(AS78,AU78,AW78,AY78,BA78)</f>
        <v>5</v>
      </c>
      <c r="BD78" s="50">
        <f t="shared" si="563"/>
        <v>7</v>
      </c>
      <c r="BE78" s="68">
        <f t="shared" ref="BE78:BF78" si="564">SUM(E78,G78,I78,O78,Q78,AC78,AQ78,BC78)</f>
        <v>24</v>
      </c>
      <c r="BF78" s="69">
        <f t="shared" si="564"/>
        <v>44</v>
      </c>
      <c r="BG78" s="46" t="str">
        <f>BF78*'ОВгП_РАО'!$B$4</f>
        <v>#REF!</v>
      </c>
      <c r="BH78" s="46" t="str">
        <f>'ОВгП_РАО'!$B$4</f>
        <v>#REF!</v>
      </c>
    </row>
    <row r="79" ht="15.75" customHeight="1">
      <c r="A79" s="80">
        <f t="shared" si="559"/>
        <v>46263</v>
      </c>
      <c r="B79" s="45" t="s">
        <v>117</v>
      </c>
      <c r="C79" s="46" t="s">
        <v>96</v>
      </c>
      <c r="D79" s="47" t="s">
        <v>98</v>
      </c>
      <c r="E79" s="73">
        <f t="shared" si="510"/>
        <v>0</v>
      </c>
      <c r="F79" s="50">
        <f t="shared" si="511"/>
        <v>0</v>
      </c>
      <c r="G79" s="73">
        <f t="shared" si="512"/>
        <v>1</v>
      </c>
      <c r="H79" s="50">
        <f t="shared" si="513"/>
        <v>2</v>
      </c>
      <c r="I79" s="73">
        <f t="shared" si="514"/>
        <v>1</v>
      </c>
      <c r="J79" s="50">
        <f t="shared" si="515"/>
        <v>3</v>
      </c>
      <c r="K79" s="53">
        <f t="shared" si="516"/>
        <v>1</v>
      </c>
      <c r="L79" s="54">
        <f t="shared" si="517"/>
        <v>3</v>
      </c>
      <c r="M79" s="53">
        <f t="shared" si="518"/>
        <v>1</v>
      </c>
      <c r="N79" s="54">
        <f t="shared" si="519"/>
        <v>3</v>
      </c>
      <c r="O79" s="49">
        <f t="shared" ref="O79:P79" si="565">SUM(K79,M79)</f>
        <v>2</v>
      </c>
      <c r="P79" s="50">
        <f t="shared" si="565"/>
        <v>6</v>
      </c>
      <c r="Q79" s="73">
        <f t="shared" si="521"/>
        <v>1</v>
      </c>
      <c r="R79" s="50">
        <f t="shared" si="522"/>
        <v>2</v>
      </c>
      <c r="S79" s="53">
        <f t="shared" si="523"/>
        <v>2</v>
      </c>
      <c r="T79" s="54">
        <f t="shared" si="524"/>
        <v>4</v>
      </c>
      <c r="U79" s="53">
        <f t="shared" si="525"/>
        <v>0</v>
      </c>
      <c r="V79" s="54">
        <f t="shared" si="526"/>
        <v>0</v>
      </c>
      <c r="W79" s="53">
        <f t="shared" si="527"/>
        <v>0</v>
      </c>
      <c r="X79" s="54">
        <f t="shared" si="528"/>
        <v>0</v>
      </c>
      <c r="Y79" s="53">
        <f t="shared" si="529"/>
        <v>1</v>
      </c>
      <c r="Z79" s="54">
        <f t="shared" si="530"/>
        <v>2</v>
      </c>
      <c r="AA79" s="53">
        <f t="shared" si="531"/>
        <v>1</v>
      </c>
      <c r="AB79" s="54">
        <f t="shared" si="532"/>
        <v>1</v>
      </c>
      <c r="AC79" s="49">
        <f t="shared" ref="AC79:AD79" si="566">SUM(S79,U79,W79,Y79,AA79)</f>
        <v>4</v>
      </c>
      <c r="AD79" s="50">
        <f t="shared" si="566"/>
        <v>7</v>
      </c>
      <c r="AE79" s="53">
        <f t="shared" si="534"/>
        <v>2</v>
      </c>
      <c r="AF79" s="54">
        <f t="shared" si="535"/>
        <v>4</v>
      </c>
      <c r="AG79" s="53">
        <f t="shared" si="536"/>
        <v>1</v>
      </c>
      <c r="AH79" s="54">
        <f t="shared" si="537"/>
        <v>1</v>
      </c>
      <c r="AI79" s="53">
        <f t="shared" si="538"/>
        <v>1</v>
      </c>
      <c r="AJ79" s="54">
        <f t="shared" si="539"/>
        <v>2</v>
      </c>
      <c r="AK79" s="53">
        <f t="shared" si="540"/>
        <v>1</v>
      </c>
      <c r="AL79" s="54">
        <f t="shared" si="541"/>
        <v>3</v>
      </c>
      <c r="AM79" s="53">
        <f t="shared" si="542"/>
        <v>2</v>
      </c>
      <c r="AN79" s="54">
        <f t="shared" si="543"/>
        <v>4</v>
      </c>
      <c r="AO79" s="53">
        <f t="shared" si="544"/>
        <v>1</v>
      </c>
      <c r="AP79" s="54">
        <f t="shared" si="545"/>
        <v>1</v>
      </c>
      <c r="AQ79" s="49">
        <f t="shared" ref="AQ79:AR79" si="567">SUM(AG79,AI79,AK79,AM79,AO79)</f>
        <v>6</v>
      </c>
      <c r="AR79" s="50">
        <f t="shared" si="567"/>
        <v>11</v>
      </c>
      <c r="AS79" s="53">
        <f t="shared" si="547"/>
        <v>0</v>
      </c>
      <c r="AT79" s="54">
        <f t="shared" si="548"/>
        <v>0</v>
      </c>
      <c r="AU79" s="53">
        <f t="shared" si="549"/>
        <v>2</v>
      </c>
      <c r="AV79" s="54">
        <f t="shared" si="550"/>
        <v>4</v>
      </c>
      <c r="AW79" s="53">
        <f t="shared" si="551"/>
        <v>0</v>
      </c>
      <c r="AX79" s="54">
        <f t="shared" si="552"/>
        <v>0</v>
      </c>
      <c r="AY79" s="53">
        <f t="shared" si="553"/>
        <v>1</v>
      </c>
      <c r="AZ79" s="54">
        <f t="shared" si="554"/>
        <v>2</v>
      </c>
      <c r="BA79" s="53">
        <f t="shared" si="555"/>
        <v>2</v>
      </c>
      <c r="BB79" s="54">
        <f t="shared" si="556"/>
        <v>4</v>
      </c>
      <c r="BC79" s="49">
        <f t="shared" ref="BC79:BD79" si="568">SUM(AS79,AU79,AW79,AY79,BA79)</f>
        <v>5</v>
      </c>
      <c r="BD79" s="50">
        <f t="shared" si="568"/>
        <v>10</v>
      </c>
      <c r="BE79" s="68">
        <f t="shared" ref="BE79:BF79" si="569">SUM(E79,G79,I79,O79,Q79,AC79,AQ79,BC79)</f>
        <v>20</v>
      </c>
      <c r="BF79" s="69">
        <f t="shared" si="569"/>
        <v>41</v>
      </c>
      <c r="BG79" s="46" t="str">
        <f>BF79*'ОВгП_РАО'!$B$5</f>
        <v>#REF!</v>
      </c>
      <c r="BH79" s="46" t="str">
        <f>'ОВгП_РАО'!$B$5</f>
        <v>#REF!</v>
      </c>
    </row>
    <row r="80" ht="15.75" customHeight="1">
      <c r="A80" s="80">
        <f t="shared" si="559"/>
        <v>46263</v>
      </c>
      <c r="B80" s="45" t="s">
        <v>118</v>
      </c>
      <c r="C80" s="45" t="s">
        <v>96</v>
      </c>
      <c r="D80" s="47" t="s">
        <v>98</v>
      </c>
      <c r="E80" s="73">
        <f t="shared" si="510"/>
        <v>1</v>
      </c>
      <c r="F80" s="50">
        <f t="shared" si="511"/>
        <v>2</v>
      </c>
      <c r="G80" s="73">
        <f t="shared" si="512"/>
        <v>0</v>
      </c>
      <c r="H80" s="50">
        <f t="shared" si="513"/>
        <v>0</v>
      </c>
      <c r="I80" s="73">
        <f t="shared" si="514"/>
        <v>1</v>
      </c>
      <c r="J80" s="50">
        <f t="shared" si="515"/>
        <v>2</v>
      </c>
      <c r="K80" s="53">
        <f t="shared" si="516"/>
        <v>2</v>
      </c>
      <c r="L80" s="54">
        <f t="shared" si="517"/>
        <v>4</v>
      </c>
      <c r="M80" s="53">
        <f t="shared" si="518"/>
        <v>0</v>
      </c>
      <c r="N80" s="54">
        <f t="shared" si="519"/>
        <v>0</v>
      </c>
      <c r="O80" s="49">
        <f t="shared" ref="O80:P80" si="570">SUM(K80,M80)</f>
        <v>2</v>
      </c>
      <c r="P80" s="50">
        <f t="shared" si="570"/>
        <v>4</v>
      </c>
      <c r="Q80" s="73">
        <f t="shared" si="521"/>
        <v>2</v>
      </c>
      <c r="R80" s="50">
        <f t="shared" si="522"/>
        <v>4</v>
      </c>
      <c r="S80" s="53">
        <f t="shared" si="523"/>
        <v>1</v>
      </c>
      <c r="T80" s="54">
        <f t="shared" si="524"/>
        <v>1</v>
      </c>
      <c r="U80" s="53">
        <f t="shared" si="525"/>
        <v>2</v>
      </c>
      <c r="V80" s="54">
        <f t="shared" si="526"/>
        <v>4</v>
      </c>
      <c r="W80" s="53">
        <f t="shared" si="527"/>
        <v>1</v>
      </c>
      <c r="X80" s="54">
        <f t="shared" si="528"/>
        <v>2</v>
      </c>
      <c r="Y80" s="53">
        <f t="shared" si="529"/>
        <v>1</v>
      </c>
      <c r="Z80" s="54">
        <f t="shared" si="530"/>
        <v>1</v>
      </c>
      <c r="AA80" s="53">
        <f t="shared" si="531"/>
        <v>1</v>
      </c>
      <c r="AB80" s="54">
        <f t="shared" si="532"/>
        <v>1</v>
      </c>
      <c r="AC80" s="49">
        <f t="shared" ref="AC80:AD80" si="571">SUM(S80,U80,W80,Y80,AA80)</f>
        <v>6</v>
      </c>
      <c r="AD80" s="50">
        <f t="shared" si="571"/>
        <v>9</v>
      </c>
      <c r="AE80" s="53">
        <f t="shared" si="534"/>
        <v>2</v>
      </c>
      <c r="AF80" s="54">
        <f t="shared" si="535"/>
        <v>4</v>
      </c>
      <c r="AG80" s="53">
        <f t="shared" si="536"/>
        <v>1</v>
      </c>
      <c r="AH80" s="54">
        <f t="shared" si="537"/>
        <v>1</v>
      </c>
      <c r="AI80" s="53">
        <f t="shared" si="538"/>
        <v>1</v>
      </c>
      <c r="AJ80" s="54">
        <f t="shared" si="539"/>
        <v>1</v>
      </c>
      <c r="AK80" s="53">
        <f t="shared" si="540"/>
        <v>0</v>
      </c>
      <c r="AL80" s="54">
        <f t="shared" si="541"/>
        <v>0</v>
      </c>
      <c r="AM80" s="53">
        <f t="shared" si="542"/>
        <v>1</v>
      </c>
      <c r="AN80" s="54">
        <f t="shared" si="543"/>
        <v>2</v>
      </c>
      <c r="AO80" s="53">
        <f t="shared" si="544"/>
        <v>1</v>
      </c>
      <c r="AP80" s="54">
        <f t="shared" si="545"/>
        <v>2</v>
      </c>
      <c r="AQ80" s="49">
        <f t="shared" ref="AQ80:AR80" si="572">SUM(AG80,AI80,AK80,AM80,AO80)</f>
        <v>4</v>
      </c>
      <c r="AR80" s="50">
        <f t="shared" si="572"/>
        <v>6</v>
      </c>
      <c r="AS80" s="53">
        <f t="shared" si="547"/>
        <v>1</v>
      </c>
      <c r="AT80" s="54">
        <f t="shared" si="548"/>
        <v>1</v>
      </c>
      <c r="AU80" s="53">
        <f t="shared" si="549"/>
        <v>2</v>
      </c>
      <c r="AV80" s="54">
        <f t="shared" si="550"/>
        <v>4</v>
      </c>
      <c r="AW80" s="53">
        <f t="shared" si="551"/>
        <v>2</v>
      </c>
      <c r="AX80" s="54">
        <f t="shared" si="552"/>
        <v>4</v>
      </c>
      <c r="AY80" s="53">
        <f t="shared" si="553"/>
        <v>2</v>
      </c>
      <c r="AZ80" s="54">
        <f t="shared" si="554"/>
        <v>4</v>
      </c>
      <c r="BA80" s="53">
        <f t="shared" si="555"/>
        <v>2</v>
      </c>
      <c r="BB80" s="54">
        <f t="shared" si="556"/>
        <v>4</v>
      </c>
      <c r="BC80" s="49">
        <f t="shared" ref="BC80:BD80" si="573">SUM(AS80,AU80,AW80,AY80,BA80)</f>
        <v>9</v>
      </c>
      <c r="BD80" s="50">
        <f t="shared" si="573"/>
        <v>17</v>
      </c>
      <c r="BE80" s="68">
        <f t="shared" ref="BE80:BF80" si="574">SUM(E80,G80,I80,O80,Q80,AC80,AQ80,BC80)</f>
        <v>25</v>
      </c>
      <c r="BF80" s="69">
        <f t="shared" si="574"/>
        <v>44</v>
      </c>
      <c r="BG80" s="46" t="str">
        <f>BF80*'ОВгП_РАО'!$B$6</f>
        <v>#REF!</v>
      </c>
      <c r="BH80" s="46" t="str">
        <f>'ОВгП_РАО'!$B$6</f>
        <v>#REF!</v>
      </c>
    </row>
    <row r="81" ht="15.75" customHeight="1">
      <c r="A81" s="80">
        <f t="shared" si="559"/>
        <v>46263</v>
      </c>
      <c r="B81" s="46" t="s">
        <v>119</v>
      </c>
      <c r="C81" s="45" t="s">
        <v>96</v>
      </c>
      <c r="D81" s="47" t="s">
        <v>120</v>
      </c>
      <c r="E81" s="73">
        <f t="shared" si="510"/>
        <v>1</v>
      </c>
      <c r="F81" s="50">
        <f t="shared" si="511"/>
        <v>3</v>
      </c>
      <c r="G81" s="73">
        <f t="shared" si="512"/>
        <v>1</v>
      </c>
      <c r="H81" s="50">
        <f t="shared" si="513"/>
        <v>1</v>
      </c>
      <c r="I81" s="73">
        <f t="shared" si="514"/>
        <v>1</v>
      </c>
      <c r="J81" s="50">
        <f t="shared" si="515"/>
        <v>2</v>
      </c>
      <c r="K81" s="53">
        <f t="shared" si="516"/>
        <v>1</v>
      </c>
      <c r="L81" s="54">
        <f t="shared" si="517"/>
        <v>2</v>
      </c>
      <c r="M81" s="53">
        <f t="shared" si="518"/>
        <v>1</v>
      </c>
      <c r="N81" s="54">
        <f t="shared" si="519"/>
        <v>1</v>
      </c>
      <c r="O81" s="49">
        <f t="shared" ref="O81:P81" si="575">SUM(K81,M81)</f>
        <v>2</v>
      </c>
      <c r="P81" s="50">
        <f t="shared" si="575"/>
        <v>3</v>
      </c>
      <c r="Q81" s="73">
        <f t="shared" si="521"/>
        <v>1</v>
      </c>
      <c r="R81" s="50">
        <f t="shared" si="522"/>
        <v>2</v>
      </c>
      <c r="S81" s="53">
        <f t="shared" si="523"/>
        <v>0</v>
      </c>
      <c r="T81" s="54">
        <f t="shared" si="524"/>
        <v>0</v>
      </c>
      <c r="U81" s="53">
        <f t="shared" si="525"/>
        <v>0</v>
      </c>
      <c r="V81" s="54">
        <f t="shared" si="526"/>
        <v>0</v>
      </c>
      <c r="W81" s="53">
        <f t="shared" si="527"/>
        <v>2</v>
      </c>
      <c r="X81" s="54">
        <f t="shared" si="528"/>
        <v>4</v>
      </c>
      <c r="Y81" s="53">
        <f t="shared" si="529"/>
        <v>1</v>
      </c>
      <c r="Z81" s="54">
        <f t="shared" si="530"/>
        <v>2</v>
      </c>
      <c r="AA81" s="53">
        <f t="shared" si="531"/>
        <v>1</v>
      </c>
      <c r="AB81" s="54">
        <f t="shared" si="532"/>
        <v>3</v>
      </c>
      <c r="AC81" s="49">
        <f t="shared" ref="AC81:AD81" si="576">SUM(S81,U81,W81,Y81,AA81)</f>
        <v>4</v>
      </c>
      <c r="AD81" s="50">
        <f t="shared" si="576"/>
        <v>9</v>
      </c>
      <c r="AE81" s="53">
        <f t="shared" si="534"/>
        <v>2</v>
      </c>
      <c r="AF81" s="54">
        <f t="shared" si="535"/>
        <v>4</v>
      </c>
      <c r="AG81" s="53">
        <f t="shared" si="536"/>
        <v>1</v>
      </c>
      <c r="AH81" s="54">
        <f t="shared" si="537"/>
        <v>2</v>
      </c>
      <c r="AI81" s="53">
        <f t="shared" si="538"/>
        <v>0</v>
      </c>
      <c r="AJ81" s="54">
        <f t="shared" si="539"/>
        <v>0</v>
      </c>
      <c r="AK81" s="53">
        <f t="shared" si="540"/>
        <v>1</v>
      </c>
      <c r="AL81" s="54">
        <f t="shared" si="541"/>
        <v>1</v>
      </c>
      <c r="AM81" s="53">
        <f t="shared" si="542"/>
        <v>1</v>
      </c>
      <c r="AN81" s="54">
        <f t="shared" si="543"/>
        <v>1</v>
      </c>
      <c r="AO81" s="53">
        <f t="shared" si="544"/>
        <v>0</v>
      </c>
      <c r="AP81" s="54">
        <f t="shared" si="545"/>
        <v>0</v>
      </c>
      <c r="AQ81" s="49">
        <f t="shared" ref="AQ81:AR81" si="577">SUM(AG81,AI81,AK81,AM81,AO81)</f>
        <v>3</v>
      </c>
      <c r="AR81" s="50">
        <f t="shared" si="577"/>
        <v>4</v>
      </c>
      <c r="AS81" s="53">
        <f t="shared" si="547"/>
        <v>1</v>
      </c>
      <c r="AT81" s="54">
        <f t="shared" si="548"/>
        <v>1</v>
      </c>
      <c r="AU81" s="53">
        <f t="shared" si="549"/>
        <v>0</v>
      </c>
      <c r="AV81" s="54">
        <f t="shared" si="550"/>
        <v>0</v>
      </c>
      <c r="AW81" s="53">
        <f t="shared" si="551"/>
        <v>0</v>
      </c>
      <c r="AX81" s="54">
        <f t="shared" si="552"/>
        <v>0</v>
      </c>
      <c r="AY81" s="53">
        <f t="shared" si="553"/>
        <v>1</v>
      </c>
      <c r="AZ81" s="54">
        <f t="shared" si="554"/>
        <v>2</v>
      </c>
      <c r="BA81" s="53">
        <f t="shared" si="555"/>
        <v>1</v>
      </c>
      <c r="BB81" s="54">
        <f t="shared" si="556"/>
        <v>3</v>
      </c>
      <c r="BC81" s="49">
        <f t="shared" ref="BC81:BD81" si="578">SUM(AS81,AU81,AW81,AY81,BA81)</f>
        <v>3</v>
      </c>
      <c r="BD81" s="50">
        <f t="shared" si="578"/>
        <v>6</v>
      </c>
      <c r="BE81" s="68">
        <f t="shared" ref="BE81:BF81" si="579">SUM(E81,G81,I81,O81,Q81,AC81,AQ81,BC81)</f>
        <v>16</v>
      </c>
      <c r="BF81" s="69">
        <f t="shared" si="579"/>
        <v>30</v>
      </c>
      <c r="BG81" s="46" t="str">
        <f>BF81*'ОВгП_РАО'!$B$7</f>
        <v>#REF!</v>
      </c>
      <c r="BH81" s="46" t="str">
        <f>'ОВгП_РАО'!$B$7</f>
        <v>#REF!</v>
      </c>
    </row>
    <row r="82" ht="15.75" customHeight="1">
      <c r="A82" s="80">
        <f t="shared" si="559"/>
        <v>46263</v>
      </c>
      <c r="B82" s="45" t="s">
        <v>121</v>
      </c>
      <c r="C82" s="47" t="s">
        <v>122</v>
      </c>
      <c r="D82" s="47" t="s">
        <v>123</v>
      </c>
      <c r="E82" s="73">
        <f t="shared" si="510"/>
        <v>1</v>
      </c>
      <c r="F82" s="50">
        <f t="shared" si="511"/>
        <v>3</v>
      </c>
      <c r="G82" s="73">
        <f t="shared" si="512"/>
        <v>1</v>
      </c>
      <c r="H82" s="50">
        <f t="shared" si="513"/>
        <v>2</v>
      </c>
      <c r="I82" s="73">
        <f t="shared" si="514"/>
        <v>0</v>
      </c>
      <c r="J82" s="50">
        <f t="shared" si="515"/>
        <v>0</v>
      </c>
      <c r="K82" s="53">
        <f t="shared" si="516"/>
        <v>2</v>
      </c>
      <c r="L82" s="54">
        <f t="shared" si="517"/>
        <v>4</v>
      </c>
      <c r="M82" s="53">
        <f t="shared" si="518"/>
        <v>1</v>
      </c>
      <c r="N82" s="54">
        <f t="shared" si="519"/>
        <v>3</v>
      </c>
      <c r="O82" s="49">
        <f t="shared" ref="O82:P82" si="580">SUM(K82,M82)</f>
        <v>3</v>
      </c>
      <c r="P82" s="50">
        <f t="shared" si="580"/>
        <v>7</v>
      </c>
      <c r="Q82" s="73">
        <f t="shared" si="521"/>
        <v>2</v>
      </c>
      <c r="R82" s="50">
        <f t="shared" si="522"/>
        <v>4</v>
      </c>
      <c r="S82" s="53">
        <f t="shared" si="523"/>
        <v>1</v>
      </c>
      <c r="T82" s="54">
        <f t="shared" si="524"/>
        <v>2</v>
      </c>
      <c r="U82" s="53">
        <f t="shared" si="525"/>
        <v>1</v>
      </c>
      <c r="V82" s="54">
        <f t="shared" si="526"/>
        <v>2</v>
      </c>
      <c r="W82" s="53">
        <f t="shared" si="527"/>
        <v>1</v>
      </c>
      <c r="X82" s="54">
        <f t="shared" si="528"/>
        <v>3</v>
      </c>
      <c r="Y82" s="53">
        <f t="shared" si="529"/>
        <v>2</v>
      </c>
      <c r="Z82" s="54">
        <f t="shared" si="530"/>
        <v>4</v>
      </c>
      <c r="AA82" s="53">
        <f t="shared" si="531"/>
        <v>2</v>
      </c>
      <c r="AB82" s="54">
        <f t="shared" si="532"/>
        <v>4</v>
      </c>
      <c r="AC82" s="49">
        <f t="shared" ref="AC82:AD82" si="581">SUM(S82,U82,W82,Y82,AA82)</f>
        <v>7</v>
      </c>
      <c r="AD82" s="50">
        <f t="shared" si="581"/>
        <v>15</v>
      </c>
      <c r="AE82" s="53">
        <f t="shared" si="534"/>
        <v>0</v>
      </c>
      <c r="AF82" s="54">
        <f t="shared" si="535"/>
        <v>0</v>
      </c>
      <c r="AG82" s="53">
        <f t="shared" si="536"/>
        <v>1</v>
      </c>
      <c r="AH82" s="54">
        <f t="shared" si="537"/>
        <v>1</v>
      </c>
      <c r="AI82" s="53">
        <f t="shared" si="538"/>
        <v>2</v>
      </c>
      <c r="AJ82" s="54">
        <f t="shared" si="539"/>
        <v>4</v>
      </c>
      <c r="AK82" s="53">
        <f t="shared" si="540"/>
        <v>2</v>
      </c>
      <c r="AL82" s="54">
        <f t="shared" si="541"/>
        <v>4</v>
      </c>
      <c r="AM82" s="53">
        <f t="shared" si="542"/>
        <v>1</v>
      </c>
      <c r="AN82" s="54">
        <f t="shared" si="543"/>
        <v>2</v>
      </c>
      <c r="AO82" s="53">
        <f t="shared" si="544"/>
        <v>1</v>
      </c>
      <c r="AP82" s="54">
        <f t="shared" si="545"/>
        <v>1</v>
      </c>
      <c r="AQ82" s="49">
        <f t="shared" ref="AQ82:AR82" si="582">SUM(AG82,AI82,AK82,AM82,AO82)</f>
        <v>7</v>
      </c>
      <c r="AR82" s="50">
        <f t="shared" si="582"/>
        <v>12</v>
      </c>
      <c r="AS82" s="53">
        <f t="shared" si="547"/>
        <v>2</v>
      </c>
      <c r="AT82" s="54">
        <f t="shared" si="548"/>
        <v>4</v>
      </c>
      <c r="AU82" s="53">
        <f t="shared" si="549"/>
        <v>1</v>
      </c>
      <c r="AV82" s="54">
        <f t="shared" si="550"/>
        <v>1</v>
      </c>
      <c r="AW82" s="53">
        <f t="shared" si="551"/>
        <v>2</v>
      </c>
      <c r="AX82" s="54">
        <f t="shared" si="552"/>
        <v>4</v>
      </c>
      <c r="AY82" s="53">
        <f t="shared" si="553"/>
        <v>1</v>
      </c>
      <c r="AZ82" s="54">
        <f t="shared" si="554"/>
        <v>2</v>
      </c>
      <c r="BA82" s="53">
        <f t="shared" si="555"/>
        <v>1</v>
      </c>
      <c r="BB82" s="54">
        <f t="shared" si="556"/>
        <v>2</v>
      </c>
      <c r="BC82" s="49">
        <f t="shared" ref="BC82:BD82" si="583">SUM(AS82,AU82,AW82,AY82,BA82)</f>
        <v>7</v>
      </c>
      <c r="BD82" s="50">
        <f t="shared" si="583"/>
        <v>13</v>
      </c>
      <c r="BE82" s="68">
        <f t="shared" ref="BE82:BF82" si="584">SUM(E82,G82,I82,O82,Q82,AC82,AQ82,BC82)</f>
        <v>28</v>
      </c>
      <c r="BF82" s="69">
        <f t="shared" si="584"/>
        <v>56</v>
      </c>
      <c r="BG82" s="46" t="str">
        <f>BF82*'ОВгП_РАО'!$B$8</f>
        <v>#REF!</v>
      </c>
      <c r="BH82" s="46" t="str">
        <f>'ОВгП_РАО'!$B$8</f>
        <v>#REF!</v>
      </c>
    </row>
    <row r="83" ht="15.75" customHeight="1">
      <c r="A83" s="80">
        <f t="shared" si="559"/>
        <v>46263</v>
      </c>
      <c r="B83" s="46" t="s">
        <v>124</v>
      </c>
      <c r="C83" s="46" t="s">
        <v>125</v>
      </c>
      <c r="D83" s="46" t="s">
        <v>126</v>
      </c>
      <c r="E83" s="73">
        <f t="shared" si="510"/>
        <v>0</v>
      </c>
      <c r="F83" s="50">
        <f t="shared" si="511"/>
        <v>0</v>
      </c>
      <c r="G83" s="73">
        <f t="shared" si="512"/>
        <v>0</v>
      </c>
      <c r="H83" s="50">
        <f t="shared" si="513"/>
        <v>0</v>
      </c>
      <c r="I83" s="73">
        <f t="shared" si="514"/>
        <v>1</v>
      </c>
      <c r="J83" s="50">
        <f t="shared" si="515"/>
        <v>2</v>
      </c>
      <c r="K83" s="53">
        <f t="shared" si="516"/>
        <v>2</v>
      </c>
      <c r="L83" s="54">
        <f t="shared" si="517"/>
        <v>4</v>
      </c>
      <c r="M83" s="53">
        <f t="shared" si="518"/>
        <v>1</v>
      </c>
      <c r="N83" s="54">
        <f t="shared" si="519"/>
        <v>2</v>
      </c>
      <c r="O83" s="49">
        <f t="shared" ref="O83:P83" si="585">SUM(K83,M83)</f>
        <v>3</v>
      </c>
      <c r="P83" s="50">
        <f t="shared" si="585"/>
        <v>6</v>
      </c>
      <c r="Q83" s="73">
        <f t="shared" si="521"/>
        <v>2</v>
      </c>
      <c r="R83" s="50">
        <f t="shared" si="522"/>
        <v>4</v>
      </c>
      <c r="S83" s="53">
        <f t="shared" si="523"/>
        <v>1</v>
      </c>
      <c r="T83" s="54">
        <f t="shared" si="524"/>
        <v>3</v>
      </c>
      <c r="U83" s="53">
        <f t="shared" si="525"/>
        <v>2</v>
      </c>
      <c r="V83" s="54">
        <f t="shared" si="526"/>
        <v>4</v>
      </c>
      <c r="W83" s="53">
        <f t="shared" si="527"/>
        <v>2</v>
      </c>
      <c r="X83" s="54">
        <f t="shared" si="528"/>
        <v>4</v>
      </c>
      <c r="Y83" s="53">
        <f t="shared" si="529"/>
        <v>0</v>
      </c>
      <c r="Z83" s="54">
        <f t="shared" si="530"/>
        <v>0</v>
      </c>
      <c r="AA83" s="53">
        <f t="shared" si="531"/>
        <v>2</v>
      </c>
      <c r="AB83" s="54">
        <f t="shared" si="532"/>
        <v>4</v>
      </c>
      <c r="AC83" s="49">
        <f t="shared" ref="AC83:AD83" si="586">SUM(S83,U83,W83,Y83,AA83)</f>
        <v>7</v>
      </c>
      <c r="AD83" s="50">
        <f t="shared" si="586"/>
        <v>15</v>
      </c>
      <c r="AE83" s="53">
        <f t="shared" si="534"/>
        <v>1</v>
      </c>
      <c r="AF83" s="54">
        <f t="shared" si="535"/>
        <v>1</v>
      </c>
      <c r="AG83" s="53">
        <f t="shared" si="536"/>
        <v>1</v>
      </c>
      <c r="AH83" s="54">
        <f t="shared" si="537"/>
        <v>1</v>
      </c>
      <c r="AI83" s="53">
        <f t="shared" si="538"/>
        <v>1</v>
      </c>
      <c r="AJ83" s="54">
        <f t="shared" si="539"/>
        <v>2</v>
      </c>
      <c r="AK83" s="53">
        <f t="shared" si="540"/>
        <v>2</v>
      </c>
      <c r="AL83" s="54">
        <f t="shared" si="541"/>
        <v>4</v>
      </c>
      <c r="AM83" s="53">
        <f t="shared" si="542"/>
        <v>2</v>
      </c>
      <c r="AN83" s="54">
        <f t="shared" si="543"/>
        <v>4</v>
      </c>
      <c r="AO83" s="53">
        <f t="shared" si="544"/>
        <v>2</v>
      </c>
      <c r="AP83" s="54">
        <f t="shared" si="545"/>
        <v>4</v>
      </c>
      <c r="AQ83" s="49">
        <f t="shared" ref="AQ83:AR83" si="587">SUM(AG83,AI83,AK83,AM83,AO83)</f>
        <v>8</v>
      </c>
      <c r="AR83" s="50">
        <f t="shared" si="587"/>
        <v>15</v>
      </c>
      <c r="AS83" s="53">
        <f t="shared" si="547"/>
        <v>1</v>
      </c>
      <c r="AT83" s="54">
        <f t="shared" si="548"/>
        <v>1</v>
      </c>
      <c r="AU83" s="53">
        <f t="shared" si="549"/>
        <v>2</v>
      </c>
      <c r="AV83" s="54">
        <f t="shared" si="550"/>
        <v>4</v>
      </c>
      <c r="AW83" s="53">
        <f t="shared" si="551"/>
        <v>1</v>
      </c>
      <c r="AX83" s="54">
        <f t="shared" si="552"/>
        <v>3</v>
      </c>
      <c r="AY83" s="53">
        <f t="shared" si="553"/>
        <v>1</v>
      </c>
      <c r="AZ83" s="54">
        <f t="shared" si="554"/>
        <v>3</v>
      </c>
      <c r="BA83" s="53">
        <f t="shared" si="555"/>
        <v>2</v>
      </c>
      <c r="BB83" s="54">
        <f t="shared" si="556"/>
        <v>4</v>
      </c>
      <c r="BC83" s="49">
        <f t="shared" ref="BC83:BD83" si="588">SUM(AS83,AU83,AW83,AY83,BA83)</f>
        <v>7</v>
      </c>
      <c r="BD83" s="50">
        <f t="shared" si="588"/>
        <v>15</v>
      </c>
      <c r="BE83" s="68">
        <f t="shared" ref="BE83:BF83" si="589">SUM(E83,G83,I83,O83,Q83,AC83,AQ83,BC83)</f>
        <v>28</v>
      </c>
      <c r="BF83" s="69">
        <f t="shared" si="589"/>
        <v>57</v>
      </c>
      <c r="BG83" s="46" t="str">
        <f>BF83*'ОВгП_РАО'!$B$9</f>
        <v>#REF!</v>
      </c>
      <c r="BH83" s="46" t="str">
        <f>'ОВгП_РАО'!$B$9</f>
        <v>#REF!</v>
      </c>
    </row>
    <row r="84" ht="15.75" customHeight="1">
      <c r="A84" s="80">
        <f t="shared" si="559"/>
        <v>46263</v>
      </c>
      <c r="B84" s="46" t="s">
        <v>127</v>
      </c>
      <c r="C84" s="46" t="s">
        <v>125</v>
      </c>
      <c r="D84" s="46" t="s">
        <v>126</v>
      </c>
      <c r="E84" s="73">
        <f t="shared" si="510"/>
        <v>1</v>
      </c>
      <c r="F84" s="50">
        <f t="shared" si="511"/>
        <v>1</v>
      </c>
      <c r="G84" s="73">
        <f t="shared" si="512"/>
        <v>1</v>
      </c>
      <c r="H84" s="50">
        <f t="shared" si="513"/>
        <v>1</v>
      </c>
      <c r="I84" s="73">
        <f t="shared" si="514"/>
        <v>1</v>
      </c>
      <c r="J84" s="50">
        <f t="shared" si="515"/>
        <v>1</v>
      </c>
      <c r="K84" s="53">
        <f t="shared" si="516"/>
        <v>0</v>
      </c>
      <c r="L84" s="54">
        <f t="shared" si="517"/>
        <v>0</v>
      </c>
      <c r="M84" s="53">
        <f t="shared" si="518"/>
        <v>2</v>
      </c>
      <c r="N84" s="54">
        <f t="shared" si="519"/>
        <v>4</v>
      </c>
      <c r="O84" s="49">
        <f t="shared" ref="O84:P84" si="590">SUM(K84,M84)</f>
        <v>2</v>
      </c>
      <c r="P84" s="50">
        <f t="shared" si="590"/>
        <v>4</v>
      </c>
      <c r="Q84" s="73">
        <f t="shared" si="521"/>
        <v>1</v>
      </c>
      <c r="R84" s="50">
        <f t="shared" si="522"/>
        <v>3</v>
      </c>
      <c r="S84" s="53">
        <f t="shared" si="523"/>
        <v>1</v>
      </c>
      <c r="T84" s="54">
        <f t="shared" si="524"/>
        <v>1</v>
      </c>
      <c r="U84" s="53">
        <f t="shared" si="525"/>
        <v>1</v>
      </c>
      <c r="V84" s="54">
        <f t="shared" si="526"/>
        <v>2</v>
      </c>
      <c r="W84" s="53">
        <f t="shared" si="527"/>
        <v>1</v>
      </c>
      <c r="X84" s="54">
        <f t="shared" si="528"/>
        <v>2</v>
      </c>
      <c r="Y84" s="53">
        <f t="shared" si="529"/>
        <v>1</v>
      </c>
      <c r="Z84" s="54">
        <f t="shared" si="530"/>
        <v>3</v>
      </c>
      <c r="AA84" s="53">
        <f t="shared" si="531"/>
        <v>2</v>
      </c>
      <c r="AB84" s="54">
        <f t="shared" si="532"/>
        <v>4</v>
      </c>
      <c r="AC84" s="49">
        <f t="shared" ref="AC84:AD84" si="591">SUM(S84,U84,W84,Y84,AA84)</f>
        <v>6</v>
      </c>
      <c r="AD84" s="50">
        <f t="shared" si="591"/>
        <v>12</v>
      </c>
      <c r="AE84" s="53">
        <f t="shared" si="534"/>
        <v>1</v>
      </c>
      <c r="AF84" s="54">
        <f t="shared" si="535"/>
        <v>1</v>
      </c>
      <c r="AG84" s="53">
        <f t="shared" si="536"/>
        <v>1</v>
      </c>
      <c r="AH84" s="54">
        <f t="shared" si="537"/>
        <v>2</v>
      </c>
      <c r="AI84" s="53">
        <f t="shared" si="538"/>
        <v>1</v>
      </c>
      <c r="AJ84" s="54">
        <f t="shared" si="539"/>
        <v>3</v>
      </c>
      <c r="AK84" s="53">
        <f t="shared" si="540"/>
        <v>1</v>
      </c>
      <c r="AL84" s="54">
        <f t="shared" si="541"/>
        <v>1</v>
      </c>
      <c r="AM84" s="53">
        <f t="shared" si="542"/>
        <v>1</v>
      </c>
      <c r="AN84" s="54">
        <f t="shared" si="543"/>
        <v>3</v>
      </c>
      <c r="AO84" s="53">
        <f t="shared" si="544"/>
        <v>1</v>
      </c>
      <c r="AP84" s="54">
        <f t="shared" si="545"/>
        <v>3</v>
      </c>
      <c r="AQ84" s="49">
        <f t="shared" ref="AQ84:AR84" si="592">SUM(AG84,AI84,AK84,AM84,AO84)</f>
        <v>5</v>
      </c>
      <c r="AR84" s="50">
        <f t="shared" si="592"/>
        <v>12</v>
      </c>
      <c r="AS84" s="53">
        <f t="shared" si="547"/>
        <v>2</v>
      </c>
      <c r="AT84" s="54">
        <f t="shared" si="548"/>
        <v>4</v>
      </c>
      <c r="AU84" s="53">
        <f t="shared" si="549"/>
        <v>0</v>
      </c>
      <c r="AV84" s="54">
        <f t="shared" si="550"/>
        <v>0</v>
      </c>
      <c r="AW84" s="53">
        <f t="shared" si="551"/>
        <v>1</v>
      </c>
      <c r="AX84" s="54">
        <f t="shared" si="552"/>
        <v>2</v>
      </c>
      <c r="AY84" s="53">
        <f t="shared" si="553"/>
        <v>1</v>
      </c>
      <c r="AZ84" s="54">
        <f t="shared" si="554"/>
        <v>2</v>
      </c>
      <c r="BA84" s="53">
        <f t="shared" si="555"/>
        <v>1</v>
      </c>
      <c r="BB84" s="54">
        <f t="shared" si="556"/>
        <v>3</v>
      </c>
      <c r="BC84" s="49">
        <f t="shared" ref="BC84:BD84" si="593">SUM(AS84,AU84,AW84,AY84,BA84)</f>
        <v>5</v>
      </c>
      <c r="BD84" s="50">
        <f t="shared" si="593"/>
        <v>11</v>
      </c>
      <c r="BE84" s="68">
        <f t="shared" ref="BE84:BF84" si="594">SUM(E84,G84,I84,O84,Q84,AC84,AQ84,BC84)</f>
        <v>22</v>
      </c>
      <c r="BF84" s="69">
        <f t="shared" si="594"/>
        <v>45</v>
      </c>
      <c r="BG84" s="46" t="str">
        <f>BF84*'ОВгП_РАО'!$B$10</f>
        <v>#REF!</v>
      </c>
      <c r="BH84" s="46" t="str">
        <f>'ОВгП_РАО'!$B$10</f>
        <v>#REF!</v>
      </c>
    </row>
    <row r="85" ht="15.75" customHeight="1">
      <c r="A85" s="80">
        <f t="shared" si="559"/>
        <v>46263</v>
      </c>
      <c r="B85" s="46" t="s">
        <v>128</v>
      </c>
      <c r="C85" s="46" t="s">
        <v>125</v>
      </c>
      <c r="D85" s="46" t="s">
        <v>126</v>
      </c>
      <c r="E85" s="73">
        <f t="shared" si="510"/>
        <v>1</v>
      </c>
      <c r="F85" s="50">
        <f t="shared" si="511"/>
        <v>2</v>
      </c>
      <c r="G85" s="73">
        <f t="shared" si="512"/>
        <v>1</v>
      </c>
      <c r="H85" s="50">
        <f t="shared" si="513"/>
        <v>1</v>
      </c>
      <c r="I85" s="73">
        <f t="shared" si="514"/>
        <v>1</v>
      </c>
      <c r="J85" s="50">
        <f t="shared" si="515"/>
        <v>1</v>
      </c>
      <c r="K85" s="53">
        <f t="shared" si="516"/>
        <v>1</v>
      </c>
      <c r="L85" s="54">
        <f t="shared" si="517"/>
        <v>1</v>
      </c>
      <c r="M85" s="53">
        <f t="shared" si="518"/>
        <v>1</v>
      </c>
      <c r="N85" s="54">
        <f t="shared" si="519"/>
        <v>2</v>
      </c>
      <c r="O85" s="49">
        <f t="shared" ref="O85:P85" si="595">SUM(K85,M85)</f>
        <v>2</v>
      </c>
      <c r="P85" s="50">
        <f t="shared" si="595"/>
        <v>3</v>
      </c>
      <c r="Q85" s="73">
        <f t="shared" si="521"/>
        <v>1</v>
      </c>
      <c r="R85" s="50">
        <f t="shared" si="522"/>
        <v>3</v>
      </c>
      <c r="S85" s="53">
        <f t="shared" si="523"/>
        <v>1</v>
      </c>
      <c r="T85" s="54">
        <f t="shared" si="524"/>
        <v>3</v>
      </c>
      <c r="U85" s="53">
        <f t="shared" si="525"/>
        <v>1</v>
      </c>
      <c r="V85" s="54">
        <f t="shared" si="526"/>
        <v>1</v>
      </c>
      <c r="W85" s="53">
        <f t="shared" si="527"/>
        <v>1</v>
      </c>
      <c r="X85" s="54">
        <f t="shared" si="528"/>
        <v>1</v>
      </c>
      <c r="Y85" s="53">
        <f t="shared" si="529"/>
        <v>0</v>
      </c>
      <c r="Z85" s="54">
        <f t="shared" si="530"/>
        <v>0</v>
      </c>
      <c r="AA85" s="53">
        <f t="shared" si="531"/>
        <v>2</v>
      </c>
      <c r="AB85" s="54">
        <f t="shared" si="532"/>
        <v>4</v>
      </c>
      <c r="AC85" s="49">
        <f t="shared" ref="AC85:AD85" si="596">SUM(S85,U85,W85,Y85,AA85)</f>
        <v>5</v>
      </c>
      <c r="AD85" s="50">
        <f t="shared" si="596"/>
        <v>9</v>
      </c>
      <c r="AE85" s="53">
        <f t="shared" si="534"/>
        <v>0</v>
      </c>
      <c r="AF85" s="54">
        <f t="shared" si="535"/>
        <v>0</v>
      </c>
      <c r="AG85" s="53">
        <f t="shared" si="536"/>
        <v>2</v>
      </c>
      <c r="AH85" s="54">
        <f t="shared" si="537"/>
        <v>4</v>
      </c>
      <c r="AI85" s="53">
        <f t="shared" si="538"/>
        <v>1</v>
      </c>
      <c r="AJ85" s="54">
        <f t="shared" si="539"/>
        <v>2</v>
      </c>
      <c r="AK85" s="53">
        <f t="shared" si="540"/>
        <v>1</v>
      </c>
      <c r="AL85" s="54">
        <f t="shared" si="541"/>
        <v>1</v>
      </c>
      <c r="AM85" s="53">
        <f t="shared" si="542"/>
        <v>1</v>
      </c>
      <c r="AN85" s="54">
        <f t="shared" si="543"/>
        <v>1</v>
      </c>
      <c r="AO85" s="53">
        <f t="shared" si="544"/>
        <v>1</v>
      </c>
      <c r="AP85" s="54">
        <f t="shared" si="545"/>
        <v>3</v>
      </c>
      <c r="AQ85" s="49">
        <f t="shared" ref="AQ85:AR85" si="597">SUM(AG85,AI85,AK85,AM85,AO85)</f>
        <v>6</v>
      </c>
      <c r="AR85" s="50">
        <f t="shared" si="597"/>
        <v>11</v>
      </c>
      <c r="AS85" s="53">
        <f t="shared" si="547"/>
        <v>1</v>
      </c>
      <c r="AT85" s="54">
        <f t="shared" si="548"/>
        <v>1</v>
      </c>
      <c r="AU85" s="53">
        <f t="shared" si="549"/>
        <v>1</v>
      </c>
      <c r="AV85" s="54">
        <f t="shared" si="550"/>
        <v>2</v>
      </c>
      <c r="AW85" s="53">
        <f t="shared" si="551"/>
        <v>2</v>
      </c>
      <c r="AX85" s="54">
        <f t="shared" si="552"/>
        <v>4</v>
      </c>
      <c r="AY85" s="53">
        <f t="shared" si="553"/>
        <v>1</v>
      </c>
      <c r="AZ85" s="54">
        <f t="shared" si="554"/>
        <v>3</v>
      </c>
      <c r="BA85" s="53">
        <f t="shared" si="555"/>
        <v>1</v>
      </c>
      <c r="BB85" s="54">
        <f t="shared" si="556"/>
        <v>3</v>
      </c>
      <c r="BC85" s="49">
        <f t="shared" ref="BC85:BD85" si="598">SUM(AS85,AU85,AW85,AY85,BA85)</f>
        <v>6</v>
      </c>
      <c r="BD85" s="50">
        <f t="shared" si="598"/>
        <v>13</v>
      </c>
      <c r="BE85" s="68">
        <f t="shared" ref="BE85:BF85" si="599">SUM(E85,G85,I85,O85,Q85,AC85,AQ85,BC85)</f>
        <v>23</v>
      </c>
      <c r="BF85" s="69">
        <f t="shared" si="599"/>
        <v>43</v>
      </c>
      <c r="BG85" s="46" t="str">
        <f>BF85*'ОВгП_РАО'!$B$11</f>
        <v>#REF!</v>
      </c>
      <c r="BH85" s="46" t="str">
        <f>'ОВгП_РАО'!$B$11</f>
        <v>#REF!</v>
      </c>
    </row>
    <row r="86" ht="15.75" customHeight="1">
      <c r="A86" s="80">
        <f t="shared" si="559"/>
        <v>46263</v>
      </c>
      <c r="B86" s="45" t="s">
        <v>129</v>
      </c>
      <c r="C86" s="46" t="s">
        <v>125</v>
      </c>
      <c r="D86" s="45" t="s">
        <v>130</v>
      </c>
      <c r="E86" s="73">
        <f t="shared" si="510"/>
        <v>0</v>
      </c>
      <c r="F86" s="50">
        <f t="shared" si="511"/>
        <v>0</v>
      </c>
      <c r="G86" s="73">
        <f t="shared" si="512"/>
        <v>1</v>
      </c>
      <c r="H86" s="50">
        <f t="shared" si="513"/>
        <v>3</v>
      </c>
      <c r="I86" s="73">
        <f t="shared" si="514"/>
        <v>1</v>
      </c>
      <c r="J86" s="50">
        <f t="shared" si="515"/>
        <v>3</v>
      </c>
      <c r="K86" s="53">
        <f t="shared" si="516"/>
        <v>1</v>
      </c>
      <c r="L86" s="54">
        <f t="shared" si="517"/>
        <v>3</v>
      </c>
      <c r="M86" s="53">
        <f t="shared" si="518"/>
        <v>2</v>
      </c>
      <c r="N86" s="54">
        <f t="shared" si="519"/>
        <v>4</v>
      </c>
      <c r="O86" s="49">
        <f t="shared" ref="O86:P86" si="600">SUM(K86,M86)</f>
        <v>3</v>
      </c>
      <c r="P86" s="50">
        <f t="shared" si="600"/>
        <v>7</v>
      </c>
      <c r="Q86" s="73">
        <f t="shared" si="521"/>
        <v>1</v>
      </c>
      <c r="R86" s="50">
        <f t="shared" si="522"/>
        <v>1</v>
      </c>
      <c r="S86" s="53">
        <f t="shared" si="523"/>
        <v>2</v>
      </c>
      <c r="T86" s="54">
        <f t="shared" si="524"/>
        <v>4</v>
      </c>
      <c r="U86" s="53">
        <f t="shared" si="525"/>
        <v>2</v>
      </c>
      <c r="V86" s="54">
        <f t="shared" si="526"/>
        <v>4</v>
      </c>
      <c r="W86" s="53">
        <f t="shared" si="527"/>
        <v>1</v>
      </c>
      <c r="X86" s="54">
        <f t="shared" si="528"/>
        <v>1</v>
      </c>
      <c r="Y86" s="53">
        <f t="shared" si="529"/>
        <v>1</v>
      </c>
      <c r="Z86" s="54">
        <f t="shared" si="530"/>
        <v>2</v>
      </c>
      <c r="AA86" s="53">
        <f t="shared" si="531"/>
        <v>1</v>
      </c>
      <c r="AB86" s="54">
        <f t="shared" si="532"/>
        <v>2</v>
      </c>
      <c r="AC86" s="49">
        <f t="shared" ref="AC86:AD86" si="601">SUM(S86,U86,W86,Y86,AA86)</f>
        <v>7</v>
      </c>
      <c r="AD86" s="50">
        <f t="shared" si="601"/>
        <v>13</v>
      </c>
      <c r="AE86" s="53">
        <f t="shared" si="534"/>
        <v>1</v>
      </c>
      <c r="AF86" s="54">
        <f t="shared" si="535"/>
        <v>1</v>
      </c>
      <c r="AG86" s="53">
        <f t="shared" si="536"/>
        <v>0</v>
      </c>
      <c r="AH86" s="54">
        <f t="shared" si="537"/>
        <v>0</v>
      </c>
      <c r="AI86" s="53">
        <f t="shared" si="538"/>
        <v>1</v>
      </c>
      <c r="AJ86" s="54">
        <f t="shared" si="539"/>
        <v>3</v>
      </c>
      <c r="AK86" s="53">
        <f t="shared" si="540"/>
        <v>1</v>
      </c>
      <c r="AL86" s="54">
        <f t="shared" si="541"/>
        <v>3</v>
      </c>
      <c r="AM86" s="53">
        <f t="shared" si="542"/>
        <v>1</v>
      </c>
      <c r="AN86" s="54">
        <f t="shared" si="543"/>
        <v>1</v>
      </c>
      <c r="AO86" s="53">
        <f t="shared" si="544"/>
        <v>1</v>
      </c>
      <c r="AP86" s="54">
        <f t="shared" si="545"/>
        <v>3</v>
      </c>
      <c r="AQ86" s="49">
        <f t="shared" ref="AQ86:AR86" si="602">SUM(AG86,AI86,AK86,AM86,AO86)</f>
        <v>4</v>
      </c>
      <c r="AR86" s="50">
        <f t="shared" si="602"/>
        <v>10</v>
      </c>
      <c r="AS86" s="53">
        <f t="shared" si="547"/>
        <v>1</v>
      </c>
      <c r="AT86" s="54">
        <f t="shared" si="548"/>
        <v>2</v>
      </c>
      <c r="AU86" s="53">
        <f t="shared" si="549"/>
        <v>1</v>
      </c>
      <c r="AV86" s="54">
        <f t="shared" si="550"/>
        <v>3</v>
      </c>
      <c r="AW86" s="53">
        <f t="shared" si="551"/>
        <v>1</v>
      </c>
      <c r="AX86" s="54">
        <f t="shared" si="552"/>
        <v>1</v>
      </c>
      <c r="AY86" s="53">
        <f t="shared" si="553"/>
        <v>1</v>
      </c>
      <c r="AZ86" s="54">
        <f t="shared" si="554"/>
        <v>1</v>
      </c>
      <c r="BA86" s="53">
        <f t="shared" si="555"/>
        <v>2</v>
      </c>
      <c r="BB86" s="54">
        <f t="shared" si="556"/>
        <v>4</v>
      </c>
      <c r="BC86" s="49">
        <f t="shared" ref="BC86:BD86" si="603">SUM(AS86,AU86,AW86,AY86,BA86)</f>
        <v>6</v>
      </c>
      <c r="BD86" s="50">
        <f t="shared" si="603"/>
        <v>11</v>
      </c>
      <c r="BE86" s="68">
        <f t="shared" ref="BE86:BF86" si="604">SUM(E86,G86,I86,O86,Q86,AC86,AQ86,BC86)</f>
        <v>23</v>
      </c>
      <c r="BF86" s="69">
        <f t="shared" si="604"/>
        <v>48</v>
      </c>
      <c r="BG86" s="46" t="str">
        <f>BF86*'ОВгП_РАО'!$B$12</f>
        <v>#REF!</v>
      </c>
      <c r="BH86" s="46" t="str">
        <f>'ОВгП_РАО'!$B$12</f>
        <v>#REF!</v>
      </c>
    </row>
    <row r="87" ht="15.75" customHeight="1">
      <c r="A87" s="80">
        <f t="shared" si="559"/>
        <v>46263</v>
      </c>
      <c r="B87" s="47" t="s">
        <v>131</v>
      </c>
      <c r="C87" s="47" t="s">
        <v>122</v>
      </c>
      <c r="D87" s="47" t="s">
        <v>123</v>
      </c>
      <c r="E87" s="73">
        <f t="shared" si="510"/>
        <v>1</v>
      </c>
      <c r="F87" s="50">
        <f t="shared" si="511"/>
        <v>3</v>
      </c>
      <c r="G87" s="73">
        <f t="shared" si="512"/>
        <v>1</v>
      </c>
      <c r="H87" s="50">
        <f t="shared" si="513"/>
        <v>2</v>
      </c>
      <c r="I87" s="73">
        <f t="shared" si="514"/>
        <v>0</v>
      </c>
      <c r="J87" s="50">
        <f t="shared" si="515"/>
        <v>0</v>
      </c>
      <c r="K87" s="53">
        <f t="shared" si="516"/>
        <v>1</v>
      </c>
      <c r="L87" s="54">
        <f t="shared" si="517"/>
        <v>3</v>
      </c>
      <c r="M87" s="53">
        <f t="shared" si="518"/>
        <v>1</v>
      </c>
      <c r="N87" s="54">
        <f t="shared" si="519"/>
        <v>3</v>
      </c>
      <c r="O87" s="49">
        <f t="shared" ref="O87:P87" si="605">SUM(K87,M87)</f>
        <v>2</v>
      </c>
      <c r="P87" s="50">
        <f t="shared" si="605"/>
        <v>6</v>
      </c>
      <c r="Q87" s="73">
        <f t="shared" si="521"/>
        <v>0</v>
      </c>
      <c r="R87" s="50">
        <f t="shared" si="522"/>
        <v>0</v>
      </c>
      <c r="S87" s="53">
        <f t="shared" si="523"/>
        <v>1</v>
      </c>
      <c r="T87" s="54">
        <f t="shared" si="524"/>
        <v>3</v>
      </c>
      <c r="U87" s="53">
        <f t="shared" si="525"/>
        <v>0</v>
      </c>
      <c r="V87" s="54">
        <f t="shared" si="526"/>
        <v>0</v>
      </c>
      <c r="W87" s="53">
        <f t="shared" si="527"/>
        <v>2</v>
      </c>
      <c r="X87" s="54">
        <f t="shared" si="528"/>
        <v>4</v>
      </c>
      <c r="Y87" s="53">
        <f t="shared" si="529"/>
        <v>1</v>
      </c>
      <c r="Z87" s="54">
        <f t="shared" si="530"/>
        <v>3</v>
      </c>
      <c r="AA87" s="53">
        <f t="shared" si="531"/>
        <v>1</v>
      </c>
      <c r="AB87" s="54">
        <f t="shared" si="532"/>
        <v>2</v>
      </c>
      <c r="AC87" s="49">
        <f t="shared" ref="AC87:AD87" si="606">SUM(S87,U87,W87,Y87,AA87)</f>
        <v>5</v>
      </c>
      <c r="AD87" s="50">
        <f t="shared" si="606"/>
        <v>12</v>
      </c>
      <c r="AE87" s="53">
        <f t="shared" si="534"/>
        <v>0</v>
      </c>
      <c r="AF87" s="54">
        <f t="shared" si="535"/>
        <v>0</v>
      </c>
      <c r="AG87" s="53">
        <f t="shared" si="536"/>
        <v>0</v>
      </c>
      <c r="AH87" s="54">
        <f t="shared" si="537"/>
        <v>0</v>
      </c>
      <c r="AI87" s="53">
        <f t="shared" si="538"/>
        <v>0</v>
      </c>
      <c r="AJ87" s="54">
        <f t="shared" si="539"/>
        <v>0</v>
      </c>
      <c r="AK87" s="53">
        <f t="shared" si="540"/>
        <v>1</v>
      </c>
      <c r="AL87" s="54">
        <f t="shared" si="541"/>
        <v>1</v>
      </c>
      <c r="AM87" s="53">
        <f t="shared" si="542"/>
        <v>2</v>
      </c>
      <c r="AN87" s="54">
        <f t="shared" si="543"/>
        <v>4</v>
      </c>
      <c r="AO87" s="53">
        <f t="shared" si="544"/>
        <v>0</v>
      </c>
      <c r="AP87" s="54">
        <f t="shared" si="545"/>
        <v>0</v>
      </c>
      <c r="AQ87" s="49">
        <f t="shared" ref="AQ87:AR87" si="607">SUM(AG87,AI87,AK87,AM87,AO87)</f>
        <v>3</v>
      </c>
      <c r="AR87" s="50">
        <f t="shared" si="607"/>
        <v>5</v>
      </c>
      <c r="AS87" s="53">
        <f t="shared" si="547"/>
        <v>1</v>
      </c>
      <c r="AT87" s="54">
        <f t="shared" si="548"/>
        <v>3</v>
      </c>
      <c r="AU87" s="53">
        <f t="shared" si="549"/>
        <v>2</v>
      </c>
      <c r="AV87" s="54">
        <f t="shared" si="550"/>
        <v>4</v>
      </c>
      <c r="AW87" s="53">
        <f t="shared" si="551"/>
        <v>2</v>
      </c>
      <c r="AX87" s="54">
        <f t="shared" si="552"/>
        <v>4</v>
      </c>
      <c r="AY87" s="53">
        <f t="shared" si="553"/>
        <v>2</v>
      </c>
      <c r="AZ87" s="54">
        <f t="shared" si="554"/>
        <v>4</v>
      </c>
      <c r="BA87" s="53">
        <f t="shared" si="555"/>
        <v>2</v>
      </c>
      <c r="BB87" s="54">
        <f t="shared" si="556"/>
        <v>4</v>
      </c>
      <c r="BC87" s="49">
        <f t="shared" ref="BC87:BD87" si="608">SUM(AS87,AU87,AW87,AY87,BA87)</f>
        <v>9</v>
      </c>
      <c r="BD87" s="50">
        <f t="shared" si="608"/>
        <v>19</v>
      </c>
      <c r="BE87" s="68">
        <f t="shared" ref="BE87:BF87" si="609">SUM(E87,G87,I87,O87,Q87,AC87,AQ87,BC87)</f>
        <v>21</v>
      </c>
      <c r="BF87" s="69">
        <f t="shared" si="609"/>
        <v>47</v>
      </c>
      <c r="BG87" s="46" t="str">
        <f>BF87*'ОВгП_РАО'!$B$13</f>
        <v>#REF!</v>
      </c>
      <c r="BH87" s="46" t="str">
        <f>'ОВгП_РАО'!$B$13</f>
        <v>#REF!</v>
      </c>
    </row>
    <row r="88" ht="15.75" customHeight="1">
      <c r="A88" s="80">
        <f t="shared" si="559"/>
        <v>46263</v>
      </c>
      <c r="B88" s="47" t="s">
        <v>132</v>
      </c>
      <c r="C88" s="47" t="s">
        <v>122</v>
      </c>
      <c r="D88" s="47" t="s">
        <v>123</v>
      </c>
      <c r="E88" s="73">
        <f t="shared" si="510"/>
        <v>1</v>
      </c>
      <c r="F88" s="50">
        <f t="shared" si="511"/>
        <v>2</v>
      </c>
      <c r="G88" s="73">
        <f t="shared" si="512"/>
        <v>1</v>
      </c>
      <c r="H88" s="50">
        <f t="shared" si="513"/>
        <v>1</v>
      </c>
      <c r="I88" s="73">
        <f t="shared" si="514"/>
        <v>1</v>
      </c>
      <c r="J88" s="50">
        <f t="shared" si="515"/>
        <v>3</v>
      </c>
      <c r="K88" s="53">
        <f t="shared" si="516"/>
        <v>1</v>
      </c>
      <c r="L88" s="54">
        <f t="shared" si="517"/>
        <v>2</v>
      </c>
      <c r="M88" s="53">
        <f t="shared" si="518"/>
        <v>2</v>
      </c>
      <c r="N88" s="54">
        <f t="shared" si="519"/>
        <v>4</v>
      </c>
      <c r="O88" s="49">
        <f t="shared" ref="O88:P88" si="610">SUM(K88,M88)</f>
        <v>3</v>
      </c>
      <c r="P88" s="50">
        <f t="shared" si="610"/>
        <v>6</v>
      </c>
      <c r="Q88" s="73">
        <f t="shared" si="521"/>
        <v>2</v>
      </c>
      <c r="R88" s="50">
        <f t="shared" si="522"/>
        <v>4</v>
      </c>
      <c r="S88" s="53">
        <f t="shared" si="523"/>
        <v>2</v>
      </c>
      <c r="T88" s="54">
        <f t="shared" si="524"/>
        <v>4</v>
      </c>
      <c r="U88" s="53">
        <f t="shared" si="525"/>
        <v>2</v>
      </c>
      <c r="V88" s="54">
        <f t="shared" si="526"/>
        <v>4</v>
      </c>
      <c r="W88" s="53">
        <f t="shared" si="527"/>
        <v>2</v>
      </c>
      <c r="X88" s="54">
        <f t="shared" si="528"/>
        <v>4</v>
      </c>
      <c r="Y88" s="53">
        <f t="shared" si="529"/>
        <v>0</v>
      </c>
      <c r="Z88" s="54">
        <f t="shared" si="530"/>
        <v>0</v>
      </c>
      <c r="AA88" s="53">
        <f t="shared" si="531"/>
        <v>1</v>
      </c>
      <c r="AB88" s="54">
        <f t="shared" si="532"/>
        <v>1</v>
      </c>
      <c r="AC88" s="49">
        <f t="shared" ref="AC88:AD88" si="611">SUM(S88,U88,W88,Y88,AA88)</f>
        <v>7</v>
      </c>
      <c r="AD88" s="50">
        <f t="shared" si="611"/>
        <v>13</v>
      </c>
      <c r="AE88" s="53">
        <f t="shared" si="534"/>
        <v>1</v>
      </c>
      <c r="AF88" s="54">
        <f t="shared" si="535"/>
        <v>1</v>
      </c>
      <c r="AG88" s="53">
        <f t="shared" si="536"/>
        <v>1</v>
      </c>
      <c r="AH88" s="54">
        <f t="shared" si="537"/>
        <v>2</v>
      </c>
      <c r="AI88" s="53">
        <f t="shared" si="538"/>
        <v>1</v>
      </c>
      <c r="AJ88" s="54">
        <f t="shared" si="539"/>
        <v>3</v>
      </c>
      <c r="AK88" s="53">
        <f t="shared" si="540"/>
        <v>1</v>
      </c>
      <c r="AL88" s="54">
        <f t="shared" si="541"/>
        <v>3</v>
      </c>
      <c r="AM88" s="53">
        <f t="shared" si="542"/>
        <v>0</v>
      </c>
      <c r="AN88" s="54">
        <f t="shared" si="543"/>
        <v>0</v>
      </c>
      <c r="AO88" s="53">
        <f t="shared" si="544"/>
        <v>0</v>
      </c>
      <c r="AP88" s="54">
        <f t="shared" si="545"/>
        <v>0</v>
      </c>
      <c r="AQ88" s="49">
        <f t="shared" ref="AQ88:AR88" si="612">SUM(AG88,AI88,AK88,AM88,AO88)</f>
        <v>3</v>
      </c>
      <c r="AR88" s="50">
        <f t="shared" si="612"/>
        <v>8</v>
      </c>
      <c r="AS88" s="53">
        <f t="shared" si="547"/>
        <v>0</v>
      </c>
      <c r="AT88" s="54">
        <f t="shared" si="548"/>
        <v>0</v>
      </c>
      <c r="AU88" s="53">
        <f t="shared" si="549"/>
        <v>1</v>
      </c>
      <c r="AV88" s="54">
        <f t="shared" si="550"/>
        <v>2</v>
      </c>
      <c r="AW88" s="53">
        <f t="shared" si="551"/>
        <v>1</v>
      </c>
      <c r="AX88" s="54">
        <f t="shared" si="552"/>
        <v>1</v>
      </c>
      <c r="AY88" s="53">
        <f t="shared" si="553"/>
        <v>1</v>
      </c>
      <c r="AZ88" s="54">
        <f t="shared" si="554"/>
        <v>1</v>
      </c>
      <c r="BA88" s="53">
        <f t="shared" si="555"/>
        <v>0</v>
      </c>
      <c r="BB88" s="54">
        <f t="shared" si="556"/>
        <v>0</v>
      </c>
      <c r="BC88" s="49">
        <f t="shared" ref="BC88:BD88" si="613">SUM(AS88,AU88,AW88,AY88,BA88)</f>
        <v>3</v>
      </c>
      <c r="BD88" s="50">
        <f t="shared" si="613"/>
        <v>4</v>
      </c>
      <c r="BE88" s="68">
        <f t="shared" ref="BE88:BF88" si="614">SUM(E88,G88,I88,O88,Q88,AC88,AQ88,BC88)</f>
        <v>21</v>
      </c>
      <c r="BF88" s="69">
        <f t="shared" si="614"/>
        <v>41</v>
      </c>
      <c r="BG88" s="46" t="str">
        <f>BF88*'ОВгП_РАО'!$B$14</f>
        <v>#REF!</v>
      </c>
      <c r="BH88" s="46" t="str">
        <f>'ОВгП_РАО'!$B$14</f>
        <v>#REF!</v>
      </c>
    </row>
    <row r="89" ht="15.75" customHeight="1">
      <c r="A89" s="80">
        <f t="shared" si="559"/>
        <v>46263</v>
      </c>
      <c r="B89" s="47" t="s">
        <v>133</v>
      </c>
      <c r="C89" s="47" t="s">
        <v>122</v>
      </c>
      <c r="D89" s="47" t="s">
        <v>123</v>
      </c>
      <c r="E89" s="73">
        <f t="shared" si="510"/>
        <v>1</v>
      </c>
      <c r="F89" s="50">
        <f t="shared" si="511"/>
        <v>1</v>
      </c>
      <c r="G89" s="73">
        <f t="shared" si="512"/>
        <v>2</v>
      </c>
      <c r="H89" s="50">
        <f t="shared" si="513"/>
        <v>4</v>
      </c>
      <c r="I89" s="73">
        <f t="shared" si="514"/>
        <v>1</v>
      </c>
      <c r="J89" s="50">
        <f t="shared" si="515"/>
        <v>3</v>
      </c>
      <c r="K89" s="53">
        <f t="shared" si="516"/>
        <v>1</v>
      </c>
      <c r="L89" s="54">
        <f t="shared" si="517"/>
        <v>3</v>
      </c>
      <c r="M89" s="53">
        <f t="shared" si="518"/>
        <v>1</v>
      </c>
      <c r="N89" s="54">
        <f t="shared" si="519"/>
        <v>1</v>
      </c>
      <c r="O89" s="49">
        <f t="shared" ref="O89:P89" si="615">SUM(K89,M89)</f>
        <v>2</v>
      </c>
      <c r="P89" s="50">
        <f t="shared" si="615"/>
        <v>4</v>
      </c>
      <c r="Q89" s="73">
        <f t="shared" si="521"/>
        <v>1</v>
      </c>
      <c r="R89" s="50">
        <f t="shared" si="522"/>
        <v>3</v>
      </c>
      <c r="S89" s="53">
        <f t="shared" si="523"/>
        <v>1</v>
      </c>
      <c r="T89" s="54">
        <f t="shared" si="524"/>
        <v>1</v>
      </c>
      <c r="U89" s="53">
        <f t="shared" si="525"/>
        <v>1</v>
      </c>
      <c r="V89" s="54">
        <f t="shared" si="526"/>
        <v>2</v>
      </c>
      <c r="W89" s="53">
        <f t="shared" si="527"/>
        <v>1</v>
      </c>
      <c r="X89" s="54">
        <f t="shared" si="528"/>
        <v>3</v>
      </c>
      <c r="Y89" s="53">
        <f t="shared" si="529"/>
        <v>2</v>
      </c>
      <c r="Z89" s="54">
        <f t="shared" si="530"/>
        <v>4</v>
      </c>
      <c r="AA89" s="53">
        <f t="shared" si="531"/>
        <v>0</v>
      </c>
      <c r="AB89" s="54">
        <f t="shared" si="532"/>
        <v>0</v>
      </c>
      <c r="AC89" s="49">
        <f t="shared" ref="AC89:AD89" si="616">SUM(S89,U89,W89,Y89,AA89)</f>
        <v>5</v>
      </c>
      <c r="AD89" s="50">
        <f t="shared" si="616"/>
        <v>10</v>
      </c>
      <c r="AE89" s="53">
        <f t="shared" si="534"/>
        <v>2</v>
      </c>
      <c r="AF89" s="54">
        <f t="shared" si="535"/>
        <v>4</v>
      </c>
      <c r="AG89" s="53">
        <f t="shared" si="536"/>
        <v>0</v>
      </c>
      <c r="AH89" s="54">
        <f t="shared" si="537"/>
        <v>0</v>
      </c>
      <c r="AI89" s="53">
        <f t="shared" si="538"/>
        <v>0</v>
      </c>
      <c r="AJ89" s="54">
        <f t="shared" si="539"/>
        <v>0</v>
      </c>
      <c r="AK89" s="53">
        <f t="shared" si="540"/>
        <v>1</v>
      </c>
      <c r="AL89" s="54">
        <f t="shared" si="541"/>
        <v>2</v>
      </c>
      <c r="AM89" s="53">
        <f t="shared" si="542"/>
        <v>1</v>
      </c>
      <c r="AN89" s="54">
        <f t="shared" si="543"/>
        <v>1</v>
      </c>
      <c r="AO89" s="53">
        <f t="shared" si="544"/>
        <v>1</v>
      </c>
      <c r="AP89" s="54">
        <f t="shared" si="545"/>
        <v>1</v>
      </c>
      <c r="AQ89" s="49">
        <f t="shared" ref="AQ89:AR89" si="617">SUM(AG89,AI89,AK89,AM89,AO89)</f>
        <v>3</v>
      </c>
      <c r="AR89" s="50">
        <f t="shared" si="617"/>
        <v>4</v>
      </c>
      <c r="AS89" s="53">
        <f t="shared" si="547"/>
        <v>0</v>
      </c>
      <c r="AT89" s="54">
        <f t="shared" si="548"/>
        <v>0</v>
      </c>
      <c r="AU89" s="53">
        <f t="shared" si="549"/>
        <v>1</v>
      </c>
      <c r="AV89" s="54">
        <f t="shared" si="550"/>
        <v>1</v>
      </c>
      <c r="AW89" s="53">
        <f t="shared" si="551"/>
        <v>2</v>
      </c>
      <c r="AX89" s="54">
        <f t="shared" si="552"/>
        <v>4</v>
      </c>
      <c r="AY89" s="53">
        <f t="shared" si="553"/>
        <v>1</v>
      </c>
      <c r="AZ89" s="54">
        <f t="shared" si="554"/>
        <v>2</v>
      </c>
      <c r="BA89" s="53">
        <f t="shared" si="555"/>
        <v>0</v>
      </c>
      <c r="BB89" s="54">
        <f t="shared" si="556"/>
        <v>0</v>
      </c>
      <c r="BC89" s="49">
        <f t="shared" ref="BC89:BD89" si="618">SUM(AS89,AU89,AW89,AY89,BA89)</f>
        <v>4</v>
      </c>
      <c r="BD89" s="50">
        <f t="shared" si="618"/>
        <v>7</v>
      </c>
      <c r="BE89" s="68">
        <f t="shared" ref="BE89:BF89" si="619">SUM(E89,G89,I89,O89,Q89,AC89,AQ89,BC89)</f>
        <v>19</v>
      </c>
      <c r="BF89" s="69">
        <f t="shared" si="619"/>
        <v>36</v>
      </c>
      <c r="BG89" s="46" t="str">
        <f>BF89*'ОВгП_РАО'!$B$15</f>
        <v>#REF!</v>
      </c>
      <c r="BH89" s="46" t="str">
        <f>'ОВгП_РАО'!$B$15</f>
        <v>#REF!</v>
      </c>
    </row>
    <row r="90" ht="15.75" customHeight="1">
      <c r="A90" s="80">
        <f t="shared" si="559"/>
        <v>46263</v>
      </c>
      <c r="B90" s="47" t="s">
        <v>134</v>
      </c>
      <c r="C90" s="47" t="s">
        <v>122</v>
      </c>
      <c r="D90" s="47" t="s">
        <v>123</v>
      </c>
      <c r="E90" s="73">
        <f t="shared" si="510"/>
        <v>0</v>
      </c>
      <c r="F90" s="50">
        <f t="shared" si="511"/>
        <v>0</v>
      </c>
      <c r="G90" s="73">
        <f t="shared" si="512"/>
        <v>0</v>
      </c>
      <c r="H90" s="50">
        <f t="shared" si="513"/>
        <v>0</v>
      </c>
      <c r="I90" s="73">
        <f t="shared" si="514"/>
        <v>1</v>
      </c>
      <c r="J90" s="50">
        <f t="shared" si="515"/>
        <v>1</v>
      </c>
      <c r="K90" s="53">
        <f t="shared" si="516"/>
        <v>1</v>
      </c>
      <c r="L90" s="54">
        <f t="shared" si="517"/>
        <v>3</v>
      </c>
      <c r="M90" s="53">
        <f t="shared" si="518"/>
        <v>1</v>
      </c>
      <c r="N90" s="54">
        <f t="shared" si="519"/>
        <v>3</v>
      </c>
      <c r="O90" s="49">
        <f t="shared" ref="O90:P90" si="620">SUM(K90,M90)</f>
        <v>2</v>
      </c>
      <c r="P90" s="50">
        <f t="shared" si="620"/>
        <v>6</v>
      </c>
      <c r="Q90" s="73">
        <f t="shared" si="521"/>
        <v>0</v>
      </c>
      <c r="R90" s="50">
        <f t="shared" si="522"/>
        <v>0</v>
      </c>
      <c r="S90" s="53">
        <f t="shared" si="523"/>
        <v>2</v>
      </c>
      <c r="T90" s="54">
        <f t="shared" si="524"/>
        <v>4</v>
      </c>
      <c r="U90" s="53">
        <f t="shared" si="525"/>
        <v>2</v>
      </c>
      <c r="V90" s="54">
        <f t="shared" si="526"/>
        <v>4</v>
      </c>
      <c r="W90" s="53">
        <f t="shared" si="527"/>
        <v>1</v>
      </c>
      <c r="X90" s="54">
        <f t="shared" si="528"/>
        <v>2</v>
      </c>
      <c r="Y90" s="53">
        <f t="shared" si="529"/>
        <v>2</v>
      </c>
      <c r="Z90" s="54">
        <f t="shared" si="530"/>
        <v>4</v>
      </c>
      <c r="AA90" s="53">
        <f t="shared" si="531"/>
        <v>1</v>
      </c>
      <c r="AB90" s="54">
        <f t="shared" si="532"/>
        <v>3</v>
      </c>
      <c r="AC90" s="49">
        <f t="shared" ref="AC90:AD90" si="621">SUM(S90,U90,W90,Y90,AA90)</f>
        <v>8</v>
      </c>
      <c r="AD90" s="50">
        <f t="shared" si="621"/>
        <v>17</v>
      </c>
      <c r="AE90" s="53">
        <f t="shared" si="534"/>
        <v>2</v>
      </c>
      <c r="AF90" s="54">
        <f t="shared" si="535"/>
        <v>4</v>
      </c>
      <c r="AG90" s="53">
        <f t="shared" si="536"/>
        <v>1</v>
      </c>
      <c r="AH90" s="54">
        <f t="shared" si="537"/>
        <v>1</v>
      </c>
      <c r="AI90" s="53">
        <f t="shared" si="538"/>
        <v>1</v>
      </c>
      <c r="AJ90" s="54">
        <f t="shared" si="539"/>
        <v>2</v>
      </c>
      <c r="AK90" s="53">
        <f t="shared" si="540"/>
        <v>1</v>
      </c>
      <c r="AL90" s="54">
        <f t="shared" si="541"/>
        <v>2</v>
      </c>
      <c r="AM90" s="53">
        <f t="shared" si="542"/>
        <v>0</v>
      </c>
      <c r="AN90" s="54">
        <f t="shared" si="543"/>
        <v>0</v>
      </c>
      <c r="AO90" s="53">
        <f t="shared" si="544"/>
        <v>0</v>
      </c>
      <c r="AP90" s="54">
        <f t="shared" si="545"/>
        <v>0</v>
      </c>
      <c r="AQ90" s="49">
        <f t="shared" ref="AQ90:AR90" si="622">SUM(AG90,AI90,AK90,AM90,AO90)</f>
        <v>3</v>
      </c>
      <c r="AR90" s="50">
        <f t="shared" si="622"/>
        <v>5</v>
      </c>
      <c r="AS90" s="53">
        <f t="shared" si="547"/>
        <v>1</v>
      </c>
      <c r="AT90" s="54">
        <f t="shared" si="548"/>
        <v>3</v>
      </c>
      <c r="AU90" s="53">
        <f t="shared" si="549"/>
        <v>1</v>
      </c>
      <c r="AV90" s="54">
        <f t="shared" si="550"/>
        <v>1</v>
      </c>
      <c r="AW90" s="53">
        <f t="shared" si="551"/>
        <v>1</v>
      </c>
      <c r="AX90" s="54">
        <f t="shared" si="552"/>
        <v>2</v>
      </c>
      <c r="AY90" s="53">
        <f t="shared" si="553"/>
        <v>1</v>
      </c>
      <c r="AZ90" s="54">
        <f t="shared" si="554"/>
        <v>1</v>
      </c>
      <c r="BA90" s="53">
        <f t="shared" si="555"/>
        <v>2</v>
      </c>
      <c r="BB90" s="54">
        <f t="shared" si="556"/>
        <v>4</v>
      </c>
      <c r="BC90" s="49">
        <f t="shared" ref="BC90:BD90" si="623">SUM(AS90,AU90,AW90,AY90,BA90)</f>
        <v>6</v>
      </c>
      <c r="BD90" s="50">
        <f t="shared" si="623"/>
        <v>11</v>
      </c>
      <c r="BE90" s="68">
        <f t="shared" ref="BE90:BF90" si="624">SUM(E90,G90,I90,O90,Q90,AC90,AQ90,BC90)</f>
        <v>20</v>
      </c>
      <c r="BF90" s="69">
        <f t="shared" si="624"/>
        <v>40</v>
      </c>
      <c r="BG90" s="46" t="str">
        <f>BF90*'ОВгП_РАО'!$B$16</f>
        <v>#REF!</v>
      </c>
      <c r="BH90" s="46" t="str">
        <f>'ОВгП_РАО'!$B$16</f>
        <v>#REF!</v>
      </c>
    </row>
    <row r="91" ht="15.75" customHeight="1">
      <c r="A91" s="80">
        <f t="shared" si="559"/>
        <v>46263</v>
      </c>
      <c r="B91" s="129" t="s">
        <v>135</v>
      </c>
      <c r="C91" s="47" t="s">
        <v>122</v>
      </c>
      <c r="D91" s="47" t="s">
        <v>136</v>
      </c>
      <c r="E91" s="73">
        <f t="shared" si="510"/>
        <v>1</v>
      </c>
      <c r="F91" s="50">
        <f t="shared" si="511"/>
        <v>3</v>
      </c>
      <c r="G91" s="73">
        <f t="shared" si="512"/>
        <v>1</v>
      </c>
      <c r="H91" s="50">
        <f t="shared" si="513"/>
        <v>2</v>
      </c>
      <c r="I91" s="73">
        <f t="shared" si="514"/>
        <v>2</v>
      </c>
      <c r="J91" s="50">
        <f t="shared" si="515"/>
        <v>4</v>
      </c>
      <c r="K91" s="53">
        <f t="shared" si="516"/>
        <v>1</v>
      </c>
      <c r="L91" s="54">
        <f t="shared" si="517"/>
        <v>3</v>
      </c>
      <c r="M91" s="53">
        <f t="shared" si="518"/>
        <v>1</v>
      </c>
      <c r="N91" s="54">
        <f t="shared" si="519"/>
        <v>2</v>
      </c>
      <c r="O91" s="49">
        <f t="shared" ref="O91:P91" si="625">SUM(K91,M91)</f>
        <v>2</v>
      </c>
      <c r="P91" s="50">
        <f t="shared" si="625"/>
        <v>5</v>
      </c>
      <c r="Q91" s="73">
        <f t="shared" si="521"/>
        <v>1</v>
      </c>
      <c r="R91" s="50">
        <f t="shared" si="522"/>
        <v>3</v>
      </c>
      <c r="S91" s="53">
        <f t="shared" si="523"/>
        <v>2</v>
      </c>
      <c r="T91" s="54">
        <f t="shared" si="524"/>
        <v>4</v>
      </c>
      <c r="U91" s="53">
        <f t="shared" si="525"/>
        <v>1</v>
      </c>
      <c r="V91" s="54">
        <f t="shared" si="526"/>
        <v>2</v>
      </c>
      <c r="W91" s="53">
        <f t="shared" si="527"/>
        <v>1</v>
      </c>
      <c r="X91" s="54">
        <f t="shared" si="528"/>
        <v>1</v>
      </c>
      <c r="Y91" s="53">
        <f t="shared" si="529"/>
        <v>1</v>
      </c>
      <c r="Z91" s="54">
        <f t="shared" si="530"/>
        <v>1</v>
      </c>
      <c r="AA91" s="53">
        <f t="shared" si="531"/>
        <v>1</v>
      </c>
      <c r="AB91" s="54">
        <f t="shared" si="532"/>
        <v>1</v>
      </c>
      <c r="AC91" s="49">
        <f t="shared" ref="AC91:AD91" si="626">SUM(S91,U91,W91,Y91,AA91)</f>
        <v>6</v>
      </c>
      <c r="AD91" s="50">
        <f t="shared" si="626"/>
        <v>9</v>
      </c>
      <c r="AE91" s="53">
        <f t="shared" si="534"/>
        <v>1</v>
      </c>
      <c r="AF91" s="54">
        <f t="shared" si="535"/>
        <v>2</v>
      </c>
      <c r="AG91" s="53">
        <f t="shared" si="536"/>
        <v>0</v>
      </c>
      <c r="AH91" s="54">
        <f t="shared" si="537"/>
        <v>0</v>
      </c>
      <c r="AI91" s="53">
        <f t="shared" si="538"/>
        <v>1</v>
      </c>
      <c r="AJ91" s="54">
        <f t="shared" si="539"/>
        <v>2</v>
      </c>
      <c r="AK91" s="53">
        <f t="shared" si="540"/>
        <v>2</v>
      </c>
      <c r="AL91" s="54">
        <f t="shared" si="541"/>
        <v>4</v>
      </c>
      <c r="AM91" s="53">
        <f t="shared" si="542"/>
        <v>2</v>
      </c>
      <c r="AN91" s="54">
        <f t="shared" si="543"/>
        <v>4</v>
      </c>
      <c r="AO91" s="53">
        <f t="shared" si="544"/>
        <v>2</v>
      </c>
      <c r="AP91" s="54">
        <f t="shared" si="545"/>
        <v>4</v>
      </c>
      <c r="AQ91" s="49">
        <f t="shared" ref="AQ91:AR91" si="627">SUM(AG91,AI91,AK91,AM91,AO91)</f>
        <v>7</v>
      </c>
      <c r="AR91" s="50">
        <f t="shared" si="627"/>
        <v>14</v>
      </c>
      <c r="AS91" s="53">
        <f t="shared" si="547"/>
        <v>0</v>
      </c>
      <c r="AT91" s="54">
        <f t="shared" si="548"/>
        <v>0</v>
      </c>
      <c r="AU91" s="53">
        <f t="shared" si="549"/>
        <v>0</v>
      </c>
      <c r="AV91" s="54">
        <f t="shared" si="550"/>
        <v>0</v>
      </c>
      <c r="AW91" s="53">
        <f t="shared" si="551"/>
        <v>2</v>
      </c>
      <c r="AX91" s="54">
        <f t="shared" si="552"/>
        <v>4</v>
      </c>
      <c r="AY91" s="53">
        <f t="shared" si="553"/>
        <v>1</v>
      </c>
      <c r="AZ91" s="54">
        <f t="shared" si="554"/>
        <v>1</v>
      </c>
      <c r="BA91" s="53">
        <f t="shared" si="555"/>
        <v>0</v>
      </c>
      <c r="BB91" s="54">
        <f t="shared" si="556"/>
        <v>0</v>
      </c>
      <c r="BC91" s="49">
        <f t="shared" ref="BC91:BD91" si="628">SUM(AS91,AU91,AW91,AY91,BA91)</f>
        <v>3</v>
      </c>
      <c r="BD91" s="50">
        <f t="shared" si="628"/>
        <v>5</v>
      </c>
      <c r="BE91" s="68">
        <f t="shared" ref="BE91:BF91" si="629">SUM(E91,G91,I91,O91,Q91,AC91,AQ91,BC91)</f>
        <v>23</v>
      </c>
      <c r="BF91" s="69">
        <f t="shared" si="629"/>
        <v>45</v>
      </c>
      <c r="BG91" s="46" t="str">
        <f>BF91*'ОВгП_РАО'!$B$17</f>
        <v>#REF!</v>
      </c>
      <c r="BH91" s="46" t="str">
        <f>'ОВгП_РАО'!$B$17</f>
        <v>#REF!</v>
      </c>
    </row>
    <row r="92" ht="15.75" customHeight="1">
      <c r="A92" s="80">
        <f t="shared" si="559"/>
        <v>46263</v>
      </c>
      <c r="B92" s="129" t="s">
        <v>137</v>
      </c>
      <c r="C92" s="47" t="s">
        <v>122</v>
      </c>
      <c r="D92" s="47" t="s">
        <v>136</v>
      </c>
      <c r="E92" s="73">
        <f t="shared" si="510"/>
        <v>1</v>
      </c>
      <c r="F92" s="50">
        <f t="shared" si="511"/>
        <v>2</v>
      </c>
      <c r="G92" s="73">
        <f t="shared" si="512"/>
        <v>2</v>
      </c>
      <c r="H92" s="50">
        <f t="shared" si="513"/>
        <v>4</v>
      </c>
      <c r="I92" s="73">
        <f t="shared" si="514"/>
        <v>1</v>
      </c>
      <c r="J92" s="50">
        <f t="shared" si="515"/>
        <v>2</v>
      </c>
      <c r="K92" s="53">
        <f t="shared" si="516"/>
        <v>0</v>
      </c>
      <c r="L92" s="54">
        <f t="shared" si="517"/>
        <v>0</v>
      </c>
      <c r="M92" s="53">
        <f t="shared" si="518"/>
        <v>1</v>
      </c>
      <c r="N92" s="54">
        <f t="shared" si="519"/>
        <v>2</v>
      </c>
      <c r="O92" s="49">
        <f t="shared" ref="O92:P92" si="630">SUM(K92,M92)</f>
        <v>1</v>
      </c>
      <c r="P92" s="50">
        <f t="shared" si="630"/>
        <v>2</v>
      </c>
      <c r="Q92" s="73">
        <f t="shared" si="521"/>
        <v>0</v>
      </c>
      <c r="R92" s="50">
        <f t="shared" si="522"/>
        <v>0</v>
      </c>
      <c r="S92" s="53">
        <f t="shared" si="523"/>
        <v>1</v>
      </c>
      <c r="T92" s="54">
        <f t="shared" si="524"/>
        <v>2</v>
      </c>
      <c r="U92" s="53">
        <f t="shared" si="525"/>
        <v>1</v>
      </c>
      <c r="V92" s="54">
        <f t="shared" si="526"/>
        <v>2</v>
      </c>
      <c r="W92" s="53">
        <f t="shared" si="527"/>
        <v>0</v>
      </c>
      <c r="X92" s="54">
        <f t="shared" si="528"/>
        <v>0</v>
      </c>
      <c r="Y92" s="53">
        <f t="shared" si="529"/>
        <v>1</v>
      </c>
      <c r="Z92" s="54">
        <f t="shared" si="530"/>
        <v>1</v>
      </c>
      <c r="AA92" s="53">
        <f t="shared" si="531"/>
        <v>1</v>
      </c>
      <c r="AB92" s="54">
        <f t="shared" si="532"/>
        <v>3</v>
      </c>
      <c r="AC92" s="49">
        <f t="shared" ref="AC92:AD92" si="631">SUM(S92,U92,W92,Y92,AA92)</f>
        <v>4</v>
      </c>
      <c r="AD92" s="50">
        <f t="shared" si="631"/>
        <v>8</v>
      </c>
      <c r="AE92" s="53">
        <f t="shared" si="534"/>
        <v>2</v>
      </c>
      <c r="AF92" s="54">
        <f t="shared" si="535"/>
        <v>4</v>
      </c>
      <c r="AG92" s="53">
        <f t="shared" si="536"/>
        <v>1</v>
      </c>
      <c r="AH92" s="54">
        <f t="shared" si="537"/>
        <v>3</v>
      </c>
      <c r="AI92" s="53">
        <f t="shared" si="538"/>
        <v>1</v>
      </c>
      <c r="AJ92" s="54">
        <f t="shared" si="539"/>
        <v>1</v>
      </c>
      <c r="AK92" s="53">
        <f t="shared" si="540"/>
        <v>2</v>
      </c>
      <c r="AL92" s="54">
        <f t="shared" si="541"/>
        <v>4</v>
      </c>
      <c r="AM92" s="53">
        <f t="shared" si="542"/>
        <v>1</v>
      </c>
      <c r="AN92" s="54">
        <f t="shared" si="543"/>
        <v>3</v>
      </c>
      <c r="AO92" s="53">
        <f t="shared" si="544"/>
        <v>1</v>
      </c>
      <c r="AP92" s="54">
        <f t="shared" si="545"/>
        <v>1</v>
      </c>
      <c r="AQ92" s="49">
        <f t="shared" ref="AQ92:AR92" si="632">SUM(AG92,AI92,AK92,AM92,AO92)</f>
        <v>6</v>
      </c>
      <c r="AR92" s="50">
        <f t="shared" si="632"/>
        <v>12</v>
      </c>
      <c r="AS92" s="53">
        <f t="shared" si="547"/>
        <v>1</v>
      </c>
      <c r="AT92" s="54">
        <f t="shared" si="548"/>
        <v>1</v>
      </c>
      <c r="AU92" s="53">
        <f t="shared" si="549"/>
        <v>1</v>
      </c>
      <c r="AV92" s="54">
        <f t="shared" si="550"/>
        <v>3</v>
      </c>
      <c r="AW92" s="53">
        <f t="shared" si="551"/>
        <v>1</v>
      </c>
      <c r="AX92" s="54">
        <f t="shared" si="552"/>
        <v>1</v>
      </c>
      <c r="AY92" s="53">
        <f t="shared" si="553"/>
        <v>1</v>
      </c>
      <c r="AZ92" s="54">
        <f t="shared" si="554"/>
        <v>2</v>
      </c>
      <c r="BA92" s="53">
        <f t="shared" si="555"/>
        <v>1</v>
      </c>
      <c r="BB92" s="54">
        <f t="shared" si="556"/>
        <v>3</v>
      </c>
      <c r="BC92" s="49">
        <f t="shared" ref="BC92:BD92" si="633">SUM(AS92,AU92,AW92,AY92,BA92)</f>
        <v>5</v>
      </c>
      <c r="BD92" s="50">
        <f t="shared" si="633"/>
        <v>10</v>
      </c>
      <c r="BE92" s="68">
        <f t="shared" ref="BE92:BF92" si="634">SUM(E92,G92,I92,O92,Q92,AC92,AQ92,BC92)</f>
        <v>20</v>
      </c>
      <c r="BF92" s="69">
        <f t="shared" si="634"/>
        <v>40</v>
      </c>
      <c r="BG92" s="46" t="str">
        <f>BF92*'ОВгП_РАО'!$B$18</f>
        <v>#REF!</v>
      </c>
      <c r="BH92" s="46" t="str">
        <f>'ОВгП_РАО'!$B$18</f>
        <v>#REF!</v>
      </c>
    </row>
    <row r="93" ht="15.75" customHeight="1">
      <c r="A93" s="80">
        <f t="shared" si="559"/>
        <v>46263</v>
      </c>
      <c r="B93" s="129" t="s">
        <v>138</v>
      </c>
      <c r="C93" s="47" t="s">
        <v>122</v>
      </c>
      <c r="D93" s="47" t="s">
        <v>139</v>
      </c>
      <c r="E93" s="73">
        <f t="shared" si="510"/>
        <v>1</v>
      </c>
      <c r="F93" s="50">
        <f t="shared" si="511"/>
        <v>1</v>
      </c>
      <c r="G93" s="73">
        <f t="shared" si="512"/>
        <v>0</v>
      </c>
      <c r="H93" s="50">
        <f t="shared" si="513"/>
        <v>0</v>
      </c>
      <c r="I93" s="73">
        <f t="shared" si="514"/>
        <v>1</v>
      </c>
      <c r="J93" s="50">
        <f t="shared" si="515"/>
        <v>1</v>
      </c>
      <c r="K93" s="53">
        <f t="shared" si="516"/>
        <v>1</v>
      </c>
      <c r="L93" s="54">
        <f t="shared" si="517"/>
        <v>1</v>
      </c>
      <c r="M93" s="53">
        <f t="shared" si="518"/>
        <v>1</v>
      </c>
      <c r="N93" s="54">
        <f t="shared" si="519"/>
        <v>3</v>
      </c>
      <c r="O93" s="49">
        <f t="shared" ref="O93:P93" si="635">SUM(K93,M93)</f>
        <v>2</v>
      </c>
      <c r="P93" s="50">
        <f t="shared" si="635"/>
        <v>4</v>
      </c>
      <c r="Q93" s="73">
        <f t="shared" si="521"/>
        <v>1</v>
      </c>
      <c r="R93" s="50">
        <f t="shared" si="522"/>
        <v>2</v>
      </c>
      <c r="S93" s="53">
        <f t="shared" si="523"/>
        <v>1</v>
      </c>
      <c r="T93" s="54">
        <f t="shared" si="524"/>
        <v>1</v>
      </c>
      <c r="U93" s="53">
        <f t="shared" si="525"/>
        <v>1</v>
      </c>
      <c r="V93" s="54">
        <f t="shared" si="526"/>
        <v>3</v>
      </c>
      <c r="W93" s="53">
        <f t="shared" si="527"/>
        <v>0</v>
      </c>
      <c r="X93" s="54">
        <f t="shared" si="528"/>
        <v>0</v>
      </c>
      <c r="Y93" s="53">
        <f t="shared" si="529"/>
        <v>1</v>
      </c>
      <c r="Z93" s="54">
        <f t="shared" si="530"/>
        <v>1</v>
      </c>
      <c r="AA93" s="53">
        <f t="shared" si="531"/>
        <v>2</v>
      </c>
      <c r="AB93" s="54">
        <f t="shared" si="532"/>
        <v>4</v>
      </c>
      <c r="AC93" s="49">
        <f t="shared" ref="AC93:AD93" si="636">SUM(S93,U93,W93,Y93,AA93)</f>
        <v>5</v>
      </c>
      <c r="AD93" s="50">
        <f t="shared" si="636"/>
        <v>9</v>
      </c>
      <c r="AE93" s="53">
        <f t="shared" si="534"/>
        <v>2</v>
      </c>
      <c r="AF93" s="54">
        <f t="shared" si="535"/>
        <v>4</v>
      </c>
      <c r="AG93" s="53">
        <f t="shared" si="536"/>
        <v>1</v>
      </c>
      <c r="AH93" s="54">
        <f t="shared" si="537"/>
        <v>1</v>
      </c>
      <c r="AI93" s="53">
        <f t="shared" si="538"/>
        <v>0</v>
      </c>
      <c r="AJ93" s="54">
        <f t="shared" si="539"/>
        <v>0</v>
      </c>
      <c r="AK93" s="53">
        <f t="shared" si="540"/>
        <v>2</v>
      </c>
      <c r="AL93" s="54">
        <f t="shared" si="541"/>
        <v>4</v>
      </c>
      <c r="AM93" s="53">
        <f t="shared" si="542"/>
        <v>1</v>
      </c>
      <c r="AN93" s="54">
        <f t="shared" si="543"/>
        <v>3</v>
      </c>
      <c r="AO93" s="53">
        <f t="shared" si="544"/>
        <v>1</v>
      </c>
      <c r="AP93" s="54">
        <f t="shared" si="545"/>
        <v>3</v>
      </c>
      <c r="AQ93" s="49">
        <f t="shared" ref="AQ93:AR93" si="637">SUM(AG93,AI93,AK93,AM93,AO93)</f>
        <v>5</v>
      </c>
      <c r="AR93" s="50">
        <f t="shared" si="637"/>
        <v>11</v>
      </c>
      <c r="AS93" s="53">
        <f t="shared" si="547"/>
        <v>2</v>
      </c>
      <c r="AT93" s="54">
        <f t="shared" si="548"/>
        <v>4</v>
      </c>
      <c r="AU93" s="53">
        <f t="shared" si="549"/>
        <v>0</v>
      </c>
      <c r="AV93" s="54">
        <f t="shared" si="550"/>
        <v>0</v>
      </c>
      <c r="AW93" s="53">
        <f t="shared" si="551"/>
        <v>2</v>
      </c>
      <c r="AX93" s="54">
        <f t="shared" si="552"/>
        <v>4</v>
      </c>
      <c r="AY93" s="53">
        <f t="shared" si="553"/>
        <v>1</v>
      </c>
      <c r="AZ93" s="54">
        <f t="shared" si="554"/>
        <v>3</v>
      </c>
      <c r="BA93" s="53">
        <f t="shared" si="555"/>
        <v>1</v>
      </c>
      <c r="BB93" s="54">
        <f t="shared" si="556"/>
        <v>2</v>
      </c>
      <c r="BC93" s="49">
        <f t="shared" ref="BC93:BD93" si="638">SUM(AS93,AU93,AW93,AY93,BA93)</f>
        <v>6</v>
      </c>
      <c r="BD93" s="50">
        <f t="shared" si="638"/>
        <v>13</v>
      </c>
      <c r="BE93" s="68">
        <f t="shared" ref="BE93:BF93" si="639">SUM(E93,G93,I93,O93,Q93,AC93,AQ93,BC93)</f>
        <v>21</v>
      </c>
      <c r="BF93" s="69">
        <f t="shared" si="639"/>
        <v>41</v>
      </c>
      <c r="BG93" s="46" t="str">
        <f>BF93*'ОВгП_РАО'!$B$19</f>
        <v>#REF!</v>
      </c>
      <c r="BH93" s="46" t="str">
        <f>'ОВгП_РАО'!$B$19</f>
        <v>#REF!</v>
      </c>
    </row>
    <row r="94" ht="15.75" customHeight="1">
      <c r="A94" s="80">
        <f t="shared" si="559"/>
        <v>46263</v>
      </c>
      <c r="B94" s="129" t="s">
        <v>140</v>
      </c>
      <c r="C94" s="47" t="s">
        <v>122</v>
      </c>
      <c r="D94" s="47" t="s">
        <v>139</v>
      </c>
      <c r="E94" s="73">
        <f t="shared" si="510"/>
        <v>2</v>
      </c>
      <c r="F94" s="50">
        <f t="shared" si="511"/>
        <v>4</v>
      </c>
      <c r="G94" s="73">
        <f t="shared" si="512"/>
        <v>0</v>
      </c>
      <c r="H94" s="50">
        <f t="shared" si="513"/>
        <v>0</v>
      </c>
      <c r="I94" s="73">
        <f t="shared" si="514"/>
        <v>0</v>
      </c>
      <c r="J94" s="50">
        <f t="shared" si="515"/>
        <v>0</v>
      </c>
      <c r="K94" s="53">
        <f t="shared" si="516"/>
        <v>1</v>
      </c>
      <c r="L94" s="54">
        <f t="shared" si="517"/>
        <v>2</v>
      </c>
      <c r="M94" s="53">
        <f t="shared" si="518"/>
        <v>1</v>
      </c>
      <c r="N94" s="54">
        <f t="shared" si="519"/>
        <v>1</v>
      </c>
      <c r="O94" s="49">
        <f t="shared" ref="O94:P94" si="640">SUM(K94,M94)</f>
        <v>2</v>
      </c>
      <c r="P94" s="50">
        <f t="shared" si="640"/>
        <v>3</v>
      </c>
      <c r="Q94" s="73">
        <f t="shared" si="521"/>
        <v>1</v>
      </c>
      <c r="R94" s="50">
        <f t="shared" si="522"/>
        <v>2</v>
      </c>
      <c r="S94" s="53">
        <f t="shared" si="523"/>
        <v>0</v>
      </c>
      <c r="T94" s="54">
        <f t="shared" si="524"/>
        <v>0</v>
      </c>
      <c r="U94" s="53">
        <f t="shared" si="525"/>
        <v>1</v>
      </c>
      <c r="V94" s="54">
        <f t="shared" si="526"/>
        <v>3</v>
      </c>
      <c r="W94" s="53">
        <f t="shared" si="527"/>
        <v>2</v>
      </c>
      <c r="X94" s="54">
        <f t="shared" si="528"/>
        <v>4</v>
      </c>
      <c r="Y94" s="53">
        <f t="shared" si="529"/>
        <v>1</v>
      </c>
      <c r="Z94" s="54">
        <f t="shared" si="530"/>
        <v>2</v>
      </c>
      <c r="AA94" s="53">
        <f t="shared" si="531"/>
        <v>1</v>
      </c>
      <c r="AB94" s="54">
        <f t="shared" si="532"/>
        <v>2</v>
      </c>
      <c r="AC94" s="49">
        <f t="shared" ref="AC94:AD94" si="641">SUM(S94,U94,W94,Y94,AA94)</f>
        <v>5</v>
      </c>
      <c r="AD94" s="50">
        <f t="shared" si="641"/>
        <v>11</v>
      </c>
      <c r="AE94" s="53">
        <f t="shared" si="534"/>
        <v>1</v>
      </c>
      <c r="AF94" s="54">
        <f t="shared" si="535"/>
        <v>2</v>
      </c>
      <c r="AG94" s="53">
        <f t="shared" si="536"/>
        <v>1</v>
      </c>
      <c r="AH94" s="54">
        <f t="shared" si="537"/>
        <v>2</v>
      </c>
      <c r="AI94" s="53">
        <f t="shared" si="538"/>
        <v>1</v>
      </c>
      <c r="AJ94" s="54">
        <f t="shared" si="539"/>
        <v>3</v>
      </c>
      <c r="AK94" s="53">
        <f t="shared" si="540"/>
        <v>2</v>
      </c>
      <c r="AL94" s="54">
        <f t="shared" si="541"/>
        <v>4</v>
      </c>
      <c r="AM94" s="53">
        <f t="shared" si="542"/>
        <v>1</v>
      </c>
      <c r="AN94" s="54">
        <f t="shared" si="543"/>
        <v>1</v>
      </c>
      <c r="AO94" s="53">
        <f t="shared" si="544"/>
        <v>0</v>
      </c>
      <c r="AP94" s="54">
        <f t="shared" si="545"/>
        <v>0</v>
      </c>
      <c r="AQ94" s="49">
        <f t="shared" ref="AQ94:AR94" si="642">SUM(AG94,AI94,AK94,AM94,AO94)</f>
        <v>5</v>
      </c>
      <c r="AR94" s="50">
        <f t="shared" si="642"/>
        <v>10</v>
      </c>
      <c r="AS94" s="53">
        <f t="shared" si="547"/>
        <v>1</v>
      </c>
      <c r="AT94" s="54">
        <f t="shared" si="548"/>
        <v>1</v>
      </c>
      <c r="AU94" s="53">
        <f t="shared" si="549"/>
        <v>1</v>
      </c>
      <c r="AV94" s="54">
        <f t="shared" si="550"/>
        <v>1</v>
      </c>
      <c r="AW94" s="53">
        <f t="shared" si="551"/>
        <v>2</v>
      </c>
      <c r="AX94" s="54">
        <f t="shared" si="552"/>
        <v>4</v>
      </c>
      <c r="AY94" s="53">
        <f t="shared" si="553"/>
        <v>0</v>
      </c>
      <c r="AZ94" s="54">
        <f t="shared" si="554"/>
        <v>0</v>
      </c>
      <c r="BA94" s="53">
        <f t="shared" si="555"/>
        <v>1</v>
      </c>
      <c r="BB94" s="54">
        <f t="shared" si="556"/>
        <v>2</v>
      </c>
      <c r="BC94" s="49">
        <f t="shared" ref="BC94:BD94" si="643">SUM(AS94,AU94,AW94,AY94,BA94)</f>
        <v>5</v>
      </c>
      <c r="BD94" s="50">
        <f t="shared" si="643"/>
        <v>8</v>
      </c>
      <c r="BE94" s="68">
        <f t="shared" ref="BE94:BF94" si="644">SUM(E94,G94,I94,O94,Q94,AC94,AQ94,BC94)</f>
        <v>20</v>
      </c>
      <c r="BF94" s="69">
        <f t="shared" si="644"/>
        <v>38</v>
      </c>
      <c r="BG94" s="46" t="str">
        <f>BF94*'ОВгП_РАО'!$B$20</f>
        <v>#REF!</v>
      </c>
      <c r="BH94" s="46" t="str">
        <f>'ОВгП_РАО'!$B$20</f>
        <v>#REF!</v>
      </c>
    </row>
    <row r="95" ht="15.75" customHeight="1">
      <c r="A95" s="80">
        <f t="shared" si="559"/>
        <v>46263</v>
      </c>
      <c r="B95" s="129" t="s">
        <v>141</v>
      </c>
      <c r="C95" s="47" t="s">
        <v>122</v>
      </c>
      <c r="D95" s="47" t="s">
        <v>139</v>
      </c>
      <c r="E95" s="73">
        <f t="shared" si="510"/>
        <v>0</v>
      </c>
      <c r="F95" s="50">
        <f t="shared" si="511"/>
        <v>0</v>
      </c>
      <c r="G95" s="73">
        <f t="shared" si="512"/>
        <v>1</v>
      </c>
      <c r="H95" s="50">
        <f t="shared" si="513"/>
        <v>1</v>
      </c>
      <c r="I95" s="73">
        <f t="shared" si="514"/>
        <v>0</v>
      </c>
      <c r="J95" s="50">
        <f t="shared" si="515"/>
        <v>0</v>
      </c>
      <c r="K95" s="53">
        <f t="shared" si="516"/>
        <v>1</v>
      </c>
      <c r="L95" s="54">
        <f t="shared" si="517"/>
        <v>2</v>
      </c>
      <c r="M95" s="53">
        <f t="shared" si="518"/>
        <v>2</v>
      </c>
      <c r="N95" s="54">
        <f t="shared" si="519"/>
        <v>4</v>
      </c>
      <c r="O95" s="49">
        <f t="shared" ref="O95:P95" si="645">SUM(K95,M95)</f>
        <v>3</v>
      </c>
      <c r="P95" s="50">
        <f t="shared" si="645"/>
        <v>6</v>
      </c>
      <c r="Q95" s="73">
        <f t="shared" si="521"/>
        <v>0</v>
      </c>
      <c r="R95" s="50">
        <f t="shared" si="522"/>
        <v>0</v>
      </c>
      <c r="S95" s="53">
        <f t="shared" si="523"/>
        <v>1</v>
      </c>
      <c r="T95" s="54">
        <f t="shared" si="524"/>
        <v>2</v>
      </c>
      <c r="U95" s="53">
        <f t="shared" si="525"/>
        <v>1</v>
      </c>
      <c r="V95" s="54">
        <f t="shared" si="526"/>
        <v>3</v>
      </c>
      <c r="W95" s="53">
        <f t="shared" si="527"/>
        <v>1</v>
      </c>
      <c r="X95" s="54">
        <f t="shared" si="528"/>
        <v>1</v>
      </c>
      <c r="Y95" s="53">
        <f t="shared" si="529"/>
        <v>1</v>
      </c>
      <c r="Z95" s="54">
        <f t="shared" si="530"/>
        <v>2</v>
      </c>
      <c r="AA95" s="53">
        <f t="shared" si="531"/>
        <v>1</v>
      </c>
      <c r="AB95" s="54">
        <f t="shared" si="532"/>
        <v>1</v>
      </c>
      <c r="AC95" s="49">
        <f t="shared" ref="AC95:AD95" si="646">SUM(S95,U95,W95,Y95,AA95)</f>
        <v>5</v>
      </c>
      <c r="AD95" s="50">
        <f t="shared" si="646"/>
        <v>9</v>
      </c>
      <c r="AE95" s="53">
        <f t="shared" si="534"/>
        <v>0</v>
      </c>
      <c r="AF95" s="54">
        <f t="shared" si="535"/>
        <v>0</v>
      </c>
      <c r="AG95" s="53">
        <f t="shared" si="536"/>
        <v>1</v>
      </c>
      <c r="AH95" s="54">
        <f t="shared" si="537"/>
        <v>1</v>
      </c>
      <c r="AI95" s="53">
        <f t="shared" si="538"/>
        <v>2</v>
      </c>
      <c r="AJ95" s="54">
        <f t="shared" si="539"/>
        <v>4</v>
      </c>
      <c r="AK95" s="53">
        <f t="shared" si="540"/>
        <v>2</v>
      </c>
      <c r="AL95" s="54">
        <f t="shared" si="541"/>
        <v>4</v>
      </c>
      <c r="AM95" s="53">
        <f t="shared" si="542"/>
        <v>1</v>
      </c>
      <c r="AN95" s="54">
        <f t="shared" si="543"/>
        <v>2</v>
      </c>
      <c r="AO95" s="53">
        <f t="shared" si="544"/>
        <v>1</v>
      </c>
      <c r="AP95" s="54">
        <f t="shared" si="545"/>
        <v>1</v>
      </c>
      <c r="AQ95" s="49">
        <f t="shared" ref="AQ95:AR95" si="647">SUM(AG95,AI95,AK95,AM95,AO95)</f>
        <v>7</v>
      </c>
      <c r="AR95" s="50">
        <f t="shared" si="647"/>
        <v>12</v>
      </c>
      <c r="AS95" s="53">
        <f t="shared" si="547"/>
        <v>1</v>
      </c>
      <c r="AT95" s="54">
        <f t="shared" si="548"/>
        <v>1</v>
      </c>
      <c r="AU95" s="53">
        <f t="shared" si="549"/>
        <v>1</v>
      </c>
      <c r="AV95" s="54">
        <f t="shared" si="550"/>
        <v>3</v>
      </c>
      <c r="AW95" s="53">
        <f t="shared" si="551"/>
        <v>1</v>
      </c>
      <c r="AX95" s="54">
        <f t="shared" si="552"/>
        <v>1</v>
      </c>
      <c r="AY95" s="53">
        <f t="shared" si="553"/>
        <v>1</v>
      </c>
      <c r="AZ95" s="54">
        <f t="shared" si="554"/>
        <v>1</v>
      </c>
      <c r="BA95" s="53">
        <f t="shared" si="555"/>
        <v>1</v>
      </c>
      <c r="BB95" s="54">
        <f t="shared" si="556"/>
        <v>1</v>
      </c>
      <c r="BC95" s="49">
        <f t="shared" ref="BC95:BD95" si="648">SUM(AS95,AU95,AW95,AY95,BA95)</f>
        <v>5</v>
      </c>
      <c r="BD95" s="50">
        <f t="shared" si="648"/>
        <v>7</v>
      </c>
      <c r="BE95" s="68">
        <f t="shared" ref="BE95:BF95" si="649">SUM(E95,G95,I95,O95,Q95,AC95,AQ95,BC95)</f>
        <v>21</v>
      </c>
      <c r="BF95" s="69">
        <f t="shared" si="649"/>
        <v>35</v>
      </c>
      <c r="BG95" s="46" t="str">
        <f>BF95*'ОВгП_РАО'!$B$21</f>
        <v>#REF!</v>
      </c>
      <c r="BH95" s="46" t="str">
        <f>'ОВгП_РАО'!$B$21</f>
        <v>#REF!</v>
      </c>
    </row>
    <row r="96" ht="15.75" customHeight="1">
      <c r="A96" s="80">
        <f t="shared" si="559"/>
        <v>46263</v>
      </c>
      <c r="B96" s="47" t="s">
        <v>142</v>
      </c>
      <c r="C96" s="46" t="s">
        <v>96</v>
      </c>
      <c r="D96" s="47" t="s">
        <v>98</v>
      </c>
      <c r="E96" s="73">
        <f t="shared" si="510"/>
        <v>2</v>
      </c>
      <c r="F96" s="50">
        <f t="shared" si="511"/>
        <v>4</v>
      </c>
      <c r="G96" s="73">
        <f t="shared" si="512"/>
        <v>1</v>
      </c>
      <c r="H96" s="50">
        <f t="shared" si="513"/>
        <v>3</v>
      </c>
      <c r="I96" s="73">
        <f t="shared" si="514"/>
        <v>1</v>
      </c>
      <c r="J96" s="50">
        <f t="shared" si="515"/>
        <v>1</v>
      </c>
      <c r="K96" s="53">
        <f t="shared" si="516"/>
        <v>1</v>
      </c>
      <c r="L96" s="54">
        <f t="shared" si="517"/>
        <v>1</v>
      </c>
      <c r="M96" s="53">
        <f t="shared" si="518"/>
        <v>0</v>
      </c>
      <c r="N96" s="54">
        <f t="shared" si="519"/>
        <v>0</v>
      </c>
      <c r="O96" s="49">
        <f t="shared" ref="O96:P96" si="650">SUM(K96,M96)</f>
        <v>1</v>
      </c>
      <c r="P96" s="50">
        <f t="shared" si="650"/>
        <v>1</v>
      </c>
      <c r="Q96" s="73">
        <f t="shared" si="521"/>
        <v>1</v>
      </c>
      <c r="R96" s="50">
        <f t="shared" si="522"/>
        <v>1</v>
      </c>
      <c r="S96" s="53">
        <f t="shared" si="523"/>
        <v>1</v>
      </c>
      <c r="T96" s="54">
        <f t="shared" si="524"/>
        <v>2</v>
      </c>
      <c r="U96" s="53">
        <f t="shared" si="525"/>
        <v>1</v>
      </c>
      <c r="V96" s="54">
        <f t="shared" si="526"/>
        <v>2</v>
      </c>
      <c r="W96" s="53">
        <f t="shared" si="527"/>
        <v>1</v>
      </c>
      <c r="X96" s="54">
        <f t="shared" si="528"/>
        <v>1</v>
      </c>
      <c r="Y96" s="53">
        <f t="shared" si="529"/>
        <v>1</v>
      </c>
      <c r="Z96" s="54">
        <f t="shared" si="530"/>
        <v>1</v>
      </c>
      <c r="AA96" s="53">
        <f t="shared" si="531"/>
        <v>1</v>
      </c>
      <c r="AB96" s="54">
        <f t="shared" si="532"/>
        <v>3</v>
      </c>
      <c r="AC96" s="49">
        <f t="shared" ref="AC96:AD96" si="651">SUM(S96,U96,W96,Y96,AA96)</f>
        <v>5</v>
      </c>
      <c r="AD96" s="50">
        <f t="shared" si="651"/>
        <v>9</v>
      </c>
      <c r="AE96" s="53">
        <f t="shared" si="534"/>
        <v>1</v>
      </c>
      <c r="AF96" s="54">
        <f t="shared" si="535"/>
        <v>2</v>
      </c>
      <c r="AG96" s="53">
        <f t="shared" si="536"/>
        <v>1</v>
      </c>
      <c r="AH96" s="54">
        <f t="shared" si="537"/>
        <v>2</v>
      </c>
      <c r="AI96" s="53">
        <f t="shared" si="538"/>
        <v>2</v>
      </c>
      <c r="AJ96" s="54">
        <f t="shared" si="539"/>
        <v>4</v>
      </c>
      <c r="AK96" s="53">
        <f t="shared" si="540"/>
        <v>0</v>
      </c>
      <c r="AL96" s="54">
        <f t="shared" si="541"/>
        <v>0</v>
      </c>
      <c r="AM96" s="53">
        <f t="shared" si="542"/>
        <v>2</v>
      </c>
      <c r="AN96" s="54">
        <f t="shared" si="543"/>
        <v>4</v>
      </c>
      <c r="AO96" s="53">
        <f t="shared" si="544"/>
        <v>1</v>
      </c>
      <c r="AP96" s="54">
        <f t="shared" si="545"/>
        <v>2</v>
      </c>
      <c r="AQ96" s="49">
        <f t="shared" ref="AQ96:AR96" si="652">SUM(AG96,AI96,AK96,AM96,AO96)</f>
        <v>6</v>
      </c>
      <c r="AR96" s="50">
        <f t="shared" si="652"/>
        <v>12</v>
      </c>
      <c r="AS96" s="53">
        <f t="shared" si="547"/>
        <v>2</v>
      </c>
      <c r="AT96" s="54">
        <f t="shared" si="548"/>
        <v>4</v>
      </c>
      <c r="AU96" s="53">
        <f t="shared" si="549"/>
        <v>1</v>
      </c>
      <c r="AV96" s="54">
        <f t="shared" si="550"/>
        <v>1</v>
      </c>
      <c r="AW96" s="53">
        <f t="shared" si="551"/>
        <v>1</v>
      </c>
      <c r="AX96" s="54">
        <f t="shared" si="552"/>
        <v>3</v>
      </c>
      <c r="AY96" s="53">
        <f t="shared" si="553"/>
        <v>0</v>
      </c>
      <c r="AZ96" s="54">
        <f t="shared" si="554"/>
        <v>0</v>
      </c>
      <c r="BA96" s="53">
        <f t="shared" si="555"/>
        <v>2</v>
      </c>
      <c r="BB96" s="54">
        <f t="shared" si="556"/>
        <v>4</v>
      </c>
      <c r="BC96" s="49">
        <f t="shared" ref="BC96:BD96" si="653">SUM(AS96,AU96,AW96,AY96,BA96)</f>
        <v>6</v>
      </c>
      <c r="BD96" s="50">
        <f t="shared" si="653"/>
        <v>12</v>
      </c>
      <c r="BE96" s="68">
        <f t="shared" ref="BE96:BF96" si="654">SUM(E96,G96,I96,O96,Q96,AC96,AQ96,BC96)</f>
        <v>23</v>
      </c>
      <c r="BF96" s="69">
        <f t="shared" si="654"/>
        <v>43</v>
      </c>
      <c r="BG96" s="46" t="str">
        <f>BF96*'ОВгП_РАО'!$B$22</f>
        <v>#REF!</v>
      </c>
      <c r="BH96" s="46" t="str">
        <f>'ОВгП_РАО'!$B$22</f>
        <v>#REF!</v>
      </c>
    </row>
    <row r="97" ht="15.75" customHeight="1">
      <c r="A97" s="80">
        <f t="shared" si="559"/>
        <v>46263</v>
      </c>
      <c r="B97" s="47" t="s">
        <v>143</v>
      </c>
      <c r="C97" s="46" t="s">
        <v>96</v>
      </c>
      <c r="D97" s="47" t="s">
        <v>98</v>
      </c>
      <c r="E97" s="73">
        <f t="shared" si="510"/>
        <v>1</v>
      </c>
      <c r="F97" s="50">
        <f t="shared" si="511"/>
        <v>2</v>
      </c>
      <c r="G97" s="73">
        <f t="shared" si="512"/>
        <v>1</v>
      </c>
      <c r="H97" s="50">
        <f t="shared" si="513"/>
        <v>2</v>
      </c>
      <c r="I97" s="73">
        <f t="shared" si="514"/>
        <v>1</v>
      </c>
      <c r="J97" s="50">
        <f t="shared" si="515"/>
        <v>2</v>
      </c>
      <c r="K97" s="53">
        <f t="shared" si="516"/>
        <v>2</v>
      </c>
      <c r="L97" s="54">
        <f t="shared" si="517"/>
        <v>4</v>
      </c>
      <c r="M97" s="53">
        <f t="shared" si="518"/>
        <v>1</v>
      </c>
      <c r="N97" s="54">
        <f t="shared" si="519"/>
        <v>1</v>
      </c>
      <c r="O97" s="49">
        <f t="shared" ref="O97:P97" si="655">SUM(K97,M97)</f>
        <v>3</v>
      </c>
      <c r="P97" s="50">
        <f t="shared" si="655"/>
        <v>5</v>
      </c>
      <c r="Q97" s="73">
        <f t="shared" si="521"/>
        <v>1</v>
      </c>
      <c r="R97" s="50">
        <f t="shared" si="522"/>
        <v>1</v>
      </c>
      <c r="S97" s="53">
        <f t="shared" si="523"/>
        <v>1</v>
      </c>
      <c r="T97" s="54">
        <f t="shared" si="524"/>
        <v>1</v>
      </c>
      <c r="U97" s="53">
        <f t="shared" si="525"/>
        <v>1</v>
      </c>
      <c r="V97" s="54">
        <f t="shared" si="526"/>
        <v>2</v>
      </c>
      <c r="W97" s="53">
        <f t="shared" si="527"/>
        <v>1</v>
      </c>
      <c r="X97" s="54">
        <f t="shared" si="528"/>
        <v>2</v>
      </c>
      <c r="Y97" s="53">
        <f t="shared" si="529"/>
        <v>1</v>
      </c>
      <c r="Z97" s="54">
        <f t="shared" si="530"/>
        <v>3</v>
      </c>
      <c r="AA97" s="53">
        <f t="shared" si="531"/>
        <v>1</v>
      </c>
      <c r="AB97" s="54">
        <f t="shared" si="532"/>
        <v>3</v>
      </c>
      <c r="AC97" s="49">
        <f t="shared" ref="AC97:AD97" si="656">SUM(S97,U97,W97,Y97,AA97)</f>
        <v>5</v>
      </c>
      <c r="AD97" s="50">
        <f t="shared" si="656"/>
        <v>11</v>
      </c>
      <c r="AE97" s="53">
        <f t="shared" si="534"/>
        <v>2</v>
      </c>
      <c r="AF97" s="54">
        <f t="shared" si="535"/>
        <v>4</v>
      </c>
      <c r="AG97" s="53">
        <f t="shared" si="536"/>
        <v>1</v>
      </c>
      <c r="AH97" s="54">
        <f t="shared" si="537"/>
        <v>1</v>
      </c>
      <c r="AI97" s="53">
        <f t="shared" si="538"/>
        <v>1</v>
      </c>
      <c r="AJ97" s="54">
        <f t="shared" si="539"/>
        <v>1</v>
      </c>
      <c r="AK97" s="53">
        <f t="shared" si="540"/>
        <v>1</v>
      </c>
      <c r="AL97" s="54">
        <f t="shared" si="541"/>
        <v>2</v>
      </c>
      <c r="AM97" s="53">
        <f t="shared" si="542"/>
        <v>1</v>
      </c>
      <c r="AN97" s="54">
        <f t="shared" si="543"/>
        <v>2</v>
      </c>
      <c r="AO97" s="53">
        <f t="shared" si="544"/>
        <v>0</v>
      </c>
      <c r="AP97" s="54">
        <f t="shared" si="545"/>
        <v>0</v>
      </c>
      <c r="AQ97" s="49">
        <f t="shared" ref="AQ97:AR97" si="657">SUM(AG97,AI97,AK97,AM97,AO97)</f>
        <v>4</v>
      </c>
      <c r="AR97" s="50">
        <f t="shared" si="657"/>
        <v>6</v>
      </c>
      <c r="AS97" s="53">
        <f t="shared" si="547"/>
        <v>2</v>
      </c>
      <c r="AT97" s="54">
        <f t="shared" si="548"/>
        <v>4</v>
      </c>
      <c r="AU97" s="53">
        <f t="shared" si="549"/>
        <v>0</v>
      </c>
      <c r="AV97" s="54">
        <f t="shared" si="550"/>
        <v>0</v>
      </c>
      <c r="AW97" s="53">
        <f t="shared" si="551"/>
        <v>1</v>
      </c>
      <c r="AX97" s="54">
        <f t="shared" si="552"/>
        <v>3</v>
      </c>
      <c r="AY97" s="53">
        <f t="shared" si="553"/>
        <v>0</v>
      </c>
      <c r="AZ97" s="54">
        <f t="shared" si="554"/>
        <v>0</v>
      </c>
      <c r="BA97" s="53">
        <f t="shared" si="555"/>
        <v>2</v>
      </c>
      <c r="BB97" s="54">
        <f t="shared" si="556"/>
        <v>4</v>
      </c>
      <c r="BC97" s="49">
        <f t="shared" ref="BC97:BD97" si="658">SUM(AS97,AU97,AW97,AY97,BA97)</f>
        <v>5</v>
      </c>
      <c r="BD97" s="50">
        <f t="shared" si="658"/>
        <v>11</v>
      </c>
      <c r="BE97" s="68">
        <f t="shared" ref="BE97:BF97" si="659">SUM(E97,G97,I97,O97,Q97,AC97,AQ97,BC97)</f>
        <v>21</v>
      </c>
      <c r="BF97" s="69">
        <f t="shared" si="659"/>
        <v>40</v>
      </c>
      <c r="BG97" s="46" t="str">
        <f>BF97*'ОВгП_РАО'!$B$23</f>
        <v>#REF!</v>
      </c>
      <c r="BH97" s="46" t="str">
        <f>'ОВгП_РАО'!$B$23</f>
        <v>#REF!</v>
      </c>
    </row>
    <row r="98" ht="15.75" customHeight="1">
      <c r="A98" s="80">
        <f t="shared" si="559"/>
        <v>46263</v>
      </c>
      <c r="B98" s="47" t="s">
        <v>144</v>
      </c>
      <c r="C98" s="46" t="s">
        <v>96</v>
      </c>
      <c r="D98" s="47" t="s">
        <v>145</v>
      </c>
      <c r="E98" s="73">
        <f t="shared" si="510"/>
        <v>2</v>
      </c>
      <c r="F98" s="50">
        <f t="shared" si="511"/>
        <v>4</v>
      </c>
      <c r="G98" s="73">
        <f t="shared" si="512"/>
        <v>2</v>
      </c>
      <c r="H98" s="50">
        <f t="shared" si="513"/>
        <v>4</v>
      </c>
      <c r="I98" s="73">
        <f t="shared" si="514"/>
        <v>1</v>
      </c>
      <c r="J98" s="50">
        <f t="shared" si="515"/>
        <v>2</v>
      </c>
      <c r="K98" s="53">
        <f t="shared" si="516"/>
        <v>1</v>
      </c>
      <c r="L98" s="54">
        <f t="shared" si="517"/>
        <v>3</v>
      </c>
      <c r="M98" s="53">
        <f t="shared" si="518"/>
        <v>1</v>
      </c>
      <c r="N98" s="54">
        <f t="shared" si="519"/>
        <v>3</v>
      </c>
      <c r="O98" s="49">
        <f t="shared" ref="O98:P98" si="660">SUM(K98,M98)</f>
        <v>2</v>
      </c>
      <c r="P98" s="50">
        <f t="shared" si="660"/>
        <v>6</v>
      </c>
      <c r="Q98" s="73">
        <f t="shared" si="521"/>
        <v>1</v>
      </c>
      <c r="R98" s="50">
        <f t="shared" si="522"/>
        <v>2</v>
      </c>
      <c r="S98" s="53">
        <f t="shared" si="523"/>
        <v>0</v>
      </c>
      <c r="T98" s="54">
        <f t="shared" si="524"/>
        <v>0</v>
      </c>
      <c r="U98" s="53">
        <f t="shared" si="525"/>
        <v>2</v>
      </c>
      <c r="V98" s="54">
        <f t="shared" si="526"/>
        <v>4</v>
      </c>
      <c r="W98" s="53">
        <f t="shared" si="527"/>
        <v>1</v>
      </c>
      <c r="X98" s="54">
        <f t="shared" si="528"/>
        <v>3</v>
      </c>
      <c r="Y98" s="53">
        <f t="shared" si="529"/>
        <v>1</v>
      </c>
      <c r="Z98" s="54">
        <f t="shared" si="530"/>
        <v>3</v>
      </c>
      <c r="AA98" s="53">
        <f t="shared" si="531"/>
        <v>0</v>
      </c>
      <c r="AB98" s="54">
        <f t="shared" si="532"/>
        <v>0</v>
      </c>
      <c r="AC98" s="49">
        <f t="shared" ref="AC98:AD98" si="661">SUM(S98,U98,W98,Y98,AA98)</f>
        <v>4</v>
      </c>
      <c r="AD98" s="50">
        <f t="shared" si="661"/>
        <v>10</v>
      </c>
      <c r="AE98" s="53">
        <f t="shared" si="534"/>
        <v>1</v>
      </c>
      <c r="AF98" s="54">
        <f t="shared" si="535"/>
        <v>3</v>
      </c>
      <c r="AG98" s="53">
        <f t="shared" si="536"/>
        <v>1</v>
      </c>
      <c r="AH98" s="54">
        <f t="shared" si="537"/>
        <v>2</v>
      </c>
      <c r="AI98" s="53">
        <f t="shared" si="538"/>
        <v>1</v>
      </c>
      <c r="AJ98" s="54">
        <f t="shared" si="539"/>
        <v>3</v>
      </c>
      <c r="AK98" s="53">
        <f t="shared" si="540"/>
        <v>1</v>
      </c>
      <c r="AL98" s="54">
        <f t="shared" si="541"/>
        <v>1</v>
      </c>
      <c r="AM98" s="53">
        <f t="shared" si="542"/>
        <v>1</v>
      </c>
      <c r="AN98" s="54">
        <f t="shared" si="543"/>
        <v>1</v>
      </c>
      <c r="AO98" s="53">
        <f t="shared" si="544"/>
        <v>0</v>
      </c>
      <c r="AP98" s="54">
        <f t="shared" si="545"/>
        <v>0</v>
      </c>
      <c r="AQ98" s="49">
        <f t="shared" ref="AQ98:AR98" si="662">SUM(AG98,AI98,AK98,AM98,AO98)</f>
        <v>4</v>
      </c>
      <c r="AR98" s="50">
        <f t="shared" si="662"/>
        <v>7</v>
      </c>
      <c r="AS98" s="53">
        <f t="shared" si="547"/>
        <v>1</v>
      </c>
      <c r="AT98" s="54">
        <f t="shared" si="548"/>
        <v>1</v>
      </c>
      <c r="AU98" s="53">
        <f t="shared" si="549"/>
        <v>1</v>
      </c>
      <c r="AV98" s="54">
        <f t="shared" si="550"/>
        <v>1</v>
      </c>
      <c r="AW98" s="53">
        <f t="shared" si="551"/>
        <v>2</v>
      </c>
      <c r="AX98" s="54">
        <f t="shared" si="552"/>
        <v>4</v>
      </c>
      <c r="AY98" s="53">
        <f t="shared" si="553"/>
        <v>0</v>
      </c>
      <c r="AZ98" s="54">
        <f t="shared" si="554"/>
        <v>0</v>
      </c>
      <c r="BA98" s="53">
        <f t="shared" si="555"/>
        <v>1</v>
      </c>
      <c r="BB98" s="54">
        <f t="shared" si="556"/>
        <v>3</v>
      </c>
      <c r="BC98" s="49">
        <f t="shared" ref="BC98:BD98" si="663">SUM(AS98,AU98,AW98,AY98,BA98)</f>
        <v>5</v>
      </c>
      <c r="BD98" s="50">
        <f t="shared" si="663"/>
        <v>9</v>
      </c>
      <c r="BE98" s="68">
        <f t="shared" ref="BE98:BF98" si="664">SUM(E98,G98,I98,O98,Q98,AC98,AQ98,BC98)</f>
        <v>21</v>
      </c>
      <c r="BF98" s="69">
        <f t="shared" si="664"/>
        <v>44</v>
      </c>
      <c r="BG98" s="46" t="str">
        <f>BF98*'ОВгП_РАО'!$B$24</f>
        <v>#REF!</v>
      </c>
      <c r="BH98" s="46" t="str">
        <f>'ОВгП_РАО'!$B$24</f>
        <v>#REF!</v>
      </c>
    </row>
    <row r="99" ht="15.75" customHeight="1">
      <c r="A99" s="80">
        <f t="shared" si="559"/>
        <v>46263</v>
      </c>
      <c r="B99" s="47" t="s">
        <v>146</v>
      </c>
      <c r="C99" s="46" t="s">
        <v>96</v>
      </c>
      <c r="D99" s="47" t="s">
        <v>145</v>
      </c>
      <c r="E99" s="73">
        <f t="shared" si="510"/>
        <v>1</v>
      </c>
      <c r="F99" s="50">
        <f t="shared" si="511"/>
        <v>1</v>
      </c>
      <c r="G99" s="73">
        <f t="shared" si="512"/>
        <v>1</v>
      </c>
      <c r="H99" s="50">
        <f t="shared" si="513"/>
        <v>2</v>
      </c>
      <c r="I99" s="73">
        <f t="shared" si="514"/>
        <v>1</v>
      </c>
      <c r="J99" s="50">
        <f t="shared" si="515"/>
        <v>3</v>
      </c>
      <c r="K99" s="53">
        <f t="shared" si="516"/>
        <v>1</v>
      </c>
      <c r="L99" s="54">
        <f t="shared" si="517"/>
        <v>1</v>
      </c>
      <c r="M99" s="53">
        <f t="shared" si="518"/>
        <v>1</v>
      </c>
      <c r="N99" s="54">
        <f t="shared" si="519"/>
        <v>2</v>
      </c>
      <c r="O99" s="49">
        <f t="shared" ref="O99:P99" si="665">SUM(K99,M99)</f>
        <v>2</v>
      </c>
      <c r="P99" s="50">
        <f t="shared" si="665"/>
        <v>3</v>
      </c>
      <c r="Q99" s="73">
        <f t="shared" si="521"/>
        <v>1</v>
      </c>
      <c r="R99" s="50">
        <f t="shared" si="522"/>
        <v>1</v>
      </c>
      <c r="S99" s="53">
        <f t="shared" si="523"/>
        <v>1</v>
      </c>
      <c r="T99" s="54">
        <f t="shared" si="524"/>
        <v>2</v>
      </c>
      <c r="U99" s="53">
        <f t="shared" si="525"/>
        <v>0</v>
      </c>
      <c r="V99" s="54">
        <f t="shared" si="526"/>
        <v>0</v>
      </c>
      <c r="W99" s="53">
        <f t="shared" si="527"/>
        <v>1</v>
      </c>
      <c r="X99" s="54">
        <f t="shared" si="528"/>
        <v>1</v>
      </c>
      <c r="Y99" s="53">
        <f t="shared" si="529"/>
        <v>0</v>
      </c>
      <c r="Z99" s="54">
        <f t="shared" si="530"/>
        <v>0</v>
      </c>
      <c r="AA99" s="53">
        <f t="shared" si="531"/>
        <v>1</v>
      </c>
      <c r="AB99" s="54">
        <f t="shared" si="532"/>
        <v>1</v>
      </c>
      <c r="AC99" s="49">
        <f t="shared" ref="AC99:AD99" si="666">SUM(S99,U99,W99,Y99,AA99)</f>
        <v>3</v>
      </c>
      <c r="AD99" s="50">
        <f t="shared" si="666"/>
        <v>4</v>
      </c>
      <c r="AE99" s="53">
        <f t="shared" si="534"/>
        <v>2</v>
      </c>
      <c r="AF99" s="54">
        <f t="shared" si="535"/>
        <v>4</v>
      </c>
      <c r="AG99" s="53">
        <f t="shared" si="536"/>
        <v>1</v>
      </c>
      <c r="AH99" s="54">
        <f t="shared" si="537"/>
        <v>2</v>
      </c>
      <c r="AI99" s="53">
        <f t="shared" si="538"/>
        <v>1</v>
      </c>
      <c r="AJ99" s="54">
        <f t="shared" si="539"/>
        <v>1</v>
      </c>
      <c r="AK99" s="53">
        <f t="shared" si="540"/>
        <v>0</v>
      </c>
      <c r="AL99" s="54">
        <f t="shared" si="541"/>
        <v>0</v>
      </c>
      <c r="AM99" s="53">
        <f t="shared" si="542"/>
        <v>0</v>
      </c>
      <c r="AN99" s="54">
        <f t="shared" si="543"/>
        <v>0</v>
      </c>
      <c r="AO99" s="53">
        <f t="shared" si="544"/>
        <v>1</v>
      </c>
      <c r="AP99" s="54">
        <f t="shared" si="545"/>
        <v>3</v>
      </c>
      <c r="AQ99" s="49">
        <f t="shared" ref="AQ99:AR99" si="667">SUM(AG99,AI99,AK99,AM99,AO99)</f>
        <v>3</v>
      </c>
      <c r="AR99" s="50">
        <f t="shared" si="667"/>
        <v>6</v>
      </c>
      <c r="AS99" s="53">
        <f t="shared" si="547"/>
        <v>1</v>
      </c>
      <c r="AT99" s="54">
        <f t="shared" si="548"/>
        <v>1</v>
      </c>
      <c r="AU99" s="53">
        <f t="shared" si="549"/>
        <v>1</v>
      </c>
      <c r="AV99" s="54">
        <f t="shared" si="550"/>
        <v>3</v>
      </c>
      <c r="AW99" s="53">
        <f t="shared" si="551"/>
        <v>1</v>
      </c>
      <c r="AX99" s="54">
        <f t="shared" si="552"/>
        <v>2</v>
      </c>
      <c r="AY99" s="53">
        <f t="shared" si="553"/>
        <v>2</v>
      </c>
      <c r="AZ99" s="54">
        <f t="shared" si="554"/>
        <v>4</v>
      </c>
      <c r="BA99" s="53">
        <f t="shared" si="555"/>
        <v>1</v>
      </c>
      <c r="BB99" s="54">
        <f t="shared" si="556"/>
        <v>1</v>
      </c>
      <c r="BC99" s="49">
        <f t="shared" ref="BC99:BD99" si="668">SUM(AS99,AU99,AW99,AY99,BA99)</f>
        <v>6</v>
      </c>
      <c r="BD99" s="50">
        <f t="shared" si="668"/>
        <v>11</v>
      </c>
      <c r="BE99" s="68">
        <f t="shared" ref="BE99:BF99" si="669">SUM(E99,G99,I99,O99,Q99,AC99,AQ99,BC99)</f>
        <v>18</v>
      </c>
      <c r="BF99" s="69">
        <f t="shared" si="669"/>
        <v>31</v>
      </c>
      <c r="BG99" s="46" t="str">
        <f>BF99*'ОВгП_РАО'!$B$25</f>
        <v>#REF!</v>
      </c>
      <c r="BH99" s="46" t="str">
        <f>'ОВгП_РАО'!$B$25</f>
        <v>#REF!</v>
      </c>
    </row>
    <row r="100" ht="15.75" customHeight="1">
      <c r="A100" s="80">
        <f t="shared" si="559"/>
        <v>46263</v>
      </c>
      <c r="B100" s="47" t="s">
        <v>147</v>
      </c>
      <c r="C100" s="46" t="s">
        <v>96</v>
      </c>
      <c r="D100" s="47" t="s">
        <v>148</v>
      </c>
      <c r="E100" s="73">
        <f t="shared" si="510"/>
        <v>1</v>
      </c>
      <c r="F100" s="50">
        <f t="shared" si="511"/>
        <v>3</v>
      </c>
      <c r="G100" s="73">
        <f t="shared" si="512"/>
        <v>2</v>
      </c>
      <c r="H100" s="50">
        <f t="shared" si="513"/>
        <v>4</v>
      </c>
      <c r="I100" s="73">
        <f t="shared" si="514"/>
        <v>0</v>
      </c>
      <c r="J100" s="50">
        <f t="shared" si="515"/>
        <v>0</v>
      </c>
      <c r="K100" s="53">
        <f t="shared" si="516"/>
        <v>1</v>
      </c>
      <c r="L100" s="54">
        <f t="shared" si="517"/>
        <v>2</v>
      </c>
      <c r="M100" s="53">
        <f t="shared" si="518"/>
        <v>1</v>
      </c>
      <c r="N100" s="54">
        <f t="shared" si="519"/>
        <v>3</v>
      </c>
      <c r="O100" s="49">
        <f t="shared" ref="O100:P100" si="670">SUM(K100,M100)</f>
        <v>2</v>
      </c>
      <c r="P100" s="50">
        <f t="shared" si="670"/>
        <v>5</v>
      </c>
      <c r="Q100" s="73">
        <f t="shared" si="521"/>
        <v>0</v>
      </c>
      <c r="R100" s="50">
        <f t="shared" si="522"/>
        <v>0</v>
      </c>
      <c r="S100" s="53">
        <f t="shared" si="523"/>
        <v>1</v>
      </c>
      <c r="T100" s="54">
        <f t="shared" si="524"/>
        <v>1</v>
      </c>
      <c r="U100" s="53">
        <f t="shared" si="525"/>
        <v>0</v>
      </c>
      <c r="V100" s="54">
        <f t="shared" si="526"/>
        <v>0</v>
      </c>
      <c r="W100" s="53">
        <f t="shared" si="527"/>
        <v>1</v>
      </c>
      <c r="X100" s="54">
        <f t="shared" si="528"/>
        <v>1</v>
      </c>
      <c r="Y100" s="53">
        <f t="shared" si="529"/>
        <v>1</v>
      </c>
      <c r="Z100" s="54">
        <f t="shared" si="530"/>
        <v>2</v>
      </c>
      <c r="AA100" s="53">
        <f t="shared" si="531"/>
        <v>1</v>
      </c>
      <c r="AB100" s="54">
        <f t="shared" si="532"/>
        <v>2</v>
      </c>
      <c r="AC100" s="49">
        <f t="shared" ref="AC100:AD100" si="671">SUM(S100,U100,W100,Y100,AA100)</f>
        <v>4</v>
      </c>
      <c r="AD100" s="50">
        <f t="shared" si="671"/>
        <v>6</v>
      </c>
      <c r="AE100" s="53">
        <f t="shared" si="534"/>
        <v>0</v>
      </c>
      <c r="AF100" s="54">
        <f t="shared" si="535"/>
        <v>0</v>
      </c>
      <c r="AG100" s="53">
        <f t="shared" si="536"/>
        <v>1</v>
      </c>
      <c r="AH100" s="54">
        <f t="shared" si="537"/>
        <v>2</v>
      </c>
      <c r="AI100" s="53">
        <f t="shared" si="538"/>
        <v>0</v>
      </c>
      <c r="AJ100" s="54">
        <f t="shared" si="539"/>
        <v>0</v>
      </c>
      <c r="AK100" s="53">
        <f t="shared" si="540"/>
        <v>1</v>
      </c>
      <c r="AL100" s="54">
        <f t="shared" si="541"/>
        <v>2</v>
      </c>
      <c r="AM100" s="53">
        <f t="shared" si="542"/>
        <v>0</v>
      </c>
      <c r="AN100" s="54">
        <f t="shared" si="543"/>
        <v>0</v>
      </c>
      <c r="AO100" s="53">
        <f t="shared" si="544"/>
        <v>0</v>
      </c>
      <c r="AP100" s="54">
        <f t="shared" si="545"/>
        <v>0</v>
      </c>
      <c r="AQ100" s="49">
        <f t="shared" ref="AQ100:AR100" si="672">SUM(AG100,AI100,AK100,AM100,AO100)</f>
        <v>2</v>
      </c>
      <c r="AR100" s="50">
        <f t="shared" si="672"/>
        <v>4</v>
      </c>
      <c r="AS100" s="53">
        <f t="shared" si="547"/>
        <v>1</v>
      </c>
      <c r="AT100" s="54">
        <f t="shared" si="548"/>
        <v>3</v>
      </c>
      <c r="AU100" s="53">
        <f t="shared" si="549"/>
        <v>2</v>
      </c>
      <c r="AV100" s="54">
        <f t="shared" si="550"/>
        <v>4</v>
      </c>
      <c r="AW100" s="53">
        <f t="shared" si="551"/>
        <v>1</v>
      </c>
      <c r="AX100" s="54">
        <f t="shared" si="552"/>
        <v>3</v>
      </c>
      <c r="AY100" s="53">
        <f t="shared" si="553"/>
        <v>2</v>
      </c>
      <c r="AZ100" s="54">
        <f t="shared" si="554"/>
        <v>4</v>
      </c>
      <c r="BA100" s="53">
        <f t="shared" si="555"/>
        <v>1</v>
      </c>
      <c r="BB100" s="54">
        <f t="shared" si="556"/>
        <v>2</v>
      </c>
      <c r="BC100" s="49">
        <f t="shared" ref="BC100:BD100" si="673">SUM(AS100,AU100,AW100,AY100,BA100)</f>
        <v>7</v>
      </c>
      <c r="BD100" s="50">
        <f t="shared" si="673"/>
        <v>16</v>
      </c>
      <c r="BE100" s="68">
        <f t="shared" ref="BE100:BF100" si="674">SUM(E100,G100,I100,O100,Q100,AC100,AQ100,BC100)</f>
        <v>18</v>
      </c>
      <c r="BF100" s="69">
        <f t="shared" si="674"/>
        <v>38</v>
      </c>
      <c r="BG100" s="46" t="str">
        <f>BF100*'ОВгП_РАО'!$B$26</f>
        <v>#REF!</v>
      </c>
      <c r="BH100" s="46" t="str">
        <f>'ОВгП_РАО'!$B$26</f>
        <v>#REF!</v>
      </c>
    </row>
    <row r="101" ht="15.75" customHeight="1">
      <c r="A101" s="80">
        <f t="shared" si="559"/>
        <v>46263</v>
      </c>
      <c r="B101" s="47" t="s">
        <v>149</v>
      </c>
      <c r="C101" s="47" t="s">
        <v>122</v>
      </c>
      <c r="D101" s="47" t="s">
        <v>150</v>
      </c>
      <c r="E101" s="73">
        <f t="shared" si="510"/>
        <v>1</v>
      </c>
      <c r="F101" s="50">
        <f t="shared" si="511"/>
        <v>2</v>
      </c>
      <c r="G101" s="73">
        <f t="shared" si="512"/>
        <v>1</v>
      </c>
      <c r="H101" s="50">
        <f t="shared" si="513"/>
        <v>3</v>
      </c>
      <c r="I101" s="73">
        <f t="shared" si="514"/>
        <v>1</v>
      </c>
      <c r="J101" s="50">
        <f t="shared" si="515"/>
        <v>3</v>
      </c>
      <c r="K101" s="53">
        <f t="shared" si="516"/>
        <v>1</v>
      </c>
      <c r="L101" s="54">
        <f t="shared" si="517"/>
        <v>1</v>
      </c>
      <c r="M101" s="53">
        <f t="shared" si="518"/>
        <v>1</v>
      </c>
      <c r="N101" s="54">
        <f t="shared" si="519"/>
        <v>1</v>
      </c>
      <c r="O101" s="49">
        <f t="shared" ref="O101:P101" si="675">SUM(K101,M101)</f>
        <v>2</v>
      </c>
      <c r="P101" s="50">
        <f t="shared" si="675"/>
        <v>2</v>
      </c>
      <c r="Q101" s="73">
        <f t="shared" si="521"/>
        <v>1</v>
      </c>
      <c r="R101" s="50">
        <f t="shared" si="522"/>
        <v>1</v>
      </c>
      <c r="S101" s="53">
        <f t="shared" si="523"/>
        <v>2</v>
      </c>
      <c r="T101" s="54">
        <f t="shared" si="524"/>
        <v>4</v>
      </c>
      <c r="U101" s="53">
        <f t="shared" si="525"/>
        <v>1</v>
      </c>
      <c r="V101" s="54">
        <f t="shared" si="526"/>
        <v>3</v>
      </c>
      <c r="W101" s="53">
        <f t="shared" si="527"/>
        <v>1</v>
      </c>
      <c r="X101" s="54">
        <f t="shared" si="528"/>
        <v>2</v>
      </c>
      <c r="Y101" s="53">
        <f t="shared" si="529"/>
        <v>1</v>
      </c>
      <c r="Z101" s="54">
        <f t="shared" si="530"/>
        <v>3</v>
      </c>
      <c r="AA101" s="53">
        <f t="shared" si="531"/>
        <v>1</v>
      </c>
      <c r="AB101" s="54">
        <f t="shared" si="532"/>
        <v>1</v>
      </c>
      <c r="AC101" s="49">
        <f t="shared" ref="AC101:AD101" si="676">SUM(S101,U101,W101,Y101,AA101)</f>
        <v>6</v>
      </c>
      <c r="AD101" s="50">
        <f t="shared" si="676"/>
        <v>13</v>
      </c>
      <c r="AE101" s="53">
        <f t="shared" si="534"/>
        <v>1</v>
      </c>
      <c r="AF101" s="54">
        <f t="shared" si="535"/>
        <v>2</v>
      </c>
      <c r="AG101" s="53">
        <f t="shared" si="536"/>
        <v>0</v>
      </c>
      <c r="AH101" s="54">
        <f t="shared" si="537"/>
        <v>0</v>
      </c>
      <c r="AI101" s="53">
        <f t="shared" si="538"/>
        <v>1</v>
      </c>
      <c r="AJ101" s="54">
        <f t="shared" si="539"/>
        <v>2</v>
      </c>
      <c r="AK101" s="53">
        <f t="shared" si="540"/>
        <v>1</v>
      </c>
      <c r="AL101" s="54">
        <f t="shared" si="541"/>
        <v>3</v>
      </c>
      <c r="AM101" s="53">
        <f t="shared" si="542"/>
        <v>1</v>
      </c>
      <c r="AN101" s="54">
        <f t="shared" si="543"/>
        <v>3</v>
      </c>
      <c r="AO101" s="53">
        <f t="shared" si="544"/>
        <v>2</v>
      </c>
      <c r="AP101" s="54">
        <f t="shared" si="545"/>
        <v>4</v>
      </c>
      <c r="AQ101" s="49">
        <f t="shared" ref="AQ101:AR101" si="677">SUM(AG101,AI101,AK101,AM101,AO101)</f>
        <v>5</v>
      </c>
      <c r="AR101" s="50">
        <f t="shared" si="677"/>
        <v>12</v>
      </c>
      <c r="AS101" s="53">
        <f t="shared" si="547"/>
        <v>2</v>
      </c>
      <c r="AT101" s="54">
        <f t="shared" si="548"/>
        <v>4</v>
      </c>
      <c r="AU101" s="53">
        <f t="shared" si="549"/>
        <v>1</v>
      </c>
      <c r="AV101" s="54">
        <f t="shared" si="550"/>
        <v>1</v>
      </c>
      <c r="AW101" s="53">
        <f t="shared" si="551"/>
        <v>1</v>
      </c>
      <c r="AX101" s="54">
        <f t="shared" si="552"/>
        <v>1</v>
      </c>
      <c r="AY101" s="53">
        <f t="shared" si="553"/>
        <v>1</v>
      </c>
      <c r="AZ101" s="54">
        <f t="shared" si="554"/>
        <v>1</v>
      </c>
      <c r="BA101" s="53">
        <f t="shared" si="555"/>
        <v>2</v>
      </c>
      <c r="BB101" s="54">
        <f t="shared" si="556"/>
        <v>4</v>
      </c>
      <c r="BC101" s="49">
        <f t="shared" ref="BC101:BD101" si="678">SUM(AS101,AU101,AW101,AY101,BA101)</f>
        <v>7</v>
      </c>
      <c r="BD101" s="50">
        <f t="shared" si="678"/>
        <v>11</v>
      </c>
      <c r="BE101" s="68">
        <f t="shared" ref="BE101:BF101" si="679">SUM(E101,G101,I101,O101,Q101,AC101,AQ101,BC101)</f>
        <v>24</v>
      </c>
      <c r="BF101" s="69">
        <f t="shared" si="679"/>
        <v>47</v>
      </c>
      <c r="BG101" s="46" t="str">
        <f>BF101*'ОВгП_РАО'!$B$27</f>
        <v>#REF!</v>
      </c>
      <c r="BH101" s="46" t="str">
        <f>'ОВгП_РАО'!$B$27</f>
        <v>#REF!</v>
      </c>
    </row>
    <row r="102" ht="15.75" customHeight="1">
      <c r="A102" s="80">
        <f t="shared" si="559"/>
        <v>46263</v>
      </c>
      <c r="B102" s="47" t="s">
        <v>151</v>
      </c>
      <c r="C102" s="47" t="s">
        <v>122</v>
      </c>
      <c r="D102" s="47" t="s">
        <v>152</v>
      </c>
      <c r="E102" s="73">
        <f t="shared" si="510"/>
        <v>32</v>
      </c>
      <c r="F102" s="50">
        <f t="shared" ref="F102:F110" si="685">RANDBETWEEN(0,100)</f>
        <v>94</v>
      </c>
      <c r="G102" s="73">
        <f t="shared" si="512"/>
        <v>17</v>
      </c>
      <c r="H102" s="50">
        <f t="shared" ref="H102:H110" si="686">RANDBETWEEN(0,100)</f>
        <v>51</v>
      </c>
      <c r="I102" s="73">
        <f t="shared" si="514"/>
        <v>3</v>
      </c>
      <c r="J102" s="50">
        <f t="shared" ref="J102:J110" si="687">RANDBETWEEN(0,100)</f>
        <v>9</v>
      </c>
      <c r="K102" s="53">
        <f t="shared" si="516"/>
        <v>21</v>
      </c>
      <c r="L102" s="54">
        <f t="shared" ref="L102:L110" si="688">RANDBETWEEN(0,100)</f>
        <v>63</v>
      </c>
      <c r="M102" s="53">
        <f t="shared" si="518"/>
        <v>28</v>
      </c>
      <c r="N102" s="54">
        <f t="shared" ref="N102:N110" si="689">RANDBETWEEN(0,100)</f>
        <v>84</v>
      </c>
      <c r="O102" s="49">
        <f t="shared" ref="O102:P102" si="680">SUM(K102,M102)</f>
        <v>49</v>
      </c>
      <c r="P102" s="50">
        <f t="shared" si="680"/>
        <v>147</v>
      </c>
      <c r="Q102" s="73">
        <f t="shared" si="521"/>
        <v>25</v>
      </c>
      <c r="R102" s="50">
        <f t="shared" ref="R102:R110" si="691">RANDBETWEEN(0,100)</f>
        <v>74</v>
      </c>
      <c r="S102" s="53">
        <f t="shared" si="523"/>
        <v>36</v>
      </c>
      <c r="T102" s="54">
        <f t="shared" ref="T102:T110" si="692">RANDBETWEEN(0,300)</f>
        <v>106</v>
      </c>
      <c r="U102" s="53">
        <f t="shared" si="525"/>
        <v>35</v>
      </c>
      <c r="V102" s="54">
        <f t="shared" ref="V102:V110" si="693">RANDBETWEEN(0,300)</f>
        <v>104</v>
      </c>
      <c r="W102" s="53">
        <f t="shared" si="527"/>
        <v>16</v>
      </c>
      <c r="X102" s="54">
        <f t="shared" ref="X102:X110" si="694">RANDBETWEEN(0,300)</f>
        <v>47</v>
      </c>
      <c r="Y102" s="53">
        <f t="shared" si="529"/>
        <v>48</v>
      </c>
      <c r="Z102" s="54">
        <f t="shared" ref="Z102:Z110" si="695">RANDBETWEEN(0,300)</f>
        <v>143</v>
      </c>
      <c r="AA102" s="53">
        <f t="shared" si="531"/>
        <v>91</v>
      </c>
      <c r="AB102" s="54">
        <f t="shared" ref="AB102:AB110" si="696">RANDBETWEEN(0,300)</f>
        <v>272</v>
      </c>
      <c r="AC102" s="49">
        <f t="shared" ref="AC102:AD102" si="681">SUM(S102,U102,W102,Y102,AA102)</f>
        <v>226</v>
      </c>
      <c r="AD102" s="50">
        <f t="shared" si="681"/>
        <v>672</v>
      </c>
      <c r="AE102" s="53">
        <f t="shared" si="534"/>
        <v>141</v>
      </c>
      <c r="AF102" s="54">
        <f>RANDBETWEEN(100,500)</f>
        <v>421</v>
      </c>
      <c r="AG102" s="53">
        <f t="shared" si="536"/>
        <v>80</v>
      </c>
      <c r="AH102" s="54">
        <f>RANDBETWEEN(100,500)</f>
        <v>240</v>
      </c>
      <c r="AI102" s="53">
        <f t="shared" si="538"/>
        <v>118</v>
      </c>
      <c r="AJ102" s="54">
        <f>RANDBETWEEN(100,500)</f>
        <v>354</v>
      </c>
      <c r="AK102" s="53">
        <f t="shared" si="540"/>
        <v>75</v>
      </c>
      <c r="AL102" s="54">
        <f>RANDBETWEEN(100,500)</f>
        <v>223</v>
      </c>
      <c r="AM102" s="53">
        <f t="shared" si="542"/>
        <v>133</v>
      </c>
      <c r="AN102" s="54">
        <f>RANDBETWEEN(100,500)</f>
        <v>397</v>
      </c>
      <c r="AO102" s="53">
        <f t="shared" si="544"/>
        <v>133</v>
      </c>
      <c r="AP102" s="54">
        <f>RANDBETWEEN(100,500)</f>
        <v>399</v>
      </c>
      <c r="AQ102" s="49">
        <f t="shared" ref="AQ102:AR102" si="682">SUM(AG102,AI102,AK102,AM102,AO102)</f>
        <v>539</v>
      </c>
      <c r="AR102" s="50">
        <f t="shared" si="682"/>
        <v>1613</v>
      </c>
      <c r="AS102" s="53">
        <f t="shared" si="547"/>
        <v>109</v>
      </c>
      <c r="AT102" s="54">
        <f>RANDBETWEEN(100,500)</f>
        <v>326</v>
      </c>
      <c r="AU102" s="53">
        <f t="shared" si="549"/>
        <v>145</v>
      </c>
      <c r="AV102" s="54">
        <f>RANDBETWEEN(100,500)</f>
        <v>435</v>
      </c>
      <c r="AW102" s="53">
        <f t="shared" si="551"/>
        <v>106</v>
      </c>
      <c r="AX102" s="54">
        <f>RANDBETWEEN(100,500)</f>
        <v>317</v>
      </c>
      <c r="AY102" s="53">
        <f t="shared" si="553"/>
        <v>76</v>
      </c>
      <c r="AZ102" s="54">
        <f>RANDBETWEEN(100,500)</f>
        <v>227</v>
      </c>
      <c r="BA102" s="53">
        <f t="shared" si="555"/>
        <v>66</v>
      </c>
      <c r="BB102" s="54">
        <f>RANDBETWEEN(100,500)</f>
        <v>196</v>
      </c>
      <c r="BC102" s="49">
        <f t="shared" ref="BC102:BD102" si="683">SUM(AS102,AU102,AW102,AY102,BA102)</f>
        <v>502</v>
      </c>
      <c r="BD102" s="50">
        <f t="shared" si="683"/>
        <v>1501</v>
      </c>
      <c r="BE102" s="68">
        <f t="shared" ref="BE102:BF102" si="684">SUM(E102,G102,I102,O102,Q102,AC102,AQ102,BC102)</f>
        <v>1393</v>
      </c>
      <c r="BF102" s="69">
        <f t="shared" si="684"/>
        <v>4161</v>
      </c>
      <c r="BG102" s="46" t="str">
        <f>BF102*'ОВгП_РАО'!$B$28</f>
        <v>#REF!</v>
      </c>
      <c r="BH102" s="46" t="str">
        <f>'ОВгП_РАО'!$B$28</f>
        <v>#REF!</v>
      </c>
    </row>
    <row r="103" ht="15.75" customHeight="1">
      <c r="A103" s="80">
        <f t="shared" si="559"/>
        <v>46263</v>
      </c>
      <c r="B103" s="47" t="s">
        <v>153</v>
      </c>
      <c r="C103" s="47" t="s">
        <v>122</v>
      </c>
      <c r="D103" s="47" t="s">
        <v>152</v>
      </c>
      <c r="E103" s="73">
        <f t="shared" si="510"/>
        <v>6</v>
      </c>
      <c r="F103" s="50">
        <f t="shared" si="685"/>
        <v>16</v>
      </c>
      <c r="G103" s="73">
        <f t="shared" si="512"/>
        <v>28</v>
      </c>
      <c r="H103" s="50">
        <f t="shared" si="686"/>
        <v>83</v>
      </c>
      <c r="I103" s="73">
        <f t="shared" si="514"/>
        <v>0</v>
      </c>
      <c r="J103" s="50">
        <f t="shared" si="687"/>
        <v>0</v>
      </c>
      <c r="K103" s="53">
        <f t="shared" si="516"/>
        <v>11</v>
      </c>
      <c r="L103" s="54">
        <f t="shared" si="688"/>
        <v>33</v>
      </c>
      <c r="M103" s="53">
        <f t="shared" si="518"/>
        <v>5</v>
      </c>
      <c r="N103" s="54">
        <f t="shared" si="689"/>
        <v>15</v>
      </c>
      <c r="O103" s="49">
        <f t="shared" ref="O103:P103" si="690">SUM(K103,M103)</f>
        <v>16</v>
      </c>
      <c r="P103" s="50">
        <f t="shared" si="690"/>
        <v>48</v>
      </c>
      <c r="Q103" s="73">
        <f t="shared" si="521"/>
        <v>13</v>
      </c>
      <c r="R103" s="50">
        <f t="shared" si="691"/>
        <v>38</v>
      </c>
      <c r="S103" s="53">
        <f t="shared" si="523"/>
        <v>78</v>
      </c>
      <c r="T103" s="54">
        <f t="shared" si="692"/>
        <v>234</v>
      </c>
      <c r="U103" s="53">
        <f t="shared" si="525"/>
        <v>32</v>
      </c>
      <c r="V103" s="54">
        <f t="shared" si="693"/>
        <v>96</v>
      </c>
      <c r="W103" s="53">
        <f t="shared" si="527"/>
        <v>16</v>
      </c>
      <c r="X103" s="54">
        <f t="shared" si="694"/>
        <v>47</v>
      </c>
      <c r="Y103" s="53">
        <f t="shared" si="529"/>
        <v>3</v>
      </c>
      <c r="Z103" s="54">
        <f t="shared" si="695"/>
        <v>8</v>
      </c>
      <c r="AA103" s="53">
        <f t="shared" si="531"/>
        <v>30</v>
      </c>
      <c r="AB103" s="54">
        <f t="shared" si="696"/>
        <v>88</v>
      </c>
      <c r="AC103" s="49">
        <f t="shared" ref="AC103:AD103" si="697">SUM(S103,U103,W103,Y103,AA103)</f>
        <v>159</v>
      </c>
      <c r="AD103" s="50">
        <f t="shared" si="697"/>
        <v>473</v>
      </c>
      <c r="AE103" s="53">
        <f t="shared" si="534"/>
        <v>89</v>
      </c>
      <c r="AF103" s="54">
        <f t="shared" ref="AF103:AF110" si="703">RANDBETWEEN(0,300)</f>
        <v>265</v>
      </c>
      <c r="AG103" s="53">
        <f t="shared" si="536"/>
        <v>26</v>
      </c>
      <c r="AH103" s="54">
        <f t="shared" ref="AH103:AH110" si="704">RANDBETWEEN(0,300)</f>
        <v>76</v>
      </c>
      <c r="AI103" s="53">
        <f t="shared" si="538"/>
        <v>13</v>
      </c>
      <c r="AJ103" s="54">
        <f t="shared" ref="AJ103:AJ110" si="705">RANDBETWEEN(0,300)</f>
        <v>37</v>
      </c>
      <c r="AK103" s="53">
        <f t="shared" si="540"/>
        <v>28</v>
      </c>
      <c r="AL103" s="54">
        <f t="shared" ref="AL103:AL110" si="706">RANDBETWEEN(0,300)</f>
        <v>83</v>
      </c>
      <c r="AM103" s="53">
        <f t="shared" si="542"/>
        <v>97</v>
      </c>
      <c r="AN103" s="54">
        <f t="shared" ref="AN103:AN110" si="707">RANDBETWEEN(0,300)</f>
        <v>291</v>
      </c>
      <c r="AO103" s="53">
        <f t="shared" si="544"/>
        <v>52</v>
      </c>
      <c r="AP103" s="54">
        <f t="shared" ref="AP103:AP110" si="708">RANDBETWEEN(0,300)</f>
        <v>154</v>
      </c>
      <c r="AQ103" s="49">
        <f t="shared" ref="AQ103:AR103" si="698">SUM(AG103,AI103,AK103,AM103,AO103)</f>
        <v>216</v>
      </c>
      <c r="AR103" s="50">
        <f t="shared" si="698"/>
        <v>641</v>
      </c>
      <c r="AS103" s="53">
        <f t="shared" si="547"/>
        <v>67</v>
      </c>
      <c r="AT103" s="54">
        <f t="shared" ref="AT103:AT104" si="710">RANDBETWEEN(0,300)</f>
        <v>201</v>
      </c>
      <c r="AU103" s="53">
        <f t="shared" si="549"/>
        <v>40</v>
      </c>
      <c r="AV103" s="54">
        <f t="shared" ref="AV103:AV104" si="711">RANDBETWEEN(0,300)</f>
        <v>120</v>
      </c>
      <c r="AW103" s="53">
        <f t="shared" si="551"/>
        <v>84</v>
      </c>
      <c r="AX103" s="54">
        <f t="shared" ref="AX103:AX104" si="712">RANDBETWEEN(0,300)</f>
        <v>250</v>
      </c>
      <c r="AY103" s="53">
        <f t="shared" si="553"/>
        <v>37</v>
      </c>
      <c r="AZ103" s="54">
        <f t="shared" ref="AZ103:AZ104" si="713">RANDBETWEEN(0,300)</f>
        <v>109</v>
      </c>
      <c r="BA103" s="53">
        <f t="shared" si="555"/>
        <v>5</v>
      </c>
      <c r="BB103" s="54">
        <f t="shared" ref="BB103:BB104" si="714">RANDBETWEEN(0,300)</f>
        <v>13</v>
      </c>
      <c r="BC103" s="49">
        <f t="shared" ref="BC103:BD103" si="699">SUM(AS103,AU103,AW103,AY103,BA103)</f>
        <v>233</v>
      </c>
      <c r="BD103" s="50">
        <f t="shared" si="699"/>
        <v>693</v>
      </c>
      <c r="BE103" s="68">
        <f t="shared" ref="BE103:BF103" si="700">SUM(E103,G103,I103,O103,Q103,AC103,AQ103,BC103)</f>
        <v>671</v>
      </c>
      <c r="BF103" s="69">
        <f t="shared" si="700"/>
        <v>1992</v>
      </c>
      <c r="BG103" s="46" t="str">
        <f>BF103*'ОВгП_РАО'!$B$29</f>
        <v>#REF!</v>
      </c>
      <c r="BH103" s="46" t="str">
        <f>'ОВгП_РАО'!$B$29</f>
        <v>#REF!</v>
      </c>
    </row>
    <row r="104" ht="15.75" customHeight="1">
      <c r="A104" s="80">
        <f t="shared" si="559"/>
        <v>46263</v>
      </c>
      <c r="B104" s="47" t="s">
        <v>154</v>
      </c>
      <c r="C104" s="47" t="s">
        <v>122</v>
      </c>
      <c r="D104" s="47" t="s">
        <v>152</v>
      </c>
      <c r="E104" s="73">
        <f t="shared" si="510"/>
        <v>9</v>
      </c>
      <c r="F104" s="50">
        <f t="shared" si="685"/>
        <v>26</v>
      </c>
      <c r="G104" s="73">
        <f t="shared" si="512"/>
        <v>30</v>
      </c>
      <c r="H104" s="50">
        <f t="shared" si="686"/>
        <v>88</v>
      </c>
      <c r="I104" s="73">
        <f t="shared" si="514"/>
        <v>24</v>
      </c>
      <c r="J104" s="50">
        <f t="shared" si="687"/>
        <v>70</v>
      </c>
      <c r="K104" s="53">
        <f t="shared" si="516"/>
        <v>30</v>
      </c>
      <c r="L104" s="54">
        <f t="shared" si="688"/>
        <v>90</v>
      </c>
      <c r="M104" s="53">
        <f t="shared" si="518"/>
        <v>11</v>
      </c>
      <c r="N104" s="54">
        <f t="shared" si="689"/>
        <v>32</v>
      </c>
      <c r="O104" s="49">
        <f t="shared" ref="O104:P104" si="701">SUM(K104,M104)</f>
        <v>41</v>
      </c>
      <c r="P104" s="50">
        <f t="shared" si="701"/>
        <v>122</v>
      </c>
      <c r="Q104" s="73">
        <f t="shared" si="521"/>
        <v>8</v>
      </c>
      <c r="R104" s="50">
        <f t="shared" si="691"/>
        <v>22</v>
      </c>
      <c r="S104" s="53">
        <f t="shared" si="523"/>
        <v>52</v>
      </c>
      <c r="T104" s="54">
        <f t="shared" si="692"/>
        <v>155</v>
      </c>
      <c r="U104" s="53">
        <f t="shared" si="525"/>
        <v>28</v>
      </c>
      <c r="V104" s="54">
        <f t="shared" si="693"/>
        <v>82</v>
      </c>
      <c r="W104" s="53">
        <f t="shared" si="527"/>
        <v>67</v>
      </c>
      <c r="X104" s="54">
        <f t="shared" si="694"/>
        <v>200</v>
      </c>
      <c r="Y104" s="53">
        <f t="shared" si="529"/>
        <v>33</v>
      </c>
      <c r="Z104" s="54">
        <f t="shared" si="695"/>
        <v>97</v>
      </c>
      <c r="AA104" s="53">
        <f t="shared" si="531"/>
        <v>36</v>
      </c>
      <c r="AB104" s="54">
        <f t="shared" si="696"/>
        <v>107</v>
      </c>
      <c r="AC104" s="49">
        <f t="shared" ref="AC104:AD104" si="702">SUM(S104,U104,W104,Y104,AA104)</f>
        <v>216</v>
      </c>
      <c r="AD104" s="50">
        <f t="shared" si="702"/>
        <v>641</v>
      </c>
      <c r="AE104" s="53">
        <f t="shared" si="534"/>
        <v>94</v>
      </c>
      <c r="AF104" s="54">
        <f t="shared" si="703"/>
        <v>281</v>
      </c>
      <c r="AG104" s="53">
        <f t="shared" si="536"/>
        <v>18</v>
      </c>
      <c r="AH104" s="54">
        <f t="shared" si="704"/>
        <v>54</v>
      </c>
      <c r="AI104" s="53">
        <f t="shared" si="538"/>
        <v>30</v>
      </c>
      <c r="AJ104" s="54">
        <f t="shared" si="705"/>
        <v>88</v>
      </c>
      <c r="AK104" s="53">
        <f t="shared" si="540"/>
        <v>64</v>
      </c>
      <c r="AL104" s="54">
        <f t="shared" si="706"/>
        <v>192</v>
      </c>
      <c r="AM104" s="53">
        <f t="shared" si="542"/>
        <v>11</v>
      </c>
      <c r="AN104" s="54">
        <f t="shared" si="707"/>
        <v>33</v>
      </c>
      <c r="AO104" s="53">
        <f t="shared" si="544"/>
        <v>80</v>
      </c>
      <c r="AP104" s="54">
        <f t="shared" si="708"/>
        <v>238</v>
      </c>
      <c r="AQ104" s="49">
        <f t="shared" ref="AQ104:AR104" si="709">SUM(AG104,AI104,AK104,AM104,AO104)</f>
        <v>203</v>
      </c>
      <c r="AR104" s="50">
        <f t="shared" si="709"/>
        <v>605</v>
      </c>
      <c r="AS104" s="53">
        <f t="shared" si="547"/>
        <v>28</v>
      </c>
      <c r="AT104" s="54">
        <f t="shared" si="710"/>
        <v>84</v>
      </c>
      <c r="AU104" s="53">
        <f t="shared" si="549"/>
        <v>6</v>
      </c>
      <c r="AV104" s="54">
        <f t="shared" si="711"/>
        <v>18</v>
      </c>
      <c r="AW104" s="53">
        <f t="shared" si="551"/>
        <v>12</v>
      </c>
      <c r="AX104" s="54">
        <f t="shared" si="712"/>
        <v>35</v>
      </c>
      <c r="AY104" s="53">
        <f t="shared" si="553"/>
        <v>32</v>
      </c>
      <c r="AZ104" s="54">
        <f t="shared" si="713"/>
        <v>94</v>
      </c>
      <c r="BA104" s="53">
        <f t="shared" si="555"/>
        <v>29</v>
      </c>
      <c r="BB104" s="54">
        <f t="shared" si="714"/>
        <v>85</v>
      </c>
      <c r="BC104" s="49">
        <f t="shared" ref="BC104:BD104" si="715">SUM(AS104,AU104,AW104,AY104,BA104)</f>
        <v>107</v>
      </c>
      <c r="BD104" s="50">
        <f t="shared" si="715"/>
        <v>316</v>
      </c>
      <c r="BE104" s="68">
        <f t="shared" ref="BE104:BF104" si="716">SUM(E104,G104,I104,O104,Q104,AC104,AQ104,BC104)</f>
        <v>638</v>
      </c>
      <c r="BF104" s="69">
        <f t="shared" si="716"/>
        <v>1890</v>
      </c>
      <c r="BG104" s="46" t="str">
        <f>BF104*'ОВгП_РАО'!$B$30</f>
        <v>#REF!</v>
      </c>
      <c r="BH104" s="46" t="str">
        <f>'ОВгП_РАО'!$B$30</f>
        <v>#REF!</v>
      </c>
    </row>
    <row r="105" ht="15.75" customHeight="1">
      <c r="A105" s="80">
        <f t="shared" si="559"/>
        <v>46263</v>
      </c>
      <c r="B105" s="47" t="s">
        <v>155</v>
      </c>
      <c r="C105" s="47" t="s">
        <v>122</v>
      </c>
      <c r="D105" s="47" t="s">
        <v>156</v>
      </c>
      <c r="E105" s="73">
        <f t="shared" si="510"/>
        <v>28</v>
      </c>
      <c r="F105" s="50">
        <f t="shared" si="685"/>
        <v>82</v>
      </c>
      <c r="G105" s="73">
        <f t="shared" si="512"/>
        <v>4</v>
      </c>
      <c r="H105" s="50">
        <f t="shared" si="686"/>
        <v>12</v>
      </c>
      <c r="I105" s="73">
        <f t="shared" si="514"/>
        <v>12</v>
      </c>
      <c r="J105" s="50">
        <f t="shared" si="687"/>
        <v>34</v>
      </c>
      <c r="K105" s="53">
        <f t="shared" si="516"/>
        <v>27</v>
      </c>
      <c r="L105" s="54">
        <f t="shared" si="688"/>
        <v>81</v>
      </c>
      <c r="M105" s="53">
        <f t="shared" si="518"/>
        <v>17</v>
      </c>
      <c r="N105" s="54">
        <f t="shared" si="689"/>
        <v>49</v>
      </c>
      <c r="O105" s="49">
        <f t="shared" ref="O105:P105" si="717">SUM(K105,M105)</f>
        <v>44</v>
      </c>
      <c r="P105" s="50">
        <f t="shared" si="717"/>
        <v>130</v>
      </c>
      <c r="Q105" s="73">
        <f t="shared" si="521"/>
        <v>27</v>
      </c>
      <c r="R105" s="50">
        <f t="shared" si="691"/>
        <v>80</v>
      </c>
      <c r="S105" s="53">
        <f t="shared" si="523"/>
        <v>19</v>
      </c>
      <c r="T105" s="54">
        <f t="shared" si="692"/>
        <v>56</v>
      </c>
      <c r="U105" s="53">
        <f t="shared" si="525"/>
        <v>64</v>
      </c>
      <c r="V105" s="54">
        <f t="shared" si="693"/>
        <v>192</v>
      </c>
      <c r="W105" s="53">
        <f t="shared" si="527"/>
        <v>27</v>
      </c>
      <c r="X105" s="54">
        <f t="shared" si="694"/>
        <v>79</v>
      </c>
      <c r="Y105" s="53">
        <f t="shared" si="529"/>
        <v>58</v>
      </c>
      <c r="Z105" s="54">
        <f t="shared" si="695"/>
        <v>174</v>
      </c>
      <c r="AA105" s="53">
        <f t="shared" si="531"/>
        <v>28</v>
      </c>
      <c r="AB105" s="54">
        <f t="shared" si="696"/>
        <v>84</v>
      </c>
      <c r="AC105" s="49">
        <f t="shared" ref="AC105:AD105" si="718">SUM(S105,U105,W105,Y105,AA105)</f>
        <v>196</v>
      </c>
      <c r="AD105" s="50">
        <f t="shared" si="718"/>
        <v>585</v>
      </c>
      <c r="AE105" s="53">
        <f t="shared" si="534"/>
        <v>46</v>
      </c>
      <c r="AF105" s="54">
        <f t="shared" si="703"/>
        <v>138</v>
      </c>
      <c r="AG105" s="53">
        <f t="shared" si="536"/>
        <v>65</v>
      </c>
      <c r="AH105" s="54">
        <f t="shared" si="704"/>
        <v>195</v>
      </c>
      <c r="AI105" s="53">
        <f t="shared" si="538"/>
        <v>24</v>
      </c>
      <c r="AJ105" s="54">
        <f t="shared" si="705"/>
        <v>70</v>
      </c>
      <c r="AK105" s="53">
        <f t="shared" si="540"/>
        <v>15</v>
      </c>
      <c r="AL105" s="54">
        <f t="shared" si="706"/>
        <v>45</v>
      </c>
      <c r="AM105" s="53">
        <f t="shared" si="542"/>
        <v>3</v>
      </c>
      <c r="AN105" s="54">
        <f t="shared" si="707"/>
        <v>8</v>
      </c>
      <c r="AO105" s="53">
        <f t="shared" si="544"/>
        <v>98</v>
      </c>
      <c r="AP105" s="54">
        <f t="shared" si="708"/>
        <v>293</v>
      </c>
      <c r="AQ105" s="49">
        <f t="shared" ref="AQ105:AR105" si="719">SUM(AG105,AI105,AK105,AM105,AO105)</f>
        <v>205</v>
      </c>
      <c r="AR105" s="50">
        <f t="shared" si="719"/>
        <v>611</v>
      </c>
      <c r="AS105" s="53">
        <f t="shared" si="547"/>
        <v>13</v>
      </c>
      <c r="AT105" s="54">
        <f t="shared" ref="AT105:AT107" si="725">RANDBETWEEN(0,100)</f>
        <v>39</v>
      </c>
      <c r="AU105" s="53">
        <f t="shared" si="549"/>
        <v>33</v>
      </c>
      <c r="AV105" s="54">
        <f t="shared" ref="AV105:AV107" si="726">RANDBETWEEN(0,100)</f>
        <v>99</v>
      </c>
      <c r="AW105" s="53">
        <f t="shared" si="551"/>
        <v>27</v>
      </c>
      <c r="AX105" s="54">
        <f t="shared" ref="AX105:AX107" si="727">RANDBETWEEN(0,100)</f>
        <v>80</v>
      </c>
      <c r="AY105" s="53">
        <f t="shared" si="553"/>
        <v>1</v>
      </c>
      <c r="AZ105" s="54">
        <f t="shared" ref="AZ105:AZ107" si="728">RANDBETWEEN(0,100)</f>
        <v>3</v>
      </c>
      <c r="BA105" s="53">
        <f t="shared" si="555"/>
        <v>23</v>
      </c>
      <c r="BB105" s="54">
        <f t="shared" ref="BB105:BB107" si="729">RANDBETWEEN(0,100)</f>
        <v>69</v>
      </c>
      <c r="BC105" s="49">
        <f t="shared" ref="BC105:BD105" si="720">SUM(AS105,AU105,AW105,AY105,BA105)</f>
        <v>97</v>
      </c>
      <c r="BD105" s="50">
        <f t="shared" si="720"/>
        <v>290</v>
      </c>
      <c r="BE105" s="68">
        <f t="shared" ref="BE105:BF105" si="721">SUM(E105,G105,I105,O105,Q105,AC105,AQ105,BC105)</f>
        <v>613</v>
      </c>
      <c r="BF105" s="69">
        <f t="shared" si="721"/>
        <v>1824</v>
      </c>
      <c r="BG105" s="46" t="str">
        <f>BF105*'ОВгП_РАО'!$B$31</f>
        <v>#REF!</v>
      </c>
      <c r="BH105" s="46" t="str">
        <f>'ОВгП_РАО'!$B$31</f>
        <v>#REF!</v>
      </c>
    </row>
    <row r="106" ht="15.75" customHeight="1">
      <c r="A106" s="80">
        <f t="shared" si="559"/>
        <v>46263</v>
      </c>
      <c r="B106" s="47" t="s">
        <v>158</v>
      </c>
      <c r="C106" s="47" t="s">
        <v>122</v>
      </c>
      <c r="D106" s="47" t="s">
        <v>156</v>
      </c>
      <c r="E106" s="73">
        <f t="shared" si="510"/>
        <v>30</v>
      </c>
      <c r="F106" s="50">
        <f t="shared" si="685"/>
        <v>89</v>
      </c>
      <c r="G106" s="73">
        <f t="shared" si="512"/>
        <v>26</v>
      </c>
      <c r="H106" s="50">
        <f t="shared" si="686"/>
        <v>77</v>
      </c>
      <c r="I106" s="73">
        <f t="shared" si="514"/>
        <v>15</v>
      </c>
      <c r="J106" s="50">
        <f t="shared" si="687"/>
        <v>44</v>
      </c>
      <c r="K106" s="53">
        <f t="shared" si="516"/>
        <v>21</v>
      </c>
      <c r="L106" s="54">
        <f t="shared" si="688"/>
        <v>63</v>
      </c>
      <c r="M106" s="53">
        <f t="shared" si="518"/>
        <v>16</v>
      </c>
      <c r="N106" s="54">
        <f t="shared" si="689"/>
        <v>47</v>
      </c>
      <c r="O106" s="49">
        <f t="shared" ref="O106:P106" si="722">SUM(K106,M106)</f>
        <v>37</v>
      </c>
      <c r="P106" s="50">
        <f t="shared" si="722"/>
        <v>110</v>
      </c>
      <c r="Q106" s="73">
        <f t="shared" si="521"/>
        <v>22</v>
      </c>
      <c r="R106" s="50">
        <f t="shared" si="691"/>
        <v>66</v>
      </c>
      <c r="S106" s="53">
        <f t="shared" si="523"/>
        <v>2</v>
      </c>
      <c r="T106" s="54">
        <f t="shared" si="692"/>
        <v>4</v>
      </c>
      <c r="U106" s="53">
        <f t="shared" si="525"/>
        <v>81</v>
      </c>
      <c r="V106" s="54">
        <f t="shared" si="693"/>
        <v>241</v>
      </c>
      <c r="W106" s="53">
        <f t="shared" si="527"/>
        <v>49</v>
      </c>
      <c r="X106" s="54">
        <f t="shared" si="694"/>
        <v>147</v>
      </c>
      <c r="Y106" s="53">
        <f t="shared" si="529"/>
        <v>76</v>
      </c>
      <c r="Z106" s="54">
        <f t="shared" si="695"/>
        <v>226</v>
      </c>
      <c r="AA106" s="53">
        <f t="shared" si="531"/>
        <v>3</v>
      </c>
      <c r="AB106" s="54">
        <f t="shared" si="696"/>
        <v>7</v>
      </c>
      <c r="AC106" s="49">
        <f t="shared" ref="AC106:AD106" si="723">SUM(S106,U106,W106,Y106,AA106)</f>
        <v>211</v>
      </c>
      <c r="AD106" s="50">
        <f t="shared" si="723"/>
        <v>625</v>
      </c>
      <c r="AE106" s="53">
        <f t="shared" si="534"/>
        <v>71</v>
      </c>
      <c r="AF106" s="54">
        <f t="shared" si="703"/>
        <v>213</v>
      </c>
      <c r="AG106" s="53">
        <f t="shared" si="536"/>
        <v>53</v>
      </c>
      <c r="AH106" s="54">
        <f t="shared" si="704"/>
        <v>159</v>
      </c>
      <c r="AI106" s="53">
        <f t="shared" si="538"/>
        <v>100</v>
      </c>
      <c r="AJ106" s="54">
        <f t="shared" si="705"/>
        <v>299</v>
      </c>
      <c r="AK106" s="53">
        <f t="shared" si="540"/>
        <v>70</v>
      </c>
      <c r="AL106" s="54">
        <f t="shared" si="706"/>
        <v>209</v>
      </c>
      <c r="AM106" s="53">
        <f t="shared" si="542"/>
        <v>73</v>
      </c>
      <c r="AN106" s="54">
        <f t="shared" si="707"/>
        <v>218</v>
      </c>
      <c r="AO106" s="53">
        <f t="shared" si="544"/>
        <v>89</v>
      </c>
      <c r="AP106" s="54">
        <f t="shared" si="708"/>
        <v>266</v>
      </c>
      <c r="AQ106" s="49">
        <f t="shared" ref="AQ106:AR106" si="724">SUM(AG106,AI106,AK106,AM106,AO106)</f>
        <v>385</v>
      </c>
      <c r="AR106" s="50">
        <f t="shared" si="724"/>
        <v>1151</v>
      </c>
      <c r="AS106" s="53">
        <f t="shared" si="547"/>
        <v>30</v>
      </c>
      <c r="AT106" s="54">
        <f t="shared" si="725"/>
        <v>88</v>
      </c>
      <c r="AU106" s="53">
        <f t="shared" si="549"/>
        <v>17</v>
      </c>
      <c r="AV106" s="54">
        <f t="shared" si="726"/>
        <v>50</v>
      </c>
      <c r="AW106" s="53">
        <f t="shared" si="551"/>
        <v>32</v>
      </c>
      <c r="AX106" s="54">
        <f t="shared" si="727"/>
        <v>94</v>
      </c>
      <c r="AY106" s="53">
        <f t="shared" si="553"/>
        <v>12</v>
      </c>
      <c r="AZ106" s="54">
        <f t="shared" si="728"/>
        <v>36</v>
      </c>
      <c r="BA106" s="53">
        <f t="shared" si="555"/>
        <v>4</v>
      </c>
      <c r="BB106" s="54">
        <f t="shared" si="729"/>
        <v>10</v>
      </c>
      <c r="BC106" s="49">
        <f t="shared" ref="BC106:BD106" si="730">SUM(AS106,AU106,AW106,AY106,BA106)</f>
        <v>95</v>
      </c>
      <c r="BD106" s="50">
        <f t="shared" si="730"/>
        <v>278</v>
      </c>
      <c r="BE106" s="68">
        <f t="shared" ref="BE106:BF106" si="731">SUM(E106,G106,I106,O106,Q106,AC106,AQ106,BC106)</f>
        <v>821</v>
      </c>
      <c r="BF106" s="69">
        <f t="shared" si="731"/>
        <v>2440</v>
      </c>
      <c r="BG106" s="46" t="str">
        <f>BF106*'ОВгП_РАО'!$B$32</f>
        <v>#REF!</v>
      </c>
      <c r="BH106" s="46" t="str">
        <f>'ОВгП_РАО'!$B$32</f>
        <v>#REF!</v>
      </c>
    </row>
    <row r="107" ht="15.75" customHeight="1">
      <c r="A107" s="80">
        <f t="shared" si="559"/>
        <v>46263</v>
      </c>
      <c r="B107" s="47" t="s">
        <v>159</v>
      </c>
      <c r="C107" s="47" t="s">
        <v>122</v>
      </c>
      <c r="D107" s="47" t="s">
        <v>156</v>
      </c>
      <c r="E107" s="73">
        <f t="shared" si="510"/>
        <v>29</v>
      </c>
      <c r="F107" s="50">
        <f t="shared" si="685"/>
        <v>87</v>
      </c>
      <c r="G107" s="73">
        <f t="shared" si="512"/>
        <v>31</v>
      </c>
      <c r="H107" s="50">
        <f t="shared" si="686"/>
        <v>93</v>
      </c>
      <c r="I107" s="73">
        <f t="shared" si="514"/>
        <v>5</v>
      </c>
      <c r="J107" s="50">
        <f t="shared" si="687"/>
        <v>13</v>
      </c>
      <c r="K107" s="53">
        <f t="shared" si="516"/>
        <v>17</v>
      </c>
      <c r="L107" s="54">
        <f t="shared" si="688"/>
        <v>51</v>
      </c>
      <c r="M107" s="53">
        <f t="shared" si="518"/>
        <v>1</v>
      </c>
      <c r="N107" s="54">
        <f t="shared" si="689"/>
        <v>1</v>
      </c>
      <c r="O107" s="49">
        <f t="shared" ref="O107:P107" si="732">SUM(K107,M107)</f>
        <v>18</v>
      </c>
      <c r="P107" s="50">
        <f t="shared" si="732"/>
        <v>52</v>
      </c>
      <c r="Q107" s="73">
        <f t="shared" si="521"/>
        <v>3</v>
      </c>
      <c r="R107" s="50">
        <f t="shared" si="691"/>
        <v>9</v>
      </c>
      <c r="S107" s="53">
        <f t="shared" si="523"/>
        <v>20</v>
      </c>
      <c r="T107" s="54">
        <f t="shared" si="692"/>
        <v>59</v>
      </c>
      <c r="U107" s="53">
        <f t="shared" si="525"/>
        <v>51</v>
      </c>
      <c r="V107" s="54">
        <f t="shared" si="693"/>
        <v>152</v>
      </c>
      <c r="W107" s="53">
        <f t="shared" si="527"/>
        <v>1</v>
      </c>
      <c r="X107" s="54">
        <f t="shared" si="694"/>
        <v>2</v>
      </c>
      <c r="Y107" s="53">
        <f t="shared" si="529"/>
        <v>63</v>
      </c>
      <c r="Z107" s="54">
        <f t="shared" si="695"/>
        <v>189</v>
      </c>
      <c r="AA107" s="53">
        <f t="shared" si="531"/>
        <v>36</v>
      </c>
      <c r="AB107" s="54">
        <f t="shared" si="696"/>
        <v>107</v>
      </c>
      <c r="AC107" s="49">
        <f t="shared" ref="AC107:AD107" si="733">SUM(S107,U107,W107,Y107,AA107)</f>
        <v>171</v>
      </c>
      <c r="AD107" s="50">
        <f t="shared" si="733"/>
        <v>509</v>
      </c>
      <c r="AE107" s="53">
        <f t="shared" si="534"/>
        <v>14</v>
      </c>
      <c r="AF107" s="54">
        <f t="shared" si="703"/>
        <v>40</v>
      </c>
      <c r="AG107" s="53">
        <f t="shared" si="536"/>
        <v>63</v>
      </c>
      <c r="AH107" s="54">
        <f t="shared" si="704"/>
        <v>187</v>
      </c>
      <c r="AI107" s="53">
        <f t="shared" si="538"/>
        <v>85</v>
      </c>
      <c r="AJ107" s="54">
        <f t="shared" si="705"/>
        <v>255</v>
      </c>
      <c r="AK107" s="53">
        <f t="shared" si="540"/>
        <v>80</v>
      </c>
      <c r="AL107" s="54">
        <f t="shared" si="706"/>
        <v>240</v>
      </c>
      <c r="AM107" s="53">
        <f t="shared" si="542"/>
        <v>18</v>
      </c>
      <c r="AN107" s="54">
        <f t="shared" si="707"/>
        <v>52</v>
      </c>
      <c r="AO107" s="53">
        <f t="shared" si="544"/>
        <v>52</v>
      </c>
      <c r="AP107" s="54">
        <f t="shared" si="708"/>
        <v>154</v>
      </c>
      <c r="AQ107" s="49">
        <f t="shared" ref="AQ107:AR107" si="734">SUM(AG107,AI107,AK107,AM107,AO107)</f>
        <v>298</v>
      </c>
      <c r="AR107" s="50">
        <f t="shared" si="734"/>
        <v>888</v>
      </c>
      <c r="AS107" s="53">
        <f t="shared" si="547"/>
        <v>26</v>
      </c>
      <c r="AT107" s="54">
        <f t="shared" si="725"/>
        <v>76</v>
      </c>
      <c r="AU107" s="53">
        <f t="shared" si="549"/>
        <v>12</v>
      </c>
      <c r="AV107" s="54">
        <f t="shared" si="726"/>
        <v>35</v>
      </c>
      <c r="AW107" s="53">
        <f t="shared" si="551"/>
        <v>17</v>
      </c>
      <c r="AX107" s="54">
        <f t="shared" si="727"/>
        <v>49</v>
      </c>
      <c r="AY107" s="53">
        <f t="shared" si="553"/>
        <v>4</v>
      </c>
      <c r="AZ107" s="54">
        <f t="shared" si="728"/>
        <v>12</v>
      </c>
      <c r="BA107" s="53">
        <f t="shared" si="555"/>
        <v>9</v>
      </c>
      <c r="BB107" s="54">
        <f t="shared" si="729"/>
        <v>25</v>
      </c>
      <c r="BC107" s="49">
        <f t="shared" ref="BC107:BD107" si="735">SUM(AS107,AU107,AW107,AY107,BA107)</f>
        <v>68</v>
      </c>
      <c r="BD107" s="50">
        <f t="shared" si="735"/>
        <v>197</v>
      </c>
      <c r="BE107" s="68">
        <f t="shared" ref="BE107:BF107" si="736">SUM(E107,G107,I107,O107,Q107,AC107,AQ107,BC107)</f>
        <v>623</v>
      </c>
      <c r="BF107" s="69">
        <f t="shared" si="736"/>
        <v>1848</v>
      </c>
      <c r="BG107" s="46" t="str">
        <f>BF107*'ОВгП_РАО'!$B$33</f>
        <v>#REF!</v>
      </c>
      <c r="BH107" s="46" t="str">
        <f>'ОВгП_РАО'!$B$33</f>
        <v>#REF!</v>
      </c>
    </row>
    <row r="108" ht="15.75" customHeight="1">
      <c r="A108" s="80">
        <f t="shared" si="559"/>
        <v>46263</v>
      </c>
      <c r="B108" s="47" t="s">
        <v>160</v>
      </c>
      <c r="C108" s="47" t="s">
        <v>161</v>
      </c>
      <c r="D108" s="47" t="s">
        <v>98</v>
      </c>
      <c r="E108" s="73">
        <f t="shared" si="510"/>
        <v>9</v>
      </c>
      <c r="F108" s="50">
        <f t="shared" si="685"/>
        <v>26</v>
      </c>
      <c r="G108" s="73">
        <f t="shared" si="512"/>
        <v>9</v>
      </c>
      <c r="H108" s="50">
        <f t="shared" si="686"/>
        <v>27</v>
      </c>
      <c r="I108" s="73">
        <f t="shared" si="514"/>
        <v>3</v>
      </c>
      <c r="J108" s="50">
        <f t="shared" si="687"/>
        <v>7</v>
      </c>
      <c r="K108" s="53">
        <f t="shared" si="516"/>
        <v>26</v>
      </c>
      <c r="L108" s="54">
        <f t="shared" si="688"/>
        <v>78</v>
      </c>
      <c r="M108" s="53">
        <f t="shared" si="518"/>
        <v>6</v>
      </c>
      <c r="N108" s="54">
        <f t="shared" si="689"/>
        <v>18</v>
      </c>
      <c r="O108" s="49">
        <f t="shared" ref="O108:P108" si="737">SUM(K108,M108)</f>
        <v>32</v>
      </c>
      <c r="P108" s="50">
        <f t="shared" si="737"/>
        <v>96</v>
      </c>
      <c r="Q108" s="73">
        <f t="shared" si="521"/>
        <v>13</v>
      </c>
      <c r="R108" s="50">
        <f t="shared" si="691"/>
        <v>37</v>
      </c>
      <c r="S108" s="53">
        <f t="shared" si="523"/>
        <v>20</v>
      </c>
      <c r="T108" s="54">
        <f t="shared" si="692"/>
        <v>58</v>
      </c>
      <c r="U108" s="53">
        <f t="shared" si="525"/>
        <v>62</v>
      </c>
      <c r="V108" s="54">
        <f t="shared" si="693"/>
        <v>184</v>
      </c>
      <c r="W108" s="53">
        <f t="shared" si="527"/>
        <v>28</v>
      </c>
      <c r="X108" s="54">
        <f t="shared" si="694"/>
        <v>82</v>
      </c>
      <c r="Y108" s="53">
        <f t="shared" si="529"/>
        <v>47</v>
      </c>
      <c r="Z108" s="54">
        <f t="shared" si="695"/>
        <v>139</v>
      </c>
      <c r="AA108" s="53">
        <f t="shared" si="531"/>
        <v>96</v>
      </c>
      <c r="AB108" s="54">
        <f t="shared" si="696"/>
        <v>287</v>
      </c>
      <c r="AC108" s="49">
        <f t="shared" ref="AC108:AD108" si="738">SUM(S108,U108,W108,Y108,AA108)</f>
        <v>253</v>
      </c>
      <c r="AD108" s="50">
        <f t="shared" si="738"/>
        <v>750</v>
      </c>
      <c r="AE108" s="53">
        <f t="shared" si="534"/>
        <v>35</v>
      </c>
      <c r="AF108" s="54">
        <f t="shared" si="703"/>
        <v>104</v>
      </c>
      <c r="AG108" s="53">
        <f t="shared" si="536"/>
        <v>90</v>
      </c>
      <c r="AH108" s="54">
        <f t="shared" si="704"/>
        <v>270</v>
      </c>
      <c r="AI108" s="53">
        <f t="shared" si="538"/>
        <v>38</v>
      </c>
      <c r="AJ108" s="54">
        <f t="shared" si="705"/>
        <v>112</v>
      </c>
      <c r="AK108" s="53">
        <f t="shared" si="540"/>
        <v>100</v>
      </c>
      <c r="AL108" s="54">
        <f t="shared" si="706"/>
        <v>298</v>
      </c>
      <c r="AM108" s="53">
        <f t="shared" si="542"/>
        <v>7</v>
      </c>
      <c r="AN108" s="54">
        <f t="shared" si="707"/>
        <v>20</v>
      </c>
      <c r="AO108" s="53">
        <f t="shared" si="544"/>
        <v>99</v>
      </c>
      <c r="AP108" s="54">
        <f t="shared" si="708"/>
        <v>296</v>
      </c>
      <c r="AQ108" s="49">
        <f t="shared" ref="AQ108:AR108" si="739">SUM(AG108,AI108,AK108,AM108,AO108)</f>
        <v>334</v>
      </c>
      <c r="AR108" s="50">
        <f t="shared" si="739"/>
        <v>996</v>
      </c>
      <c r="AS108" s="53">
        <f t="shared" si="547"/>
        <v>28</v>
      </c>
      <c r="AT108" s="54">
        <f t="shared" ref="AT108:AT110" si="745">RANDBETWEEN(0,300)</f>
        <v>84</v>
      </c>
      <c r="AU108" s="53">
        <f t="shared" si="549"/>
        <v>70</v>
      </c>
      <c r="AV108" s="54">
        <f t="shared" ref="AV108:AV110" si="746">RANDBETWEEN(0,300)</f>
        <v>208</v>
      </c>
      <c r="AW108" s="53">
        <f t="shared" si="551"/>
        <v>44</v>
      </c>
      <c r="AX108" s="54">
        <f t="shared" ref="AX108:AX110" si="747">RANDBETWEEN(0,300)</f>
        <v>132</v>
      </c>
      <c r="AY108" s="53">
        <f t="shared" si="553"/>
        <v>70</v>
      </c>
      <c r="AZ108" s="54">
        <f t="shared" ref="AZ108:AZ110" si="748">RANDBETWEEN(0,300)</f>
        <v>210</v>
      </c>
      <c r="BA108" s="53">
        <f t="shared" si="555"/>
        <v>5</v>
      </c>
      <c r="BB108" s="54">
        <f t="shared" ref="BB108:BB110" si="749">RANDBETWEEN(0,300)</f>
        <v>13</v>
      </c>
      <c r="BC108" s="49">
        <f t="shared" ref="BC108:BD108" si="740">SUM(AS108,AU108,AW108,AY108,BA108)</f>
        <v>217</v>
      </c>
      <c r="BD108" s="50">
        <f t="shared" si="740"/>
        <v>647</v>
      </c>
      <c r="BE108" s="68">
        <f t="shared" ref="BE108:BF108" si="741">SUM(E108,G108,I108,O108,Q108,AC108,AQ108,BC108)</f>
        <v>870</v>
      </c>
      <c r="BF108" s="69">
        <f t="shared" si="741"/>
        <v>2586</v>
      </c>
      <c r="BG108" s="46" t="str">
        <f>BF108*'ОВгП_РАО'!$B$34</f>
        <v>#REF!</v>
      </c>
      <c r="BH108" s="46" t="str">
        <f>'ОВгП_РАО'!$B$34</f>
        <v>#REF!</v>
      </c>
    </row>
    <row r="109" ht="15.75" customHeight="1">
      <c r="A109" s="80">
        <f t="shared" si="559"/>
        <v>46263</v>
      </c>
      <c r="B109" s="47" t="s">
        <v>163</v>
      </c>
      <c r="C109" s="47" t="s">
        <v>161</v>
      </c>
      <c r="D109" s="47" t="s">
        <v>145</v>
      </c>
      <c r="E109" s="73">
        <f t="shared" si="510"/>
        <v>15</v>
      </c>
      <c r="F109" s="50">
        <f t="shared" si="685"/>
        <v>43</v>
      </c>
      <c r="G109" s="73">
        <f t="shared" si="512"/>
        <v>27</v>
      </c>
      <c r="H109" s="50">
        <f t="shared" si="686"/>
        <v>81</v>
      </c>
      <c r="I109" s="73">
        <f t="shared" si="514"/>
        <v>14</v>
      </c>
      <c r="J109" s="50">
        <f t="shared" si="687"/>
        <v>42</v>
      </c>
      <c r="K109" s="53">
        <f t="shared" si="516"/>
        <v>27</v>
      </c>
      <c r="L109" s="54">
        <f t="shared" si="688"/>
        <v>80</v>
      </c>
      <c r="M109" s="53">
        <f t="shared" si="518"/>
        <v>3</v>
      </c>
      <c r="N109" s="54">
        <f t="shared" si="689"/>
        <v>7</v>
      </c>
      <c r="O109" s="49">
        <f t="shared" ref="O109:P109" si="742">SUM(K109,M109)</f>
        <v>30</v>
      </c>
      <c r="P109" s="50">
        <f t="shared" si="742"/>
        <v>87</v>
      </c>
      <c r="Q109" s="73">
        <f t="shared" si="521"/>
        <v>6</v>
      </c>
      <c r="R109" s="50">
        <f t="shared" si="691"/>
        <v>17</v>
      </c>
      <c r="S109" s="53">
        <f t="shared" si="523"/>
        <v>6</v>
      </c>
      <c r="T109" s="54">
        <f t="shared" si="692"/>
        <v>17</v>
      </c>
      <c r="U109" s="53">
        <f t="shared" si="525"/>
        <v>63</v>
      </c>
      <c r="V109" s="54">
        <f t="shared" si="693"/>
        <v>187</v>
      </c>
      <c r="W109" s="53">
        <f t="shared" si="527"/>
        <v>98</v>
      </c>
      <c r="X109" s="54">
        <f t="shared" si="694"/>
        <v>292</v>
      </c>
      <c r="Y109" s="53">
        <f t="shared" si="529"/>
        <v>23</v>
      </c>
      <c r="Z109" s="54">
        <f t="shared" si="695"/>
        <v>68</v>
      </c>
      <c r="AA109" s="53">
        <f t="shared" si="531"/>
        <v>21</v>
      </c>
      <c r="AB109" s="54">
        <f t="shared" si="696"/>
        <v>63</v>
      </c>
      <c r="AC109" s="49">
        <f t="shared" ref="AC109:AD109" si="743">SUM(S109,U109,W109,Y109,AA109)</f>
        <v>211</v>
      </c>
      <c r="AD109" s="50">
        <f t="shared" si="743"/>
        <v>627</v>
      </c>
      <c r="AE109" s="53">
        <f t="shared" si="534"/>
        <v>42</v>
      </c>
      <c r="AF109" s="54">
        <f t="shared" si="703"/>
        <v>124</v>
      </c>
      <c r="AG109" s="53">
        <f t="shared" si="536"/>
        <v>89</v>
      </c>
      <c r="AH109" s="54">
        <f t="shared" si="704"/>
        <v>266</v>
      </c>
      <c r="AI109" s="53">
        <f t="shared" si="538"/>
        <v>19</v>
      </c>
      <c r="AJ109" s="54">
        <f t="shared" si="705"/>
        <v>55</v>
      </c>
      <c r="AK109" s="53">
        <f t="shared" si="540"/>
        <v>57</v>
      </c>
      <c r="AL109" s="54">
        <f t="shared" si="706"/>
        <v>171</v>
      </c>
      <c r="AM109" s="53">
        <f t="shared" si="542"/>
        <v>38</v>
      </c>
      <c r="AN109" s="54">
        <f t="shared" si="707"/>
        <v>113</v>
      </c>
      <c r="AO109" s="53">
        <f t="shared" si="544"/>
        <v>70</v>
      </c>
      <c r="AP109" s="54">
        <f t="shared" si="708"/>
        <v>208</v>
      </c>
      <c r="AQ109" s="49">
        <f t="shared" ref="AQ109:AR109" si="744">SUM(AG109,AI109,AK109,AM109,AO109)</f>
        <v>273</v>
      </c>
      <c r="AR109" s="50">
        <f t="shared" si="744"/>
        <v>813</v>
      </c>
      <c r="AS109" s="53">
        <f t="shared" si="547"/>
        <v>27</v>
      </c>
      <c r="AT109" s="54">
        <f t="shared" si="745"/>
        <v>80</v>
      </c>
      <c r="AU109" s="53">
        <f t="shared" si="549"/>
        <v>83</v>
      </c>
      <c r="AV109" s="54">
        <f t="shared" si="746"/>
        <v>247</v>
      </c>
      <c r="AW109" s="53">
        <f t="shared" si="551"/>
        <v>11</v>
      </c>
      <c r="AX109" s="54">
        <f t="shared" si="747"/>
        <v>32</v>
      </c>
      <c r="AY109" s="53">
        <f t="shared" si="553"/>
        <v>49</v>
      </c>
      <c r="AZ109" s="54">
        <f t="shared" si="748"/>
        <v>145</v>
      </c>
      <c r="BA109" s="53">
        <f t="shared" si="555"/>
        <v>71</v>
      </c>
      <c r="BB109" s="54">
        <f t="shared" si="749"/>
        <v>211</v>
      </c>
      <c r="BC109" s="49">
        <f t="shared" ref="BC109:BD109" si="750">SUM(AS109,AU109,AW109,AY109,BA109)</f>
        <v>241</v>
      </c>
      <c r="BD109" s="50">
        <f t="shared" si="750"/>
        <v>715</v>
      </c>
      <c r="BE109" s="68">
        <f t="shared" ref="BE109:BF109" si="751">SUM(E109,G109,I109,O109,Q109,AC109,AQ109,BC109)</f>
        <v>817</v>
      </c>
      <c r="BF109" s="69">
        <f t="shared" si="751"/>
        <v>2425</v>
      </c>
      <c r="BG109" s="46" t="str">
        <f>BF109*'ОВгП_РАО'!$B$35</f>
        <v>#REF!</v>
      </c>
      <c r="BH109" s="46" t="str">
        <f>'ОВгП_РАО'!$B$35</f>
        <v>#REF!</v>
      </c>
    </row>
    <row r="110" ht="15.75" customHeight="1">
      <c r="A110" s="80">
        <f t="shared" si="559"/>
        <v>46263</v>
      </c>
      <c r="B110" s="47" t="s">
        <v>164</v>
      </c>
      <c r="C110" s="47" t="s">
        <v>161</v>
      </c>
      <c r="D110" s="47" t="s">
        <v>148</v>
      </c>
      <c r="E110" s="73">
        <f t="shared" si="510"/>
        <v>29</v>
      </c>
      <c r="F110" s="50">
        <f t="shared" si="685"/>
        <v>85</v>
      </c>
      <c r="G110" s="73">
        <f t="shared" si="512"/>
        <v>10</v>
      </c>
      <c r="H110" s="50">
        <f t="shared" si="686"/>
        <v>28</v>
      </c>
      <c r="I110" s="73">
        <f t="shared" si="514"/>
        <v>9</v>
      </c>
      <c r="J110" s="50">
        <f t="shared" si="687"/>
        <v>26</v>
      </c>
      <c r="K110" s="53">
        <f t="shared" si="516"/>
        <v>22</v>
      </c>
      <c r="L110" s="54">
        <f t="shared" si="688"/>
        <v>66</v>
      </c>
      <c r="M110" s="53">
        <f t="shared" si="518"/>
        <v>31</v>
      </c>
      <c r="N110" s="54">
        <f t="shared" si="689"/>
        <v>91</v>
      </c>
      <c r="O110" s="49">
        <f t="shared" ref="O110:P110" si="752">SUM(K110,M110)</f>
        <v>53</v>
      </c>
      <c r="P110" s="50">
        <f t="shared" si="752"/>
        <v>157</v>
      </c>
      <c r="Q110" s="73">
        <f t="shared" si="521"/>
        <v>6</v>
      </c>
      <c r="R110" s="50">
        <f t="shared" si="691"/>
        <v>16</v>
      </c>
      <c r="S110" s="53">
        <f t="shared" si="523"/>
        <v>20</v>
      </c>
      <c r="T110" s="54">
        <f t="shared" si="692"/>
        <v>60</v>
      </c>
      <c r="U110" s="53">
        <f t="shared" si="525"/>
        <v>20</v>
      </c>
      <c r="V110" s="54">
        <f t="shared" si="693"/>
        <v>60</v>
      </c>
      <c r="W110" s="53">
        <f t="shared" si="527"/>
        <v>54</v>
      </c>
      <c r="X110" s="54">
        <f t="shared" si="694"/>
        <v>162</v>
      </c>
      <c r="Y110" s="53">
        <f t="shared" si="529"/>
        <v>19</v>
      </c>
      <c r="Z110" s="54">
        <f t="shared" si="695"/>
        <v>56</v>
      </c>
      <c r="AA110" s="53">
        <f t="shared" si="531"/>
        <v>2</v>
      </c>
      <c r="AB110" s="54">
        <f t="shared" si="696"/>
        <v>4</v>
      </c>
      <c r="AC110" s="49">
        <f t="shared" ref="AC110:AD110" si="753">SUM(S110,U110,W110,Y110,AA110)</f>
        <v>115</v>
      </c>
      <c r="AD110" s="50">
        <f t="shared" si="753"/>
        <v>342</v>
      </c>
      <c r="AE110" s="53">
        <f t="shared" si="534"/>
        <v>27</v>
      </c>
      <c r="AF110" s="54">
        <f t="shared" si="703"/>
        <v>80</v>
      </c>
      <c r="AG110" s="53">
        <f t="shared" si="536"/>
        <v>62</v>
      </c>
      <c r="AH110" s="54">
        <f t="shared" si="704"/>
        <v>184</v>
      </c>
      <c r="AI110" s="53">
        <f t="shared" si="538"/>
        <v>97</v>
      </c>
      <c r="AJ110" s="54">
        <f t="shared" si="705"/>
        <v>290</v>
      </c>
      <c r="AK110" s="53">
        <f t="shared" si="540"/>
        <v>31</v>
      </c>
      <c r="AL110" s="54">
        <f t="shared" si="706"/>
        <v>91</v>
      </c>
      <c r="AM110" s="53">
        <f t="shared" si="542"/>
        <v>30</v>
      </c>
      <c r="AN110" s="54">
        <f t="shared" si="707"/>
        <v>88</v>
      </c>
      <c r="AO110" s="53">
        <f t="shared" si="544"/>
        <v>59</v>
      </c>
      <c r="AP110" s="54">
        <f t="shared" si="708"/>
        <v>177</v>
      </c>
      <c r="AQ110" s="49">
        <f t="shared" ref="AQ110:AR110" si="754">SUM(AG110,AI110,AK110,AM110,AO110)</f>
        <v>279</v>
      </c>
      <c r="AR110" s="50">
        <f t="shared" si="754"/>
        <v>830</v>
      </c>
      <c r="AS110" s="53">
        <f t="shared" si="547"/>
        <v>3</v>
      </c>
      <c r="AT110" s="54">
        <f t="shared" si="745"/>
        <v>8</v>
      </c>
      <c r="AU110" s="53">
        <f t="shared" si="549"/>
        <v>46</v>
      </c>
      <c r="AV110" s="54">
        <f t="shared" si="746"/>
        <v>136</v>
      </c>
      <c r="AW110" s="53">
        <f t="shared" si="551"/>
        <v>39</v>
      </c>
      <c r="AX110" s="54">
        <f t="shared" si="747"/>
        <v>117</v>
      </c>
      <c r="AY110" s="53">
        <f t="shared" si="553"/>
        <v>38</v>
      </c>
      <c r="AZ110" s="54">
        <f t="shared" si="748"/>
        <v>112</v>
      </c>
      <c r="BA110" s="53">
        <f t="shared" si="555"/>
        <v>43</v>
      </c>
      <c r="BB110" s="54">
        <f t="shared" si="749"/>
        <v>129</v>
      </c>
      <c r="BC110" s="49">
        <f t="shared" ref="BC110:BD110" si="755">SUM(AS110,AU110,AW110,AY110,BA110)</f>
        <v>169</v>
      </c>
      <c r="BD110" s="50">
        <f t="shared" si="755"/>
        <v>502</v>
      </c>
      <c r="BE110" s="68">
        <f t="shared" ref="BE110:BF110" si="756">SUM(E110,G110,I110,O110,Q110,AC110,AQ110,BC110)</f>
        <v>670</v>
      </c>
      <c r="BF110" s="69">
        <f t="shared" si="756"/>
        <v>1986</v>
      </c>
      <c r="BG110" s="46" t="str">
        <f>BF110*'ОВгП_РАО'!$B$36</f>
        <v>#REF!</v>
      </c>
      <c r="BH110" s="46" t="str">
        <f>'ОВгП_РАО'!B108</f>
        <v>#REF!</v>
      </c>
    </row>
    <row r="111" ht="15.75" customHeight="1">
      <c r="A111" s="161"/>
      <c r="B111" s="162"/>
      <c r="C111" s="162"/>
      <c r="D111" s="162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2"/>
    </row>
    <row r="112" ht="15.75" customHeight="1">
      <c r="A112" s="44">
        <f>A110+1</f>
        <v>46264</v>
      </c>
      <c r="B112" s="163" t="s">
        <v>95</v>
      </c>
      <c r="C112" s="46" t="s">
        <v>96</v>
      </c>
      <c r="D112" s="47" t="s">
        <v>98</v>
      </c>
      <c r="E112" s="49">
        <f t="shared" ref="E112:E146" si="762">ROUNDUP(F112/3,0)</f>
        <v>0</v>
      </c>
      <c r="F112" s="50">
        <f t="shared" ref="F112:F137" si="763">RANDBETWEEN(0,4)</f>
        <v>0</v>
      </c>
      <c r="G112" s="49">
        <f t="shared" ref="G112:G146" si="764">ROUNDUP(H112/3,0)</f>
        <v>1</v>
      </c>
      <c r="H112" s="50">
        <f t="shared" ref="H112:H137" si="765">RANDBETWEEN(0,4)</f>
        <v>2</v>
      </c>
      <c r="I112" s="49">
        <f t="shared" ref="I112:I146" si="766">ROUNDUP(J112/3,0)</f>
        <v>1</v>
      </c>
      <c r="J112" s="50">
        <f t="shared" ref="J112:J137" si="767">RANDBETWEEN(0,4)</f>
        <v>3</v>
      </c>
      <c r="K112" s="53">
        <f t="shared" ref="K112:K146" si="768">ROUNDUP(L112/3,0)</f>
        <v>1</v>
      </c>
      <c r="L112" s="54">
        <f t="shared" ref="L112:L137" si="769">RANDBETWEEN(0,4)</f>
        <v>1</v>
      </c>
      <c r="M112" s="53">
        <f t="shared" ref="M112:M146" si="770">ROUNDUP(N112/3,0)</f>
        <v>1</v>
      </c>
      <c r="N112" s="54">
        <f t="shared" ref="N112:N137" si="771">RANDBETWEEN(0,4)</f>
        <v>1</v>
      </c>
      <c r="O112" s="49">
        <f t="shared" ref="O112:P112" si="757">SUM(K112,M112)</f>
        <v>2</v>
      </c>
      <c r="P112" s="50">
        <f t="shared" si="757"/>
        <v>2</v>
      </c>
      <c r="Q112" s="49">
        <f t="shared" ref="Q112:Q146" si="773">ROUNDUP(R112/3,0)</f>
        <v>1</v>
      </c>
      <c r="R112" s="50">
        <f t="shared" ref="R112:R137" si="774">RANDBETWEEN(0,4)</f>
        <v>1</v>
      </c>
      <c r="S112" s="53">
        <f t="shared" ref="S112:S146" si="775">ROUNDUP(T112/3,0)</f>
        <v>2</v>
      </c>
      <c r="T112" s="54">
        <f t="shared" ref="T112:T137" si="776">RANDBETWEEN(0,4)</f>
        <v>4</v>
      </c>
      <c r="U112" s="53">
        <f t="shared" ref="U112:U146" si="777">ROUNDUP(V112/3,0)</f>
        <v>1</v>
      </c>
      <c r="V112" s="54">
        <f t="shared" ref="V112:V137" si="778">RANDBETWEEN(0,4)</f>
        <v>1</v>
      </c>
      <c r="W112" s="53">
        <f t="shared" ref="W112:W146" si="779">ROUNDUP(X112/3,0)</f>
        <v>2</v>
      </c>
      <c r="X112" s="54">
        <f t="shared" ref="X112:X137" si="780">RANDBETWEEN(0,4)</f>
        <v>4</v>
      </c>
      <c r="Y112" s="53">
        <f t="shared" ref="Y112:Y146" si="781">ROUNDUP(Z112/3,0)</f>
        <v>2</v>
      </c>
      <c r="Z112" s="54">
        <f t="shared" ref="Z112:Z137" si="782">RANDBETWEEN(0,4)</f>
        <v>4</v>
      </c>
      <c r="AA112" s="53">
        <f t="shared" ref="AA112:AA146" si="783">ROUNDUP(AB112/3,0)</f>
        <v>1</v>
      </c>
      <c r="AB112" s="54">
        <f t="shared" ref="AB112:AB137" si="784">RANDBETWEEN(0,4)</f>
        <v>2</v>
      </c>
      <c r="AC112" s="49">
        <f t="shared" ref="AC112:AD112" si="758">SUM(S112,U112,W112,Y112,AA112)</f>
        <v>8</v>
      </c>
      <c r="AD112" s="50">
        <f t="shared" si="758"/>
        <v>15</v>
      </c>
      <c r="AE112" s="53">
        <f t="shared" ref="AE112:AE146" si="786">ROUNDUP(AF112/3,0)</f>
        <v>1</v>
      </c>
      <c r="AF112" s="54">
        <f t="shared" ref="AF112:AF137" si="787">RANDBETWEEN(0,4)</f>
        <v>2</v>
      </c>
      <c r="AG112" s="53">
        <f t="shared" ref="AG112:AG146" si="788">ROUNDUP(AH112/3,0)</f>
        <v>1</v>
      </c>
      <c r="AH112" s="54">
        <f t="shared" ref="AH112:AH137" si="789">RANDBETWEEN(0,4)</f>
        <v>3</v>
      </c>
      <c r="AI112" s="53">
        <f t="shared" ref="AI112:AI146" si="790">ROUNDUP(AJ112/3,0)</f>
        <v>1</v>
      </c>
      <c r="AJ112" s="54">
        <f t="shared" ref="AJ112:AJ137" si="791">RANDBETWEEN(0,4)</f>
        <v>3</v>
      </c>
      <c r="AK112" s="53">
        <f t="shared" ref="AK112:AK146" si="792">ROUNDUP(AL112/3,0)</f>
        <v>2</v>
      </c>
      <c r="AL112" s="54">
        <f t="shared" ref="AL112:AL137" si="793">RANDBETWEEN(0,4)</f>
        <v>4</v>
      </c>
      <c r="AM112" s="53">
        <f t="shared" ref="AM112:AM146" si="794">ROUNDUP(AN112/3,0)</f>
        <v>0</v>
      </c>
      <c r="AN112" s="54">
        <f t="shared" ref="AN112:AN137" si="795">RANDBETWEEN(0,4)</f>
        <v>0</v>
      </c>
      <c r="AO112" s="53">
        <f t="shared" ref="AO112:AO146" si="796">ROUNDUP(AP112/3,0)</f>
        <v>0</v>
      </c>
      <c r="AP112" s="54">
        <f t="shared" ref="AP112:AP137" si="797">RANDBETWEEN(0,4)</f>
        <v>0</v>
      </c>
      <c r="AQ112" s="49">
        <f t="shared" ref="AQ112:AR112" si="759">SUM(AG112,AI112,AK112,AM112,AO112)</f>
        <v>4</v>
      </c>
      <c r="AR112" s="50">
        <f t="shared" si="759"/>
        <v>10</v>
      </c>
      <c r="AS112" s="53">
        <f t="shared" ref="AS112:AS146" si="799">ROUNDUP(AT112/3,0)</f>
        <v>0</v>
      </c>
      <c r="AT112" s="54">
        <f t="shared" ref="AT112:AT137" si="800">RANDBETWEEN(0,4)</f>
        <v>0</v>
      </c>
      <c r="AU112" s="53">
        <f t="shared" ref="AU112:AU146" si="801">ROUNDUP(AV112/3,0)</f>
        <v>1</v>
      </c>
      <c r="AV112" s="54">
        <f t="shared" ref="AV112:AV137" si="802">RANDBETWEEN(0,4)</f>
        <v>2</v>
      </c>
      <c r="AW112" s="53">
        <f t="shared" ref="AW112:AW146" si="803">ROUNDUP(AX112/3,0)</f>
        <v>1</v>
      </c>
      <c r="AX112" s="54">
        <f t="shared" ref="AX112:AX137" si="804">RANDBETWEEN(0,4)</f>
        <v>2</v>
      </c>
      <c r="AY112" s="53">
        <f t="shared" ref="AY112:AY146" si="805">ROUNDUP(AZ112/3,0)</f>
        <v>0</v>
      </c>
      <c r="AZ112" s="54">
        <f t="shared" ref="AZ112:AZ137" si="806">RANDBETWEEN(0,4)</f>
        <v>0</v>
      </c>
      <c r="BA112" s="53">
        <f t="shared" ref="BA112:BA146" si="807">ROUNDUP(BB112/3,0)</f>
        <v>1</v>
      </c>
      <c r="BB112" s="54">
        <f t="shared" ref="BB112:BB137" si="808">RANDBETWEEN(0,4)</f>
        <v>1</v>
      </c>
      <c r="BC112" s="49">
        <f t="shared" ref="BC112:BD112" si="760">SUM(AS112,AU112,AW112,AY112,BA112)</f>
        <v>3</v>
      </c>
      <c r="BD112" s="50">
        <f t="shared" si="760"/>
        <v>5</v>
      </c>
      <c r="BE112" s="68">
        <f t="shared" ref="BE112:BF112" si="761">SUM(E112,G112,I112,O112,Q112,AC112,AQ112,BC112)</f>
        <v>20</v>
      </c>
      <c r="BF112" s="69">
        <f t="shared" si="761"/>
        <v>38</v>
      </c>
      <c r="BG112" s="46" t="str">
        <f>BF112*'ОВгП_РАО'!$B$2</f>
        <v>#REF!</v>
      </c>
      <c r="BH112" s="46" t="str">
        <f>'ОВгП_РАО'!$B$2</f>
        <v>#REF!</v>
      </c>
    </row>
    <row r="113" ht="15.75" customHeight="1">
      <c r="A113" s="71">
        <f t="shared" ref="A113:A146" si="811">A112</f>
        <v>46264</v>
      </c>
      <c r="B113" s="45" t="s">
        <v>115</v>
      </c>
      <c r="C113" s="46" t="s">
        <v>96</v>
      </c>
      <c r="D113" s="47" t="s">
        <v>98</v>
      </c>
      <c r="E113" s="73">
        <f t="shared" si="762"/>
        <v>1</v>
      </c>
      <c r="F113" s="50">
        <f t="shared" si="763"/>
        <v>3</v>
      </c>
      <c r="G113" s="73">
        <f t="shared" si="764"/>
        <v>2</v>
      </c>
      <c r="H113" s="50">
        <f t="shared" si="765"/>
        <v>4</v>
      </c>
      <c r="I113" s="73">
        <f t="shared" si="766"/>
        <v>0</v>
      </c>
      <c r="J113" s="50">
        <f t="shared" si="767"/>
        <v>0</v>
      </c>
      <c r="K113" s="53">
        <f t="shared" si="768"/>
        <v>1</v>
      </c>
      <c r="L113" s="54">
        <f t="shared" si="769"/>
        <v>2</v>
      </c>
      <c r="M113" s="53">
        <f t="shared" si="770"/>
        <v>1</v>
      </c>
      <c r="N113" s="54">
        <f t="shared" si="771"/>
        <v>3</v>
      </c>
      <c r="O113" s="49">
        <f t="shared" ref="O113:P113" si="772">SUM(K113,M113)</f>
        <v>2</v>
      </c>
      <c r="P113" s="50">
        <f t="shared" si="772"/>
        <v>5</v>
      </c>
      <c r="Q113" s="73">
        <f t="shared" si="773"/>
        <v>0</v>
      </c>
      <c r="R113" s="50">
        <f t="shared" si="774"/>
        <v>0</v>
      </c>
      <c r="S113" s="53">
        <f t="shared" si="775"/>
        <v>1</v>
      </c>
      <c r="T113" s="54">
        <f t="shared" si="776"/>
        <v>3</v>
      </c>
      <c r="U113" s="53">
        <f t="shared" si="777"/>
        <v>1</v>
      </c>
      <c r="V113" s="54">
        <f t="shared" si="778"/>
        <v>3</v>
      </c>
      <c r="W113" s="53">
        <f t="shared" si="779"/>
        <v>1</v>
      </c>
      <c r="X113" s="54">
        <f t="shared" si="780"/>
        <v>3</v>
      </c>
      <c r="Y113" s="53">
        <f t="shared" si="781"/>
        <v>1</v>
      </c>
      <c r="Z113" s="54">
        <f t="shared" si="782"/>
        <v>1</v>
      </c>
      <c r="AA113" s="53">
        <f t="shared" si="783"/>
        <v>1</v>
      </c>
      <c r="AB113" s="54">
        <f t="shared" si="784"/>
        <v>3</v>
      </c>
      <c r="AC113" s="49">
        <f t="shared" ref="AC113:AD113" si="785">SUM(S113,U113,W113,Y113,AA113)</f>
        <v>5</v>
      </c>
      <c r="AD113" s="50">
        <f t="shared" si="785"/>
        <v>13</v>
      </c>
      <c r="AE113" s="53">
        <f t="shared" si="786"/>
        <v>1</v>
      </c>
      <c r="AF113" s="54">
        <f t="shared" si="787"/>
        <v>2</v>
      </c>
      <c r="AG113" s="53">
        <f t="shared" si="788"/>
        <v>2</v>
      </c>
      <c r="AH113" s="54">
        <f t="shared" si="789"/>
        <v>4</v>
      </c>
      <c r="AI113" s="53">
        <f t="shared" si="790"/>
        <v>1</v>
      </c>
      <c r="AJ113" s="54">
        <f t="shared" si="791"/>
        <v>1</v>
      </c>
      <c r="AK113" s="53">
        <f t="shared" si="792"/>
        <v>1</v>
      </c>
      <c r="AL113" s="54">
        <f t="shared" si="793"/>
        <v>3</v>
      </c>
      <c r="AM113" s="53">
        <f t="shared" si="794"/>
        <v>2</v>
      </c>
      <c r="AN113" s="54">
        <f t="shared" si="795"/>
        <v>4</v>
      </c>
      <c r="AO113" s="53">
        <f t="shared" si="796"/>
        <v>1</v>
      </c>
      <c r="AP113" s="54">
        <f t="shared" si="797"/>
        <v>2</v>
      </c>
      <c r="AQ113" s="49">
        <f t="shared" ref="AQ113:AR113" si="798">SUM(AG113,AI113,AK113,AM113,AO113)</f>
        <v>7</v>
      </c>
      <c r="AR113" s="50">
        <f t="shared" si="798"/>
        <v>14</v>
      </c>
      <c r="AS113" s="53">
        <f t="shared" si="799"/>
        <v>2</v>
      </c>
      <c r="AT113" s="54">
        <f t="shared" si="800"/>
        <v>4</v>
      </c>
      <c r="AU113" s="53">
        <f t="shared" si="801"/>
        <v>2</v>
      </c>
      <c r="AV113" s="54">
        <f t="shared" si="802"/>
        <v>4</v>
      </c>
      <c r="AW113" s="53">
        <f t="shared" si="803"/>
        <v>0</v>
      </c>
      <c r="AX113" s="54">
        <f t="shared" si="804"/>
        <v>0</v>
      </c>
      <c r="AY113" s="53">
        <f t="shared" si="805"/>
        <v>2</v>
      </c>
      <c r="AZ113" s="54">
        <f t="shared" si="806"/>
        <v>4</v>
      </c>
      <c r="BA113" s="53">
        <f t="shared" si="807"/>
        <v>1</v>
      </c>
      <c r="BB113" s="54">
        <f t="shared" si="808"/>
        <v>3</v>
      </c>
      <c r="BC113" s="49">
        <f t="shared" ref="BC113:BD113" si="809">SUM(AS113,AU113,AW113,AY113,BA113)</f>
        <v>7</v>
      </c>
      <c r="BD113" s="50">
        <f t="shared" si="809"/>
        <v>15</v>
      </c>
      <c r="BE113" s="68">
        <f t="shared" ref="BE113:BF113" si="810">SUM(E113,G113,I113,O113,Q113,AC113,AQ113,BC113)</f>
        <v>24</v>
      </c>
      <c r="BF113" s="69">
        <f t="shared" si="810"/>
        <v>54</v>
      </c>
      <c r="BG113" s="46" t="str">
        <f>BF113*'ОВгП_РАО'!$B$3</f>
        <v>#REF!</v>
      </c>
      <c r="BH113" s="46" t="str">
        <f>'ОВгП_РАО'!$B$3</f>
        <v>#REF!</v>
      </c>
    </row>
    <row r="114" ht="15.75" customHeight="1">
      <c r="A114" s="80">
        <f t="shared" si="811"/>
        <v>46264</v>
      </c>
      <c r="B114" s="45" t="s">
        <v>116</v>
      </c>
      <c r="C114" s="46" t="s">
        <v>96</v>
      </c>
      <c r="D114" s="47" t="s">
        <v>98</v>
      </c>
      <c r="E114" s="73">
        <f t="shared" si="762"/>
        <v>2</v>
      </c>
      <c r="F114" s="50">
        <f t="shared" si="763"/>
        <v>4</v>
      </c>
      <c r="G114" s="73">
        <f t="shared" si="764"/>
        <v>1</v>
      </c>
      <c r="H114" s="50">
        <f t="shared" si="765"/>
        <v>1</v>
      </c>
      <c r="I114" s="73">
        <f t="shared" si="766"/>
        <v>1</v>
      </c>
      <c r="J114" s="50">
        <f t="shared" si="767"/>
        <v>3</v>
      </c>
      <c r="K114" s="53">
        <f t="shared" si="768"/>
        <v>1</v>
      </c>
      <c r="L114" s="54">
        <f t="shared" si="769"/>
        <v>3</v>
      </c>
      <c r="M114" s="53">
        <f t="shared" si="770"/>
        <v>0</v>
      </c>
      <c r="N114" s="54">
        <f t="shared" si="771"/>
        <v>0</v>
      </c>
      <c r="O114" s="49">
        <f t="shared" ref="O114:P114" si="812">SUM(K114,M114)</f>
        <v>1</v>
      </c>
      <c r="P114" s="50">
        <f t="shared" si="812"/>
        <v>3</v>
      </c>
      <c r="Q114" s="73">
        <f t="shared" si="773"/>
        <v>0</v>
      </c>
      <c r="R114" s="50">
        <f t="shared" si="774"/>
        <v>0</v>
      </c>
      <c r="S114" s="53">
        <f t="shared" si="775"/>
        <v>1</v>
      </c>
      <c r="T114" s="54">
        <f t="shared" si="776"/>
        <v>1</v>
      </c>
      <c r="U114" s="53">
        <f t="shared" si="777"/>
        <v>2</v>
      </c>
      <c r="V114" s="54">
        <f t="shared" si="778"/>
        <v>4</v>
      </c>
      <c r="W114" s="53">
        <f t="shared" si="779"/>
        <v>1</v>
      </c>
      <c r="X114" s="54">
        <f t="shared" si="780"/>
        <v>3</v>
      </c>
      <c r="Y114" s="53">
        <f t="shared" si="781"/>
        <v>2</v>
      </c>
      <c r="Z114" s="54">
        <f t="shared" si="782"/>
        <v>4</v>
      </c>
      <c r="AA114" s="53">
        <f t="shared" si="783"/>
        <v>2</v>
      </c>
      <c r="AB114" s="54">
        <f t="shared" si="784"/>
        <v>4</v>
      </c>
      <c r="AC114" s="49">
        <f t="shared" ref="AC114:AD114" si="813">SUM(S114,U114,W114,Y114,AA114)</f>
        <v>8</v>
      </c>
      <c r="AD114" s="50">
        <f t="shared" si="813"/>
        <v>16</v>
      </c>
      <c r="AE114" s="53">
        <f t="shared" si="786"/>
        <v>1</v>
      </c>
      <c r="AF114" s="54">
        <f t="shared" si="787"/>
        <v>1</v>
      </c>
      <c r="AG114" s="53">
        <f t="shared" si="788"/>
        <v>2</v>
      </c>
      <c r="AH114" s="54">
        <f t="shared" si="789"/>
        <v>4</v>
      </c>
      <c r="AI114" s="53">
        <f t="shared" si="790"/>
        <v>1</v>
      </c>
      <c r="AJ114" s="54">
        <f t="shared" si="791"/>
        <v>3</v>
      </c>
      <c r="AK114" s="53">
        <f t="shared" si="792"/>
        <v>2</v>
      </c>
      <c r="AL114" s="54">
        <f t="shared" si="793"/>
        <v>4</v>
      </c>
      <c r="AM114" s="53">
        <f t="shared" si="794"/>
        <v>2</v>
      </c>
      <c r="AN114" s="54">
        <f t="shared" si="795"/>
        <v>4</v>
      </c>
      <c r="AO114" s="53">
        <f t="shared" si="796"/>
        <v>1</v>
      </c>
      <c r="AP114" s="54">
        <f t="shared" si="797"/>
        <v>1</v>
      </c>
      <c r="AQ114" s="49">
        <f t="shared" ref="AQ114:AR114" si="814">SUM(AG114,AI114,AK114,AM114,AO114)</f>
        <v>8</v>
      </c>
      <c r="AR114" s="50">
        <f t="shared" si="814"/>
        <v>16</v>
      </c>
      <c r="AS114" s="53">
        <f t="shared" si="799"/>
        <v>1</v>
      </c>
      <c r="AT114" s="54">
        <f t="shared" si="800"/>
        <v>3</v>
      </c>
      <c r="AU114" s="53">
        <f t="shared" si="801"/>
        <v>0</v>
      </c>
      <c r="AV114" s="54">
        <f t="shared" si="802"/>
        <v>0</v>
      </c>
      <c r="AW114" s="53">
        <f t="shared" si="803"/>
        <v>0</v>
      </c>
      <c r="AX114" s="54">
        <f t="shared" si="804"/>
        <v>0</v>
      </c>
      <c r="AY114" s="53">
        <f t="shared" si="805"/>
        <v>1</v>
      </c>
      <c r="AZ114" s="54">
        <f t="shared" si="806"/>
        <v>1</v>
      </c>
      <c r="BA114" s="53">
        <f t="shared" si="807"/>
        <v>1</v>
      </c>
      <c r="BB114" s="54">
        <f t="shared" si="808"/>
        <v>3</v>
      </c>
      <c r="BC114" s="49">
        <f t="shared" ref="BC114:BD114" si="815">SUM(AS114,AU114,AW114,AY114,BA114)</f>
        <v>3</v>
      </c>
      <c r="BD114" s="50">
        <f t="shared" si="815"/>
        <v>7</v>
      </c>
      <c r="BE114" s="68">
        <f t="shared" ref="BE114:BF114" si="816">SUM(E114,G114,I114,O114,Q114,AC114,AQ114,BC114)</f>
        <v>24</v>
      </c>
      <c r="BF114" s="69">
        <f t="shared" si="816"/>
        <v>50</v>
      </c>
      <c r="BG114" s="46" t="str">
        <f>BF114*'ОВгП_РАО'!$B$4</f>
        <v>#REF!</v>
      </c>
      <c r="BH114" s="46" t="str">
        <f>'ОВгП_РАО'!$B$4</f>
        <v>#REF!</v>
      </c>
    </row>
    <row r="115" ht="15.75" customHeight="1">
      <c r="A115" s="80">
        <f t="shared" si="811"/>
        <v>46264</v>
      </c>
      <c r="B115" s="45" t="s">
        <v>117</v>
      </c>
      <c r="C115" s="46" t="s">
        <v>96</v>
      </c>
      <c r="D115" s="47" t="s">
        <v>98</v>
      </c>
      <c r="E115" s="73">
        <f t="shared" si="762"/>
        <v>1</v>
      </c>
      <c r="F115" s="50">
        <f t="shared" si="763"/>
        <v>1</v>
      </c>
      <c r="G115" s="73">
        <f t="shared" si="764"/>
        <v>1</v>
      </c>
      <c r="H115" s="50">
        <f t="shared" si="765"/>
        <v>1</v>
      </c>
      <c r="I115" s="73">
        <f t="shared" si="766"/>
        <v>1</v>
      </c>
      <c r="J115" s="50">
        <f t="shared" si="767"/>
        <v>3</v>
      </c>
      <c r="K115" s="53">
        <f t="shared" si="768"/>
        <v>1</v>
      </c>
      <c r="L115" s="54">
        <f t="shared" si="769"/>
        <v>3</v>
      </c>
      <c r="M115" s="53">
        <f t="shared" si="770"/>
        <v>1</v>
      </c>
      <c r="N115" s="54">
        <f t="shared" si="771"/>
        <v>3</v>
      </c>
      <c r="O115" s="49">
        <f t="shared" ref="O115:P115" si="817">SUM(K115,M115)</f>
        <v>2</v>
      </c>
      <c r="P115" s="50">
        <f t="shared" si="817"/>
        <v>6</v>
      </c>
      <c r="Q115" s="73">
        <f t="shared" si="773"/>
        <v>2</v>
      </c>
      <c r="R115" s="50">
        <f t="shared" si="774"/>
        <v>4</v>
      </c>
      <c r="S115" s="53">
        <f t="shared" si="775"/>
        <v>1</v>
      </c>
      <c r="T115" s="54">
        <f t="shared" si="776"/>
        <v>1</v>
      </c>
      <c r="U115" s="53">
        <f t="shared" si="777"/>
        <v>1</v>
      </c>
      <c r="V115" s="54">
        <f t="shared" si="778"/>
        <v>2</v>
      </c>
      <c r="W115" s="53">
        <f t="shared" si="779"/>
        <v>0</v>
      </c>
      <c r="X115" s="54">
        <f t="shared" si="780"/>
        <v>0</v>
      </c>
      <c r="Y115" s="53">
        <f t="shared" si="781"/>
        <v>1</v>
      </c>
      <c r="Z115" s="54">
        <f t="shared" si="782"/>
        <v>1</v>
      </c>
      <c r="AA115" s="53">
        <f t="shared" si="783"/>
        <v>1</v>
      </c>
      <c r="AB115" s="54">
        <f t="shared" si="784"/>
        <v>1</v>
      </c>
      <c r="AC115" s="49">
        <f t="shared" ref="AC115:AD115" si="818">SUM(S115,U115,W115,Y115,AA115)</f>
        <v>4</v>
      </c>
      <c r="AD115" s="50">
        <f t="shared" si="818"/>
        <v>5</v>
      </c>
      <c r="AE115" s="53">
        <f t="shared" si="786"/>
        <v>1</v>
      </c>
      <c r="AF115" s="54">
        <f t="shared" si="787"/>
        <v>2</v>
      </c>
      <c r="AG115" s="53">
        <f t="shared" si="788"/>
        <v>0</v>
      </c>
      <c r="AH115" s="54">
        <f t="shared" si="789"/>
        <v>0</v>
      </c>
      <c r="AI115" s="53">
        <f t="shared" si="790"/>
        <v>2</v>
      </c>
      <c r="AJ115" s="54">
        <f t="shared" si="791"/>
        <v>4</v>
      </c>
      <c r="AK115" s="53">
        <f t="shared" si="792"/>
        <v>1</v>
      </c>
      <c r="AL115" s="54">
        <f t="shared" si="793"/>
        <v>2</v>
      </c>
      <c r="AM115" s="53">
        <f t="shared" si="794"/>
        <v>2</v>
      </c>
      <c r="AN115" s="54">
        <f t="shared" si="795"/>
        <v>4</v>
      </c>
      <c r="AO115" s="53">
        <f t="shared" si="796"/>
        <v>1</v>
      </c>
      <c r="AP115" s="54">
        <f t="shared" si="797"/>
        <v>2</v>
      </c>
      <c r="AQ115" s="49">
        <f t="shared" ref="AQ115:AR115" si="819">SUM(AG115,AI115,AK115,AM115,AO115)</f>
        <v>6</v>
      </c>
      <c r="AR115" s="50">
        <f t="shared" si="819"/>
        <v>12</v>
      </c>
      <c r="AS115" s="53">
        <f t="shared" si="799"/>
        <v>2</v>
      </c>
      <c r="AT115" s="54">
        <f t="shared" si="800"/>
        <v>4</v>
      </c>
      <c r="AU115" s="53">
        <f t="shared" si="801"/>
        <v>1</v>
      </c>
      <c r="AV115" s="54">
        <f t="shared" si="802"/>
        <v>2</v>
      </c>
      <c r="AW115" s="53">
        <f t="shared" si="803"/>
        <v>1</v>
      </c>
      <c r="AX115" s="54">
        <f t="shared" si="804"/>
        <v>2</v>
      </c>
      <c r="AY115" s="53">
        <f t="shared" si="805"/>
        <v>1</v>
      </c>
      <c r="AZ115" s="54">
        <f t="shared" si="806"/>
        <v>2</v>
      </c>
      <c r="BA115" s="53">
        <f t="shared" si="807"/>
        <v>0</v>
      </c>
      <c r="BB115" s="54">
        <f t="shared" si="808"/>
        <v>0</v>
      </c>
      <c r="BC115" s="49">
        <f t="shared" ref="BC115:BD115" si="820">SUM(AS115,AU115,AW115,AY115,BA115)</f>
        <v>5</v>
      </c>
      <c r="BD115" s="50">
        <f t="shared" si="820"/>
        <v>10</v>
      </c>
      <c r="BE115" s="68">
        <f t="shared" ref="BE115:BF115" si="821">SUM(E115,G115,I115,O115,Q115,AC115,AQ115,BC115)</f>
        <v>22</v>
      </c>
      <c r="BF115" s="69">
        <f t="shared" si="821"/>
        <v>42</v>
      </c>
      <c r="BG115" s="46" t="str">
        <f>BF115*'ОВгП_РАО'!$B$5</f>
        <v>#REF!</v>
      </c>
      <c r="BH115" s="46" t="str">
        <f>'ОВгП_РАО'!$B$5</f>
        <v>#REF!</v>
      </c>
    </row>
    <row r="116" ht="15.75" customHeight="1">
      <c r="A116" s="80">
        <f t="shared" si="811"/>
        <v>46264</v>
      </c>
      <c r="B116" s="45" t="s">
        <v>118</v>
      </c>
      <c r="C116" s="45" t="s">
        <v>96</v>
      </c>
      <c r="D116" s="47" t="s">
        <v>98</v>
      </c>
      <c r="E116" s="73">
        <f t="shared" si="762"/>
        <v>0</v>
      </c>
      <c r="F116" s="50">
        <f t="shared" si="763"/>
        <v>0</v>
      </c>
      <c r="G116" s="73">
        <f t="shared" si="764"/>
        <v>1</v>
      </c>
      <c r="H116" s="50">
        <f t="shared" si="765"/>
        <v>3</v>
      </c>
      <c r="I116" s="73">
        <f t="shared" si="766"/>
        <v>2</v>
      </c>
      <c r="J116" s="50">
        <f t="shared" si="767"/>
        <v>4</v>
      </c>
      <c r="K116" s="53">
        <f t="shared" si="768"/>
        <v>2</v>
      </c>
      <c r="L116" s="54">
        <f t="shared" si="769"/>
        <v>4</v>
      </c>
      <c r="M116" s="53">
        <f t="shared" si="770"/>
        <v>1</v>
      </c>
      <c r="N116" s="54">
        <f t="shared" si="771"/>
        <v>1</v>
      </c>
      <c r="O116" s="49">
        <f t="shared" ref="O116:P116" si="822">SUM(K116,M116)</f>
        <v>3</v>
      </c>
      <c r="P116" s="50">
        <f t="shared" si="822"/>
        <v>5</v>
      </c>
      <c r="Q116" s="73">
        <f t="shared" si="773"/>
        <v>1</v>
      </c>
      <c r="R116" s="50">
        <f t="shared" si="774"/>
        <v>1</v>
      </c>
      <c r="S116" s="53">
        <f t="shared" si="775"/>
        <v>2</v>
      </c>
      <c r="T116" s="54">
        <f t="shared" si="776"/>
        <v>4</v>
      </c>
      <c r="U116" s="53">
        <f t="shared" si="777"/>
        <v>1</v>
      </c>
      <c r="V116" s="54">
        <f t="shared" si="778"/>
        <v>1</v>
      </c>
      <c r="W116" s="53">
        <f t="shared" si="779"/>
        <v>1</v>
      </c>
      <c r="X116" s="54">
        <f t="shared" si="780"/>
        <v>1</v>
      </c>
      <c r="Y116" s="53">
        <f t="shared" si="781"/>
        <v>2</v>
      </c>
      <c r="Z116" s="54">
        <f t="shared" si="782"/>
        <v>4</v>
      </c>
      <c r="AA116" s="53">
        <f t="shared" si="783"/>
        <v>0</v>
      </c>
      <c r="AB116" s="54">
        <f t="shared" si="784"/>
        <v>0</v>
      </c>
      <c r="AC116" s="49">
        <f t="shared" ref="AC116:AD116" si="823">SUM(S116,U116,W116,Y116,AA116)</f>
        <v>6</v>
      </c>
      <c r="AD116" s="50">
        <f t="shared" si="823"/>
        <v>10</v>
      </c>
      <c r="AE116" s="53">
        <f t="shared" si="786"/>
        <v>2</v>
      </c>
      <c r="AF116" s="54">
        <f t="shared" si="787"/>
        <v>4</v>
      </c>
      <c r="AG116" s="53">
        <f t="shared" si="788"/>
        <v>1</v>
      </c>
      <c r="AH116" s="54">
        <f t="shared" si="789"/>
        <v>1</v>
      </c>
      <c r="AI116" s="53">
        <f t="shared" si="790"/>
        <v>2</v>
      </c>
      <c r="AJ116" s="54">
        <f t="shared" si="791"/>
        <v>4</v>
      </c>
      <c r="AK116" s="53">
        <f t="shared" si="792"/>
        <v>2</v>
      </c>
      <c r="AL116" s="54">
        <f t="shared" si="793"/>
        <v>4</v>
      </c>
      <c r="AM116" s="53">
        <f t="shared" si="794"/>
        <v>1</v>
      </c>
      <c r="AN116" s="54">
        <f t="shared" si="795"/>
        <v>3</v>
      </c>
      <c r="AO116" s="53">
        <f t="shared" si="796"/>
        <v>2</v>
      </c>
      <c r="AP116" s="54">
        <f t="shared" si="797"/>
        <v>4</v>
      </c>
      <c r="AQ116" s="49">
        <f t="shared" ref="AQ116:AR116" si="824">SUM(AG116,AI116,AK116,AM116,AO116)</f>
        <v>8</v>
      </c>
      <c r="AR116" s="50">
        <f t="shared" si="824"/>
        <v>16</v>
      </c>
      <c r="AS116" s="53">
        <f t="shared" si="799"/>
        <v>1</v>
      </c>
      <c r="AT116" s="54">
        <f t="shared" si="800"/>
        <v>3</v>
      </c>
      <c r="AU116" s="53">
        <f t="shared" si="801"/>
        <v>1</v>
      </c>
      <c r="AV116" s="54">
        <f t="shared" si="802"/>
        <v>2</v>
      </c>
      <c r="AW116" s="53">
        <f t="shared" si="803"/>
        <v>2</v>
      </c>
      <c r="AX116" s="54">
        <f t="shared" si="804"/>
        <v>4</v>
      </c>
      <c r="AY116" s="53">
        <f t="shared" si="805"/>
        <v>0</v>
      </c>
      <c r="AZ116" s="54">
        <f t="shared" si="806"/>
        <v>0</v>
      </c>
      <c r="BA116" s="53">
        <f t="shared" si="807"/>
        <v>2</v>
      </c>
      <c r="BB116" s="54">
        <f t="shared" si="808"/>
        <v>4</v>
      </c>
      <c r="BC116" s="49">
        <f t="shared" ref="BC116:BD116" si="825">SUM(AS116,AU116,AW116,AY116,BA116)</f>
        <v>6</v>
      </c>
      <c r="BD116" s="50">
        <f t="shared" si="825"/>
        <v>13</v>
      </c>
      <c r="BE116" s="68">
        <f t="shared" ref="BE116:BF116" si="826">SUM(E116,G116,I116,O116,Q116,AC116,AQ116,BC116)</f>
        <v>27</v>
      </c>
      <c r="BF116" s="69">
        <f t="shared" si="826"/>
        <v>52</v>
      </c>
      <c r="BG116" s="46" t="str">
        <f>BF116*'ОВгП_РАО'!$B$6</f>
        <v>#REF!</v>
      </c>
      <c r="BH116" s="46" t="str">
        <f>'ОВгП_РАО'!$B$6</f>
        <v>#REF!</v>
      </c>
    </row>
    <row r="117" ht="15.75" customHeight="1">
      <c r="A117" s="80">
        <f t="shared" si="811"/>
        <v>46264</v>
      </c>
      <c r="B117" s="46" t="s">
        <v>119</v>
      </c>
      <c r="C117" s="45" t="s">
        <v>96</v>
      </c>
      <c r="D117" s="47" t="s">
        <v>120</v>
      </c>
      <c r="E117" s="73">
        <f t="shared" si="762"/>
        <v>1</v>
      </c>
      <c r="F117" s="50">
        <f t="shared" si="763"/>
        <v>2</v>
      </c>
      <c r="G117" s="73">
        <f t="shared" si="764"/>
        <v>0</v>
      </c>
      <c r="H117" s="50">
        <f t="shared" si="765"/>
        <v>0</v>
      </c>
      <c r="I117" s="73">
        <f t="shared" si="766"/>
        <v>1</v>
      </c>
      <c r="J117" s="50">
        <f t="shared" si="767"/>
        <v>2</v>
      </c>
      <c r="K117" s="53">
        <f t="shared" si="768"/>
        <v>1</v>
      </c>
      <c r="L117" s="54">
        <f t="shared" si="769"/>
        <v>1</v>
      </c>
      <c r="M117" s="53">
        <f t="shared" si="770"/>
        <v>1</v>
      </c>
      <c r="N117" s="54">
        <f t="shared" si="771"/>
        <v>2</v>
      </c>
      <c r="O117" s="49">
        <f t="shared" ref="O117:P117" si="827">SUM(K117,M117)</f>
        <v>2</v>
      </c>
      <c r="P117" s="50">
        <f t="shared" si="827"/>
        <v>3</v>
      </c>
      <c r="Q117" s="73">
        <f t="shared" si="773"/>
        <v>2</v>
      </c>
      <c r="R117" s="50">
        <f t="shared" si="774"/>
        <v>4</v>
      </c>
      <c r="S117" s="53">
        <f t="shared" si="775"/>
        <v>2</v>
      </c>
      <c r="T117" s="54">
        <f t="shared" si="776"/>
        <v>4</v>
      </c>
      <c r="U117" s="53">
        <f t="shared" si="777"/>
        <v>1</v>
      </c>
      <c r="V117" s="54">
        <f t="shared" si="778"/>
        <v>3</v>
      </c>
      <c r="W117" s="53">
        <f t="shared" si="779"/>
        <v>1</v>
      </c>
      <c r="X117" s="54">
        <f t="shared" si="780"/>
        <v>2</v>
      </c>
      <c r="Y117" s="53">
        <f t="shared" si="781"/>
        <v>1</v>
      </c>
      <c r="Z117" s="54">
        <f t="shared" si="782"/>
        <v>3</v>
      </c>
      <c r="AA117" s="53">
        <f t="shared" si="783"/>
        <v>0</v>
      </c>
      <c r="AB117" s="54">
        <f t="shared" si="784"/>
        <v>0</v>
      </c>
      <c r="AC117" s="49">
        <f t="shared" ref="AC117:AD117" si="828">SUM(S117,U117,W117,Y117,AA117)</f>
        <v>5</v>
      </c>
      <c r="AD117" s="50">
        <f t="shared" si="828"/>
        <v>12</v>
      </c>
      <c r="AE117" s="53">
        <f t="shared" si="786"/>
        <v>1</v>
      </c>
      <c r="AF117" s="54">
        <f t="shared" si="787"/>
        <v>2</v>
      </c>
      <c r="AG117" s="53">
        <f t="shared" si="788"/>
        <v>1</v>
      </c>
      <c r="AH117" s="54">
        <f t="shared" si="789"/>
        <v>1</v>
      </c>
      <c r="AI117" s="53">
        <f t="shared" si="790"/>
        <v>1</v>
      </c>
      <c r="AJ117" s="54">
        <f t="shared" si="791"/>
        <v>3</v>
      </c>
      <c r="AK117" s="53">
        <f t="shared" si="792"/>
        <v>1</v>
      </c>
      <c r="AL117" s="54">
        <f t="shared" si="793"/>
        <v>1</v>
      </c>
      <c r="AM117" s="53">
        <f t="shared" si="794"/>
        <v>0</v>
      </c>
      <c r="AN117" s="54">
        <f t="shared" si="795"/>
        <v>0</v>
      </c>
      <c r="AO117" s="53">
        <f t="shared" si="796"/>
        <v>1</v>
      </c>
      <c r="AP117" s="54">
        <f t="shared" si="797"/>
        <v>1</v>
      </c>
      <c r="AQ117" s="49">
        <f t="shared" ref="AQ117:AR117" si="829">SUM(AG117,AI117,AK117,AM117,AO117)</f>
        <v>4</v>
      </c>
      <c r="AR117" s="50">
        <f t="shared" si="829"/>
        <v>6</v>
      </c>
      <c r="AS117" s="53">
        <f t="shared" si="799"/>
        <v>1</v>
      </c>
      <c r="AT117" s="54">
        <f t="shared" si="800"/>
        <v>1</v>
      </c>
      <c r="AU117" s="53">
        <f t="shared" si="801"/>
        <v>0</v>
      </c>
      <c r="AV117" s="54">
        <f t="shared" si="802"/>
        <v>0</v>
      </c>
      <c r="AW117" s="53">
        <f t="shared" si="803"/>
        <v>1</v>
      </c>
      <c r="AX117" s="54">
        <f t="shared" si="804"/>
        <v>3</v>
      </c>
      <c r="AY117" s="53">
        <f t="shared" si="805"/>
        <v>1</v>
      </c>
      <c r="AZ117" s="54">
        <f t="shared" si="806"/>
        <v>1</v>
      </c>
      <c r="BA117" s="53">
        <f t="shared" si="807"/>
        <v>2</v>
      </c>
      <c r="BB117" s="54">
        <f t="shared" si="808"/>
        <v>4</v>
      </c>
      <c r="BC117" s="49">
        <f t="shared" ref="BC117:BD117" si="830">SUM(AS117,AU117,AW117,AY117,BA117)</f>
        <v>5</v>
      </c>
      <c r="BD117" s="50">
        <f t="shared" si="830"/>
        <v>9</v>
      </c>
      <c r="BE117" s="68">
        <f t="shared" ref="BE117:BF117" si="831">SUM(E117,G117,I117,O117,Q117,AC117,AQ117,BC117)</f>
        <v>20</v>
      </c>
      <c r="BF117" s="69">
        <f t="shared" si="831"/>
        <v>38</v>
      </c>
      <c r="BG117" s="46" t="str">
        <f>BF117*'ОВгП_РАО'!$B$7</f>
        <v>#REF!</v>
      </c>
      <c r="BH117" s="46" t="str">
        <f>'ОВгП_РАО'!$B$7</f>
        <v>#REF!</v>
      </c>
    </row>
    <row r="118" ht="15.75" customHeight="1">
      <c r="A118" s="80">
        <f t="shared" si="811"/>
        <v>46264</v>
      </c>
      <c r="B118" s="45" t="s">
        <v>121</v>
      </c>
      <c r="C118" s="47" t="s">
        <v>122</v>
      </c>
      <c r="D118" s="47" t="s">
        <v>123</v>
      </c>
      <c r="E118" s="73">
        <f t="shared" si="762"/>
        <v>1</v>
      </c>
      <c r="F118" s="50">
        <f t="shared" si="763"/>
        <v>2</v>
      </c>
      <c r="G118" s="73">
        <f t="shared" si="764"/>
        <v>2</v>
      </c>
      <c r="H118" s="50">
        <f t="shared" si="765"/>
        <v>4</v>
      </c>
      <c r="I118" s="73">
        <f t="shared" si="766"/>
        <v>0</v>
      </c>
      <c r="J118" s="50">
        <f t="shared" si="767"/>
        <v>0</v>
      </c>
      <c r="K118" s="53">
        <f t="shared" si="768"/>
        <v>1</v>
      </c>
      <c r="L118" s="54">
        <f t="shared" si="769"/>
        <v>3</v>
      </c>
      <c r="M118" s="53">
        <f t="shared" si="770"/>
        <v>1</v>
      </c>
      <c r="N118" s="54">
        <f t="shared" si="771"/>
        <v>3</v>
      </c>
      <c r="O118" s="49">
        <f t="shared" ref="O118:P118" si="832">SUM(K118,M118)</f>
        <v>2</v>
      </c>
      <c r="P118" s="50">
        <f t="shared" si="832"/>
        <v>6</v>
      </c>
      <c r="Q118" s="73">
        <f t="shared" si="773"/>
        <v>1</v>
      </c>
      <c r="R118" s="50">
        <f t="shared" si="774"/>
        <v>3</v>
      </c>
      <c r="S118" s="53">
        <f t="shared" si="775"/>
        <v>2</v>
      </c>
      <c r="T118" s="54">
        <f t="shared" si="776"/>
        <v>4</v>
      </c>
      <c r="U118" s="53">
        <f t="shared" si="777"/>
        <v>0</v>
      </c>
      <c r="V118" s="54">
        <f t="shared" si="778"/>
        <v>0</v>
      </c>
      <c r="W118" s="53">
        <f t="shared" si="779"/>
        <v>1</v>
      </c>
      <c r="X118" s="54">
        <f t="shared" si="780"/>
        <v>1</v>
      </c>
      <c r="Y118" s="53">
        <f t="shared" si="781"/>
        <v>1</v>
      </c>
      <c r="Z118" s="54">
        <f t="shared" si="782"/>
        <v>2</v>
      </c>
      <c r="AA118" s="53">
        <f t="shared" si="783"/>
        <v>2</v>
      </c>
      <c r="AB118" s="54">
        <f t="shared" si="784"/>
        <v>4</v>
      </c>
      <c r="AC118" s="49">
        <f t="shared" ref="AC118:AD118" si="833">SUM(S118,U118,W118,Y118,AA118)</f>
        <v>6</v>
      </c>
      <c r="AD118" s="50">
        <f t="shared" si="833"/>
        <v>11</v>
      </c>
      <c r="AE118" s="53">
        <f t="shared" si="786"/>
        <v>1</v>
      </c>
      <c r="AF118" s="54">
        <f t="shared" si="787"/>
        <v>3</v>
      </c>
      <c r="AG118" s="53">
        <f t="shared" si="788"/>
        <v>1</v>
      </c>
      <c r="AH118" s="54">
        <f t="shared" si="789"/>
        <v>3</v>
      </c>
      <c r="AI118" s="53">
        <f t="shared" si="790"/>
        <v>2</v>
      </c>
      <c r="AJ118" s="54">
        <f t="shared" si="791"/>
        <v>4</v>
      </c>
      <c r="AK118" s="53">
        <f t="shared" si="792"/>
        <v>0</v>
      </c>
      <c r="AL118" s="54">
        <f t="shared" si="793"/>
        <v>0</v>
      </c>
      <c r="AM118" s="53">
        <f t="shared" si="794"/>
        <v>1</v>
      </c>
      <c r="AN118" s="54">
        <f t="shared" si="795"/>
        <v>3</v>
      </c>
      <c r="AO118" s="53">
        <f t="shared" si="796"/>
        <v>1</v>
      </c>
      <c r="AP118" s="54">
        <f t="shared" si="797"/>
        <v>2</v>
      </c>
      <c r="AQ118" s="49">
        <f t="shared" ref="AQ118:AR118" si="834">SUM(AG118,AI118,AK118,AM118,AO118)</f>
        <v>5</v>
      </c>
      <c r="AR118" s="50">
        <f t="shared" si="834"/>
        <v>12</v>
      </c>
      <c r="AS118" s="53">
        <f t="shared" si="799"/>
        <v>0</v>
      </c>
      <c r="AT118" s="54">
        <f t="shared" si="800"/>
        <v>0</v>
      </c>
      <c r="AU118" s="53">
        <f t="shared" si="801"/>
        <v>1</v>
      </c>
      <c r="AV118" s="54">
        <f t="shared" si="802"/>
        <v>2</v>
      </c>
      <c r="AW118" s="53">
        <f t="shared" si="803"/>
        <v>1</v>
      </c>
      <c r="AX118" s="54">
        <f t="shared" si="804"/>
        <v>3</v>
      </c>
      <c r="AY118" s="53">
        <f t="shared" si="805"/>
        <v>0</v>
      </c>
      <c r="AZ118" s="54">
        <f t="shared" si="806"/>
        <v>0</v>
      </c>
      <c r="BA118" s="53">
        <f t="shared" si="807"/>
        <v>0</v>
      </c>
      <c r="BB118" s="54">
        <f t="shared" si="808"/>
        <v>0</v>
      </c>
      <c r="BC118" s="49">
        <f t="shared" ref="BC118:BD118" si="835">SUM(AS118,AU118,AW118,AY118,BA118)</f>
        <v>2</v>
      </c>
      <c r="BD118" s="50">
        <f t="shared" si="835"/>
        <v>5</v>
      </c>
      <c r="BE118" s="68">
        <f t="shared" ref="BE118:BF118" si="836">SUM(E118,G118,I118,O118,Q118,AC118,AQ118,BC118)</f>
        <v>19</v>
      </c>
      <c r="BF118" s="69">
        <f t="shared" si="836"/>
        <v>43</v>
      </c>
      <c r="BG118" s="46" t="str">
        <f>BF118*'ОВгП_РАО'!$B$8</f>
        <v>#REF!</v>
      </c>
      <c r="BH118" s="46" t="str">
        <f>'ОВгП_РАО'!$B$8</f>
        <v>#REF!</v>
      </c>
    </row>
    <row r="119" ht="15.75" customHeight="1">
      <c r="A119" s="80">
        <f t="shared" si="811"/>
        <v>46264</v>
      </c>
      <c r="B119" s="46" t="s">
        <v>124</v>
      </c>
      <c r="C119" s="46" t="s">
        <v>125</v>
      </c>
      <c r="D119" s="46" t="s">
        <v>126</v>
      </c>
      <c r="E119" s="73">
        <f t="shared" si="762"/>
        <v>1</v>
      </c>
      <c r="F119" s="50">
        <f t="shared" si="763"/>
        <v>2</v>
      </c>
      <c r="G119" s="73">
        <f t="shared" si="764"/>
        <v>1</v>
      </c>
      <c r="H119" s="50">
        <f t="shared" si="765"/>
        <v>3</v>
      </c>
      <c r="I119" s="73">
        <f t="shared" si="766"/>
        <v>1</v>
      </c>
      <c r="J119" s="50">
        <f t="shared" si="767"/>
        <v>1</v>
      </c>
      <c r="K119" s="53">
        <f t="shared" si="768"/>
        <v>0</v>
      </c>
      <c r="L119" s="54">
        <f t="shared" si="769"/>
        <v>0</v>
      </c>
      <c r="M119" s="53">
        <f t="shared" si="770"/>
        <v>2</v>
      </c>
      <c r="N119" s="54">
        <f t="shared" si="771"/>
        <v>4</v>
      </c>
      <c r="O119" s="49">
        <f t="shared" ref="O119:P119" si="837">SUM(K119,M119)</f>
        <v>2</v>
      </c>
      <c r="P119" s="50">
        <f t="shared" si="837"/>
        <v>4</v>
      </c>
      <c r="Q119" s="73">
        <f t="shared" si="773"/>
        <v>0</v>
      </c>
      <c r="R119" s="50">
        <f t="shared" si="774"/>
        <v>0</v>
      </c>
      <c r="S119" s="53">
        <f t="shared" si="775"/>
        <v>1</v>
      </c>
      <c r="T119" s="54">
        <f t="shared" si="776"/>
        <v>2</v>
      </c>
      <c r="U119" s="53">
        <f t="shared" si="777"/>
        <v>1</v>
      </c>
      <c r="V119" s="54">
        <f t="shared" si="778"/>
        <v>3</v>
      </c>
      <c r="W119" s="53">
        <f t="shared" si="779"/>
        <v>1</v>
      </c>
      <c r="X119" s="54">
        <f t="shared" si="780"/>
        <v>2</v>
      </c>
      <c r="Y119" s="53">
        <f t="shared" si="781"/>
        <v>1</v>
      </c>
      <c r="Z119" s="54">
        <f t="shared" si="782"/>
        <v>2</v>
      </c>
      <c r="AA119" s="53">
        <f t="shared" si="783"/>
        <v>2</v>
      </c>
      <c r="AB119" s="54">
        <f t="shared" si="784"/>
        <v>4</v>
      </c>
      <c r="AC119" s="49">
        <f t="shared" ref="AC119:AD119" si="838">SUM(S119,U119,W119,Y119,AA119)</f>
        <v>6</v>
      </c>
      <c r="AD119" s="50">
        <f t="shared" si="838"/>
        <v>13</v>
      </c>
      <c r="AE119" s="53">
        <f t="shared" si="786"/>
        <v>0</v>
      </c>
      <c r="AF119" s="54">
        <f t="shared" si="787"/>
        <v>0</v>
      </c>
      <c r="AG119" s="53">
        <f t="shared" si="788"/>
        <v>0</v>
      </c>
      <c r="AH119" s="54">
        <f t="shared" si="789"/>
        <v>0</v>
      </c>
      <c r="AI119" s="53">
        <f t="shared" si="790"/>
        <v>1</v>
      </c>
      <c r="AJ119" s="54">
        <f t="shared" si="791"/>
        <v>2</v>
      </c>
      <c r="AK119" s="53">
        <f t="shared" si="792"/>
        <v>1</v>
      </c>
      <c r="AL119" s="54">
        <f t="shared" si="793"/>
        <v>1</v>
      </c>
      <c r="AM119" s="53">
        <f t="shared" si="794"/>
        <v>1</v>
      </c>
      <c r="AN119" s="54">
        <f t="shared" si="795"/>
        <v>3</v>
      </c>
      <c r="AO119" s="53">
        <f t="shared" si="796"/>
        <v>1</v>
      </c>
      <c r="AP119" s="54">
        <f t="shared" si="797"/>
        <v>1</v>
      </c>
      <c r="AQ119" s="49">
        <f t="shared" ref="AQ119:AR119" si="839">SUM(AG119,AI119,AK119,AM119,AO119)</f>
        <v>4</v>
      </c>
      <c r="AR119" s="50">
        <f t="shared" si="839"/>
        <v>7</v>
      </c>
      <c r="AS119" s="53">
        <f t="shared" si="799"/>
        <v>1</v>
      </c>
      <c r="AT119" s="54">
        <f t="shared" si="800"/>
        <v>2</v>
      </c>
      <c r="AU119" s="53">
        <f t="shared" si="801"/>
        <v>0</v>
      </c>
      <c r="AV119" s="54">
        <f t="shared" si="802"/>
        <v>0</v>
      </c>
      <c r="AW119" s="53">
        <f t="shared" si="803"/>
        <v>1</v>
      </c>
      <c r="AX119" s="54">
        <f t="shared" si="804"/>
        <v>1</v>
      </c>
      <c r="AY119" s="53">
        <f t="shared" si="805"/>
        <v>1</v>
      </c>
      <c r="AZ119" s="54">
        <f t="shared" si="806"/>
        <v>1</v>
      </c>
      <c r="BA119" s="53">
        <f t="shared" si="807"/>
        <v>2</v>
      </c>
      <c r="BB119" s="54">
        <f t="shared" si="808"/>
        <v>4</v>
      </c>
      <c r="BC119" s="49">
        <f t="shared" ref="BC119:BD119" si="840">SUM(AS119,AU119,AW119,AY119,BA119)</f>
        <v>5</v>
      </c>
      <c r="BD119" s="50">
        <f t="shared" si="840"/>
        <v>8</v>
      </c>
      <c r="BE119" s="68">
        <f t="shared" ref="BE119:BF119" si="841">SUM(E119,G119,I119,O119,Q119,AC119,AQ119,BC119)</f>
        <v>20</v>
      </c>
      <c r="BF119" s="69">
        <f t="shared" si="841"/>
        <v>38</v>
      </c>
      <c r="BG119" s="46" t="str">
        <f>BF119*'ОВгП_РАО'!$B$9</f>
        <v>#REF!</v>
      </c>
      <c r="BH119" s="46" t="str">
        <f>'ОВгП_РАО'!$B$9</f>
        <v>#REF!</v>
      </c>
    </row>
    <row r="120" ht="15.75" customHeight="1">
      <c r="A120" s="80">
        <f t="shared" si="811"/>
        <v>46264</v>
      </c>
      <c r="B120" s="46" t="s">
        <v>127</v>
      </c>
      <c r="C120" s="46" t="s">
        <v>125</v>
      </c>
      <c r="D120" s="46" t="s">
        <v>126</v>
      </c>
      <c r="E120" s="73">
        <f t="shared" si="762"/>
        <v>1</v>
      </c>
      <c r="F120" s="50">
        <f t="shared" si="763"/>
        <v>1</v>
      </c>
      <c r="G120" s="73">
        <f t="shared" si="764"/>
        <v>1</v>
      </c>
      <c r="H120" s="50">
        <f t="shared" si="765"/>
        <v>1</v>
      </c>
      <c r="I120" s="73">
        <f t="shared" si="766"/>
        <v>0</v>
      </c>
      <c r="J120" s="50">
        <f t="shared" si="767"/>
        <v>0</v>
      </c>
      <c r="K120" s="53">
        <f t="shared" si="768"/>
        <v>0</v>
      </c>
      <c r="L120" s="54">
        <f t="shared" si="769"/>
        <v>0</v>
      </c>
      <c r="M120" s="53">
        <f t="shared" si="770"/>
        <v>1</v>
      </c>
      <c r="N120" s="54">
        <f t="shared" si="771"/>
        <v>1</v>
      </c>
      <c r="O120" s="49">
        <f t="shared" ref="O120:P120" si="842">SUM(K120,M120)</f>
        <v>1</v>
      </c>
      <c r="P120" s="50">
        <f t="shared" si="842"/>
        <v>1</v>
      </c>
      <c r="Q120" s="73">
        <f t="shared" si="773"/>
        <v>0</v>
      </c>
      <c r="R120" s="50">
        <f t="shared" si="774"/>
        <v>0</v>
      </c>
      <c r="S120" s="53">
        <f t="shared" si="775"/>
        <v>1</v>
      </c>
      <c r="T120" s="54">
        <f t="shared" si="776"/>
        <v>1</v>
      </c>
      <c r="U120" s="53">
        <f t="shared" si="777"/>
        <v>1</v>
      </c>
      <c r="V120" s="54">
        <f t="shared" si="778"/>
        <v>2</v>
      </c>
      <c r="W120" s="53">
        <f t="shared" si="779"/>
        <v>0</v>
      </c>
      <c r="X120" s="54">
        <f t="shared" si="780"/>
        <v>0</v>
      </c>
      <c r="Y120" s="53">
        <f t="shared" si="781"/>
        <v>0</v>
      </c>
      <c r="Z120" s="54">
        <f t="shared" si="782"/>
        <v>0</v>
      </c>
      <c r="AA120" s="53">
        <f t="shared" si="783"/>
        <v>2</v>
      </c>
      <c r="AB120" s="54">
        <f t="shared" si="784"/>
        <v>4</v>
      </c>
      <c r="AC120" s="49">
        <f t="shared" ref="AC120:AD120" si="843">SUM(S120,U120,W120,Y120,AA120)</f>
        <v>4</v>
      </c>
      <c r="AD120" s="50">
        <f t="shared" si="843"/>
        <v>7</v>
      </c>
      <c r="AE120" s="53">
        <f t="shared" si="786"/>
        <v>1</v>
      </c>
      <c r="AF120" s="54">
        <f t="shared" si="787"/>
        <v>3</v>
      </c>
      <c r="AG120" s="53">
        <f t="shared" si="788"/>
        <v>2</v>
      </c>
      <c r="AH120" s="54">
        <f t="shared" si="789"/>
        <v>4</v>
      </c>
      <c r="AI120" s="53">
        <f t="shared" si="790"/>
        <v>0</v>
      </c>
      <c r="AJ120" s="54">
        <f t="shared" si="791"/>
        <v>0</v>
      </c>
      <c r="AK120" s="53">
        <f t="shared" si="792"/>
        <v>2</v>
      </c>
      <c r="AL120" s="54">
        <f t="shared" si="793"/>
        <v>4</v>
      </c>
      <c r="AM120" s="53">
        <f t="shared" si="794"/>
        <v>1</v>
      </c>
      <c r="AN120" s="54">
        <f t="shared" si="795"/>
        <v>3</v>
      </c>
      <c r="AO120" s="53">
        <f t="shared" si="796"/>
        <v>1</v>
      </c>
      <c r="AP120" s="54">
        <f t="shared" si="797"/>
        <v>2</v>
      </c>
      <c r="AQ120" s="49">
        <f t="shared" ref="AQ120:AR120" si="844">SUM(AG120,AI120,AK120,AM120,AO120)</f>
        <v>6</v>
      </c>
      <c r="AR120" s="50">
        <f t="shared" si="844"/>
        <v>13</v>
      </c>
      <c r="AS120" s="53">
        <f t="shared" si="799"/>
        <v>1</v>
      </c>
      <c r="AT120" s="54">
        <f t="shared" si="800"/>
        <v>3</v>
      </c>
      <c r="AU120" s="53">
        <f t="shared" si="801"/>
        <v>1</v>
      </c>
      <c r="AV120" s="54">
        <f t="shared" si="802"/>
        <v>3</v>
      </c>
      <c r="AW120" s="53">
        <f t="shared" si="803"/>
        <v>2</v>
      </c>
      <c r="AX120" s="54">
        <f t="shared" si="804"/>
        <v>4</v>
      </c>
      <c r="AY120" s="53">
        <f t="shared" si="805"/>
        <v>1</v>
      </c>
      <c r="AZ120" s="54">
        <f t="shared" si="806"/>
        <v>3</v>
      </c>
      <c r="BA120" s="53">
        <f t="shared" si="807"/>
        <v>1</v>
      </c>
      <c r="BB120" s="54">
        <f t="shared" si="808"/>
        <v>1</v>
      </c>
      <c r="BC120" s="49">
        <f t="shared" ref="BC120:BD120" si="845">SUM(AS120,AU120,AW120,AY120,BA120)</f>
        <v>6</v>
      </c>
      <c r="BD120" s="50">
        <f t="shared" si="845"/>
        <v>14</v>
      </c>
      <c r="BE120" s="68">
        <f t="shared" ref="BE120:BF120" si="846">SUM(E120,G120,I120,O120,Q120,AC120,AQ120,BC120)</f>
        <v>19</v>
      </c>
      <c r="BF120" s="69">
        <f t="shared" si="846"/>
        <v>37</v>
      </c>
      <c r="BG120" s="46" t="str">
        <f>BF120*'ОВгП_РАО'!$B$10</f>
        <v>#REF!</v>
      </c>
      <c r="BH120" s="46" t="str">
        <f>'ОВгП_РАО'!$B$10</f>
        <v>#REF!</v>
      </c>
    </row>
    <row r="121" ht="15.75" customHeight="1">
      <c r="A121" s="80">
        <f t="shared" si="811"/>
        <v>46264</v>
      </c>
      <c r="B121" s="46" t="s">
        <v>128</v>
      </c>
      <c r="C121" s="46" t="s">
        <v>125</v>
      </c>
      <c r="D121" s="46" t="s">
        <v>126</v>
      </c>
      <c r="E121" s="73">
        <f t="shared" si="762"/>
        <v>0</v>
      </c>
      <c r="F121" s="50">
        <f t="shared" si="763"/>
        <v>0</v>
      </c>
      <c r="G121" s="73">
        <f t="shared" si="764"/>
        <v>1</v>
      </c>
      <c r="H121" s="50">
        <f t="shared" si="765"/>
        <v>1</v>
      </c>
      <c r="I121" s="73">
        <f t="shared" si="766"/>
        <v>1</v>
      </c>
      <c r="J121" s="50">
        <f t="shared" si="767"/>
        <v>2</v>
      </c>
      <c r="K121" s="53">
        <f t="shared" si="768"/>
        <v>1</v>
      </c>
      <c r="L121" s="54">
        <f t="shared" si="769"/>
        <v>2</v>
      </c>
      <c r="M121" s="53">
        <f t="shared" si="770"/>
        <v>2</v>
      </c>
      <c r="N121" s="54">
        <f t="shared" si="771"/>
        <v>4</v>
      </c>
      <c r="O121" s="49">
        <f t="shared" ref="O121:P121" si="847">SUM(K121,M121)</f>
        <v>3</v>
      </c>
      <c r="P121" s="50">
        <f t="shared" si="847"/>
        <v>6</v>
      </c>
      <c r="Q121" s="73">
        <f t="shared" si="773"/>
        <v>1</v>
      </c>
      <c r="R121" s="50">
        <f t="shared" si="774"/>
        <v>3</v>
      </c>
      <c r="S121" s="53">
        <f t="shared" si="775"/>
        <v>0</v>
      </c>
      <c r="T121" s="54">
        <f t="shared" si="776"/>
        <v>0</v>
      </c>
      <c r="U121" s="53">
        <f t="shared" si="777"/>
        <v>1</v>
      </c>
      <c r="V121" s="54">
        <f t="shared" si="778"/>
        <v>3</v>
      </c>
      <c r="W121" s="53">
        <f t="shared" si="779"/>
        <v>2</v>
      </c>
      <c r="X121" s="54">
        <f t="shared" si="780"/>
        <v>4</v>
      </c>
      <c r="Y121" s="53">
        <f t="shared" si="781"/>
        <v>0</v>
      </c>
      <c r="Z121" s="54">
        <f t="shared" si="782"/>
        <v>0</v>
      </c>
      <c r="AA121" s="53">
        <f t="shared" si="783"/>
        <v>1</v>
      </c>
      <c r="AB121" s="54">
        <f t="shared" si="784"/>
        <v>2</v>
      </c>
      <c r="AC121" s="49">
        <f t="shared" ref="AC121:AD121" si="848">SUM(S121,U121,W121,Y121,AA121)</f>
        <v>4</v>
      </c>
      <c r="AD121" s="50">
        <f t="shared" si="848"/>
        <v>9</v>
      </c>
      <c r="AE121" s="53">
        <f t="shared" si="786"/>
        <v>0</v>
      </c>
      <c r="AF121" s="54">
        <f t="shared" si="787"/>
        <v>0</v>
      </c>
      <c r="AG121" s="53">
        <f t="shared" si="788"/>
        <v>0</v>
      </c>
      <c r="AH121" s="54">
        <f t="shared" si="789"/>
        <v>0</v>
      </c>
      <c r="AI121" s="53">
        <f t="shared" si="790"/>
        <v>1</v>
      </c>
      <c r="AJ121" s="54">
        <f t="shared" si="791"/>
        <v>3</v>
      </c>
      <c r="AK121" s="53">
        <f t="shared" si="792"/>
        <v>0</v>
      </c>
      <c r="AL121" s="54">
        <f t="shared" si="793"/>
        <v>0</v>
      </c>
      <c r="AM121" s="53">
        <f t="shared" si="794"/>
        <v>1</v>
      </c>
      <c r="AN121" s="54">
        <f t="shared" si="795"/>
        <v>2</v>
      </c>
      <c r="AO121" s="53">
        <f t="shared" si="796"/>
        <v>2</v>
      </c>
      <c r="AP121" s="54">
        <f t="shared" si="797"/>
        <v>4</v>
      </c>
      <c r="AQ121" s="49">
        <f t="shared" ref="AQ121:AR121" si="849">SUM(AG121,AI121,AK121,AM121,AO121)</f>
        <v>4</v>
      </c>
      <c r="AR121" s="50">
        <f t="shared" si="849"/>
        <v>9</v>
      </c>
      <c r="AS121" s="53">
        <f t="shared" si="799"/>
        <v>1</v>
      </c>
      <c r="AT121" s="54">
        <f t="shared" si="800"/>
        <v>2</v>
      </c>
      <c r="AU121" s="53">
        <f t="shared" si="801"/>
        <v>1</v>
      </c>
      <c r="AV121" s="54">
        <f t="shared" si="802"/>
        <v>1</v>
      </c>
      <c r="AW121" s="53">
        <f t="shared" si="803"/>
        <v>2</v>
      </c>
      <c r="AX121" s="54">
        <f t="shared" si="804"/>
        <v>4</v>
      </c>
      <c r="AY121" s="53">
        <f t="shared" si="805"/>
        <v>1</v>
      </c>
      <c r="AZ121" s="54">
        <f t="shared" si="806"/>
        <v>3</v>
      </c>
      <c r="BA121" s="53">
        <f t="shared" si="807"/>
        <v>0</v>
      </c>
      <c r="BB121" s="54">
        <f t="shared" si="808"/>
        <v>0</v>
      </c>
      <c r="BC121" s="49">
        <f t="shared" ref="BC121:BD121" si="850">SUM(AS121,AU121,AW121,AY121,BA121)</f>
        <v>5</v>
      </c>
      <c r="BD121" s="50">
        <f t="shared" si="850"/>
        <v>10</v>
      </c>
      <c r="BE121" s="68">
        <f t="shared" ref="BE121:BF121" si="851">SUM(E121,G121,I121,O121,Q121,AC121,AQ121,BC121)</f>
        <v>19</v>
      </c>
      <c r="BF121" s="69">
        <f t="shared" si="851"/>
        <v>40</v>
      </c>
      <c r="BG121" s="46" t="str">
        <f>BF121*'ОВгП_РАО'!$B$11</f>
        <v>#REF!</v>
      </c>
      <c r="BH121" s="46" t="str">
        <f>'ОВгП_РАО'!$B$11</f>
        <v>#REF!</v>
      </c>
    </row>
    <row r="122" ht="15.75" customHeight="1">
      <c r="A122" s="80">
        <f t="shared" si="811"/>
        <v>46264</v>
      </c>
      <c r="B122" s="45" t="s">
        <v>129</v>
      </c>
      <c r="C122" s="46" t="s">
        <v>125</v>
      </c>
      <c r="D122" s="45" t="s">
        <v>130</v>
      </c>
      <c r="E122" s="73">
        <f t="shared" si="762"/>
        <v>0</v>
      </c>
      <c r="F122" s="50">
        <f t="shared" si="763"/>
        <v>0</v>
      </c>
      <c r="G122" s="73">
        <f t="shared" si="764"/>
        <v>2</v>
      </c>
      <c r="H122" s="50">
        <f t="shared" si="765"/>
        <v>4</v>
      </c>
      <c r="I122" s="73">
        <f t="shared" si="766"/>
        <v>1</v>
      </c>
      <c r="J122" s="50">
        <f t="shared" si="767"/>
        <v>1</v>
      </c>
      <c r="K122" s="53">
        <f t="shared" si="768"/>
        <v>2</v>
      </c>
      <c r="L122" s="54">
        <f t="shared" si="769"/>
        <v>4</v>
      </c>
      <c r="M122" s="53">
        <f t="shared" si="770"/>
        <v>2</v>
      </c>
      <c r="N122" s="54">
        <f t="shared" si="771"/>
        <v>4</v>
      </c>
      <c r="O122" s="49">
        <f t="shared" ref="O122:P122" si="852">SUM(K122,M122)</f>
        <v>4</v>
      </c>
      <c r="P122" s="50">
        <f t="shared" si="852"/>
        <v>8</v>
      </c>
      <c r="Q122" s="73">
        <f t="shared" si="773"/>
        <v>1</v>
      </c>
      <c r="R122" s="50">
        <f t="shared" si="774"/>
        <v>2</v>
      </c>
      <c r="S122" s="53">
        <f t="shared" si="775"/>
        <v>1</v>
      </c>
      <c r="T122" s="54">
        <f t="shared" si="776"/>
        <v>2</v>
      </c>
      <c r="U122" s="53">
        <f t="shared" si="777"/>
        <v>1</v>
      </c>
      <c r="V122" s="54">
        <f t="shared" si="778"/>
        <v>3</v>
      </c>
      <c r="W122" s="53">
        <f t="shared" si="779"/>
        <v>1</v>
      </c>
      <c r="X122" s="54">
        <f t="shared" si="780"/>
        <v>3</v>
      </c>
      <c r="Y122" s="53">
        <f t="shared" si="781"/>
        <v>1</v>
      </c>
      <c r="Z122" s="54">
        <f t="shared" si="782"/>
        <v>2</v>
      </c>
      <c r="AA122" s="53">
        <f t="shared" si="783"/>
        <v>1</v>
      </c>
      <c r="AB122" s="54">
        <f t="shared" si="784"/>
        <v>2</v>
      </c>
      <c r="AC122" s="49">
        <f t="shared" ref="AC122:AD122" si="853">SUM(S122,U122,W122,Y122,AA122)</f>
        <v>5</v>
      </c>
      <c r="AD122" s="50">
        <f t="shared" si="853"/>
        <v>12</v>
      </c>
      <c r="AE122" s="53">
        <f t="shared" si="786"/>
        <v>0</v>
      </c>
      <c r="AF122" s="54">
        <f t="shared" si="787"/>
        <v>0</v>
      </c>
      <c r="AG122" s="53">
        <f t="shared" si="788"/>
        <v>0</v>
      </c>
      <c r="AH122" s="54">
        <f t="shared" si="789"/>
        <v>0</v>
      </c>
      <c r="AI122" s="53">
        <f t="shared" si="790"/>
        <v>0</v>
      </c>
      <c r="AJ122" s="54">
        <f t="shared" si="791"/>
        <v>0</v>
      </c>
      <c r="AK122" s="53">
        <f t="shared" si="792"/>
        <v>1</v>
      </c>
      <c r="AL122" s="54">
        <f t="shared" si="793"/>
        <v>2</v>
      </c>
      <c r="AM122" s="53">
        <f t="shared" si="794"/>
        <v>1</v>
      </c>
      <c r="AN122" s="54">
        <f t="shared" si="795"/>
        <v>3</v>
      </c>
      <c r="AO122" s="53">
        <f t="shared" si="796"/>
        <v>2</v>
      </c>
      <c r="AP122" s="54">
        <f t="shared" si="797"/>
        <v>4</v>
      </c>
      <c r="AQ122" s="49">
        <f t="shared" ref="AQ122:AR122" si="854">SUM(AG122,AI122,AK122,AM122,AO122)</f>
        <v>4</v>
      </c>
      <c r="AR122" s="50">
        <f t="shared" si="854"/>
        <v>9</v>
      </c>
      <c r="AS122" s="53">
        <f t="shared" si="799"/>
        <v>2</v>
      </c>
      <c r="AT122" s="54">
        <f t="shared" si="800"/>
        <v>4</v>
      </c>
      <c r="AU122" s="53">
        <f t="shared" si="801"/>
        <v>2</v>
      </c>
      <c r="AV122" s="54">
        <f t="shared" si="802"/>
        <v>4</v>
      </c>
      <c r="AW122" s="53">
        <f t="shared" si="803"/>
        <v>1</v>
      </c>
      <c r="AX122" s="54">
        <f t="shared" si="804"/>
        <v>2</v>
      </c>
      <c r="AY122" s="53">
        <f t="shared" si="805"/>
        <v>1</v>
      </c>
      <c r="AZ122" s="54">
        <f t="shared" si="806"/>
        <v>1</v>
      </c>
      <c r="BA122" s="53">
        <f t="shared" si="807"/>
        <v>0</v>
      </c>
      <c r="BB122" s="54">
        <f t="shared" si="808"/>
        <v>0</v>
      </c>
      <c r="BC122" s="49">
        <f t="shared" ref="BC122:BD122" si="855">SUM(AS122,AU122,AW122,AY122,BA122)</f>
        <v>6</v>
      </c>
      <c r="BD122" s="50">
        <f t="shared" si="855"/>
        <v>11</v>
      </c>
      <c r="BE122" s="68">
        <f t="shared" ref="BE122:BF122" si="856">SUM(E122,G122,I122,O122,Q122,AC122,AQ122,BC122)</f>
        <v>23</v>
      </c>
      <c r="BF122" s="69">
        <f t="shared" si="856"/>
        <v>47</v>
      </c>
      <c r="BG122" s="46" t="str">
        <f>BF122*'ОВгП_РАО'!$B$12</f>
        <v>#REF!</v>
      </c>
      <c r="BH122" s="46" t="str">
        <f>'ОВгП_РАО'!$B$12</f>
        <v>#REF!</v>
      </c>
    </row>
    <row r="123" ht="15.75" customHeight="1">
      <c r="A123" s="80">
        <f t="shared" si="811"/>
        <v>46264</v>
      </c>
      <c r="B123" s="47" t="s">
        <v>131</v>
      </c>
      <c r="C123" s="47" t="s">
        <v>122</v>
      </c>
      <c r="D123" s="47" t="s">
        <v>123</v>
      </c>
      <c r="E123" s="73">
        <f t="shared" si="762"/>
        <v>1</v>
      </c>
      <c r="F123" s="50">
        <f t="shared" si="763"/>
        <v>2</v>
      </c>
      <c r="G123" s="73">
        <f t="shared" si="764"/>
        <v>0</v>
      </c>
      <c r="H123" s="50">
        <f t="shared" si="765"/>
        <v>0</v>
      </c>
      <c r="I123" s="73">
        <f t="shared" si="766"/>
        <v>1</v>
      </c>
      <c r="J123" s="50">
        <f t="shared" si="767"/>
        <v>2</v>
      </c>
      <c r="K123" s="53">
        <f t="shared" si="768"/>
        <v>1</v>
      </c>
      <c r="L123" s="54">
        <f t="shared" si="769"/>
        <v>1</v>
      </c>
      <c r="M123" s="53">
        <f t="shared" si="770"/>
        <v>2</v>
      </c>
      <c r="N123" s="54">
        <f t="shared" si="771"/>
        <v>4</v>
      </c>
      <c r="O123" s="49">
        <f t="shared" ref="O123:P123" si="857">SUM(K123,M123)</f>
        <v>3</v>
      </c>
      <c r="P123" s="50">
        <f t="shared" si="857"/>
        <v>5</v>
      </c>
      <c r="Q123" s="73">
        <f t="shared" si="773"/>
        <v>1</v>
      </c>
      <c r="R123" s="50">
        <f t="shared" si="774"/>
        <v>2</v>
      </c>
      <c r="S123" s="53">
        <f t="shared" si="775"/>
        <v>1</v>
      </c>
      <c r="T123" s="54">
        <f t="shared" si="776"/>
        <v>1</v>
      </c>
      <c r="U123" s="53">
        <f t="shared" si="777"/>
        <v>1</v>
      </c>
      <c r="V123" s="54">
        <f t="shared" si="778"/>
        <v>2</v>
      </c>
      <c r="W123" s="53">
        <f t="shared" si="779"/>
        <v>1</v>
      </c>
      <c r="X123" s="54">
        <f t="shared" si="780"/>
        <v>1</v>
      </c>
      <c r="Y123" s="53">
        <f t="shared" si="781"/>
        <v>1</v>
      </c>
      <c r="Z123" s="54">
        <f t="shared" si="782"/>
        <v>1</v>
      </c>
      <c r="AA123" s="53">
        <f t="shared" si="783"/>
        <v>1</v>
      </c>
      <c r="AB123" s="54">
        <f t="shared" si="784"/>
        <v>3</v>
      </c>
      <c r="AC123" s="49">
        <f t="shared" ref="AC123:AD123" si="858">SUM(S123,U123,W123,Y123,AA123)</f>
        <v>5</v>
      </c>
      <c r="AD123" s="50">
        <f t="shared" si="858"/>
        <v>8</v>
      </c>
      <c r="AE123" s="53">
        <f t="shared" si="786"/>
        <v>0</v>
      </c>
      <c r="AF123" s="54">
        <f t="shared" si="787"/>
        <v>0</v>
      </c>
      <c r="AG123" s="53">
        <f t="shared" si="788"/>
        <v>2</v>
      </c>
      <c r="AH123" s="54">
        <f t="shared" si="789"/>
        <v>4</v>
      </c>
      <c r="AI123" s="53">
        <f t="shared" si="790"/>
        <v>1</v>
      </c>
      <c r="AJ123" s="54">
        <f t="shared" si="791"/>
        <v>2</v>
      </c>
      <c r="AK123" s="53">
        <f t="shared" si="792"/>
        <v>1</v>
      </c>
      <c r="AL123" s="54">
        <f t="shared" si="793"/>
        <v>2</v>
      </c>
      <c r="AM123" s="53">
        <f t="shared" si="794"/>
        <v>0</v>
      </c>
      <c r="AN123" s="54">
        <f t="shared" si="795"/>
        <v>0</v>
      </c>
      <c r="AO123" s="53">
        <f t="shared" si="796"/>
        <v>1</v>
      </c>
      <c r="AP123" s="54">
        <f t="shared" si="797"/>
        <v>2</v>
      </c>
      <c r="AQ123" s="49">
        <f t="shared" ref="AQ123:AR123" si="859">SUM(AG123,AI123,AK123,AM123,AO123)</f>
        <v>5</v>
      </c>
      <c r="AR123" s="50">
        <f t="shared" si="859"/>
        <v>10</v>
      </c>
      <c r="AS123" s="53">
        <f t="shared" si="799"/>
        <v>2</v>
      </c>
      <c r="AT123" s="54">
        <f t="shared" si="800"/>
        <v>4</v>
      </c>
      <c r="AU123" s="53">
        <f t="shared" si="801"/>
        <v>2</v>
      </c>
      <c r="AV123" s="54">
        <f t="shared" si="802"/>
        <v>4</v>
      </c>
      <c r="AW123" s="53">
        <f t="shared" si="803"/>
        <v>0</v>
      </c>
      <c r="AX123" s="54">
        <f t="shared" si="804"/>
        <v>0</v>
      </c>
      <c r="AY123" s="53">
        <f t="shared" si="805"/>
        <v>0</v>
      </c>
      <c r="AZ123" s="54">
        <f t="shared" si="806"/>
        <v>0</v>
      </c>
      <c r="BA123" s="53">
        <f t="shared" si="807"/>
        <v>1</v>
      </c>
      <c r="BB123" s="54">
        <f t="shared" si="808"/>
        <v>3</v>
      </c>
      <c r="BC123" s="49">
        <f t="shared" ref="BC123:BD123" si="860">SUM(AS123,AU123,AW123,AY123,BA123)</f>
        <v>5</v>
      </c>
      <c r="BD123" s="50">
        <f t="shared" si="860"/>
        <v>11</v>
      </c>
      <c r="BE123" s="68">
        <f t="shared" ref="BE123:BF123" si="861">SUM(E123,G123,I123,O123,Q123,AC123,AQ123,BC123)</f>
        <v>21</v>
      </c>
      <c r="BF123" s="69">
        <f t="shared" si="861"/>
        <v>40</v>
      </c>
      <c r="BG123" s="46" t="str">
        <f>BF123*'ОВгП_РАО'!$B$13</f>
        <v>#REF!</v>
      </c>
      <c r="BH123" s="46" t="str">
        <f>'ОВгП_РАО'!$B$13</f>
        <v>#REF!</v>
      </c>
    </row>
    <row r="124" ht="15.75" customHeight="1">
      <c r="A124" s="80">
        <f t="shared" si="811"/>
        <v>46264</v>
      </c>
      <c r="B124" s="47" t="s">
        <v>132</v>
      </c>
      <c r="C124" s="47" t="s">
        <v>122</v>
      </c>
      <c r="D124" s="47" t="s">
        <v>123</v>
      </c>
      <c r="E124" s="73">
        <f t="shared" si="762"/>
        <v>1</v>
      </c>
      <c r="F124" s="50">
        <f t="shared" si="763"/>
        <v>1</v>
      </c>
      <c r="G124" s="73">
        <f t="shared" si="764"/>
        <v>1</v>
      </c>
      <c r="H124" s="50">
        <f t="shared" si="765"/>
        <v>3</v>
      </c>
      <c r="I124" s="73">
        <f t="shared" si="766"/>
        <v>1</v>
      </c>
      <c r="J124" s="50">
        <f t="shared" si="767"/>
        <v>3</v>
      </c>
      <c r="K124" s="53">
        <f t="shared" si="768"/>
        <v>0</v>
      </c>
      <c r="L124" s="54">
        <f t="shared" si="769"/>
        <v>0</v>
      </c>
      <c r="M124" s="53">
        <f t="shared" si="770"/>
        <v>2</v>
      </c>
      <c r="N124" s="54">
        <f t="shared" si="771"/>
        <v>4</v>
      </c>
      <c r="O124" s="49">
        <f t="shared" ref="O124:P124" si="862">SUM(K124,M124)</f>
        <v>2</v>
      </c>
      <c r="P124" s="50">
        <f t="shared" si="862"/>
        <v>4</v>
      </c>
      <c r="Q124" s="73">
        <f t="shared" si="773"/>
        <v>2</v>
      </c>
      <c r="R124" s="50">
        <f t="shared" si="774"/>
        <v>4</v>
      </c>
      <c r="S124" s="53">
        <f t="shared" si="775"/>
        <v>0</v>
      </c>
      <c r="T124" s="54">
        <f t="shared" si="776"/>
        <v>0</v>
      </c>
      <c r="U124" s="53">
        <f t="shared" si="777"/>
        <v>0</v>
      </c>
      <c r="V124" s="54">
        <f t="shared" si="778"/>
        <v>0</v>
      </c>
      <c r="W124" s="53">
        <f t="shared" si="779"/>
        <v>1</v>
      </c>
      <c r="X124" s="54">
        <f t="shared" si="780"/>
        <v>2</v>
      </c>
      <c r="Y124" s="53">
        <f t="shared" si="781"/>
        <v>1</v>
      </c>
      <c r="Z124" s="54">
        <f t="shared" si="782"/>
        <v>3</v>
      </c>
      <c r="AA124" s="53">
        <f t="shared" si="783"/>
        <v>0</v>
      </c>
      <c r="AB124" s="54">
        <f t="shared" si="784"/>
        <v>0</v>
      </c>
      <c r="AC124" s="49">
        <f t="shared" ref="AC124:AD124" si="863">SUM(S124,U124,W124,Y124,AA124)</f>
        <v>2</v>
      </c>
      <c r="AD124" s="50">
        <f t="shared" si="863"/>
        <v>5</v>
      </c>
      <c r="AE124" s="53">
        <f t="shared" si="786"/>
        <v>0</v>
      </c>
      <c r="AF124" s="54">
        <f t="shared" si="787"/>
        <v>0</v>
      </c>
      <c r="AG124" s="53">
        <f t="shared" si="788"/>
        <v>1</v>
      </c>
      <c r="AH124" s="54">
        <f t="shared" si="789"/>
        <v>3</v>
      </c>
      <c r="AI124" s="53">
        <f t="shared" si="790"/>
        <v>1</v>
      </c>
      <c r="AJ124" s="54">
        <f t="shared" si="791"/>
        <v>3</v>
      </c>
      <c r="AK124" s="53">
        <f t="shared" si="792"/>
        <v>1</v>
      </c>
      <c r="AL124" s="54">
        <f t="shared" si="793"/>
        <v>3</v>
      </c>
      <c r="AM124" s="53">
        <f t="shared" si="794"/>
        <v>1</v>
      </c>
      <c r="AN124" s="54">
        <f t="shared" si="795"/>
        <v>1</v>
      </c>
      <c r="AO124" s="53">
        <f t="shared" si="796"/>
        <v>2</v>
      </c>
      <c r="AP124" s="54">
        <f t="shared" si="797"/>
        <v>4</v>
      </c>
      <c r="AQ124" s="49">
        <f t="shared" ref="AQ124:AR124" si="864">SUM(AG124,AI124,AK124,AM124,AO124)</f>
        <v>6</v>
      </c>
      <c r="AR124" s="50">
        <f t="shared" si="864"/>
        <v>14</v>
      </c>
      <c r="AS124" s="53">
        <f t="shared" si="799"/>
        <v>1</v>
      </c>
      <c r="AT124" s="54">
        <f t="shared" si="800"/>
        <v>3</v>
      </c>
      <c r="AU124" s="53">
        <f t="shared" si="801"/>
        <v>0</v>
      </c>
      <c r="AV124" s="54">
        <f t="shared" si="802"/>
        <v>0</v>
      </c>
      <c r="AW124" s="53">
        <f t="shared" si="803"/>
        <v>1</v>
      </c>
      <c r="AX124" s="54">
        <f t="shared" si="804"/>
        <v>2</v>
      </c>
      <c r="AY124" s="53">
        <f t="shared" si="805"/>
        <v>1</v>
      </c>
      <c r="AZ124" s="54">
        <f t="shared" si="806"/>
        <v>3</v>
      </c>
      <c r="BA124" s="53">
        <f t="shared" si="807"/>
        <v>0</v>
      </c>
      <c r="BB124" s="54">
        <f t="shared" si="808"/>
        <v>0</v>
      </c>
      <c r="BC124" s="49">
        <f t="shared" ref="BC124:BD124" si="865">SUM(AS124,AU124,AW124,AY124,BA124)</f>
        <v>3</v>
      </c>
      <c r="BD124" s="50">
        <f t="shared" si="865"/>
        <v>8</v>
      </c>
      <c r="BE124" s="68">
        <f t="shared" ref="BE124:BF124" si="866">SUM(E124,G124,I124,O124,Q124,AC124,AQ124,BC124)</f>
        <v>18</v>
      </c>
      <c r="BF124" s="69">
        <f t="shared" si="866"/>
        <v>42</v>
      </c>
      <c r="BG124" s="46" t="str">
        <f>BF124*'ОВгП_РАО'!$B$14</f>
        <v>#REF!</v>
      </c>
      <c r="BH124" s="46" t="str">
        <f>'ОВгП_РАО'!$B$14</f>
        <v>#REF!</v>
      </c>
    </row>
    <row r="125" ht="15.75" customHeight="1">
      <c r="A125" s="80">
        <f t="shared" si="811"/>
        <v>46264</v>
      </c>
      <c r="B125" s="47" t="s">
        <v>133</v>
      </c>
      <c r="C125" s="47" t="s">
        <v>122</v>
      </c>
      <c r="D125" s="47" t="s">
        <v>123</v>
      </c>
      <c r="E125" s="73">
        <f t="shared" si="762"/>
        <v>1</v>
      </c>
      <c r="F125" s="50">
        <f t="shared" si="763"/>
        <v>3</v>
      </c>
      <c r="G125" s="73">
        <f t="shared" si="764"/>
        <v>0</v>
      </c>
      <c r="H125" s="50">
        <f t="shared" si="765"/>
        <v>0</v>
      </c>
      <c r="I125" s="73">
        <f t="shared" si="766"/>
        <v>1</v>
      </c>
      <c r="J125" s="50">
        <f t="shared" si="767"/>
        <v>3</v>
      </c>
      <c r="K125" s="53">
        <f t="shared" si="768"/>
        <v>1</v>
      </c>
      <c r="L125" s="54">
        <f t="shared" si="769"/>
        <v>1</v>
      </c>
      <c r="M125" s="53">
        <f t="shared" si="770"/>
        <v>1</v>
      </c>
      <c r="N125" s="54">
        <f t="shared" si="771"/>
        <v>1</v>
      </c>
      <c r="O125" s="49">
        <f t="shared" ref="O125:P125" si="867">SUM(K125,M125)</f>
        <v>2</v>
      </c>
      <c r="P125" s="50">
        <f t="shared" si="867"/>
        <v>2</v>
      </c>
      <c r="Q125" s="73">
        <f t="shared" si="773"/>
        <v>0</v>
      </c>
      <c r="R125" s="50">
        <f t="shared" si="774"/>
        <v>0</v>
      </c>
      <c r="S125" s="53">
        <f t="shared" si="775"/>
        <v>1</v>
      </c>
      <c r="T125" s="54">
        <f t="shared" si="776"/>
        <v>2</v>
      </c>
      <c r="U125" s="53">
        <f t="shared" si="777"/>
        <v>1</v>
      </c>
      <c r="V125" s="54">
        <f t="shared" si="778"/>
        <v>1</v>
      </c>
      <c r="W125" s="53">
        <f t="shared" si="779"/>
        <v>1</v>
      </c>
      <c r="X125" s="54">
        <f t="shared" si="780"/>
        <v>3</v>
      </c>
      <c r="Y125" s="53">
        <f t="shared" si="781"/>
        <v>0</v>
      </c>
      <c r="Z125" s="54">
        <f t="shared" si="782"/>
        <v>0</v>
      </c>
      <c r="AA125" s="53">
        <f t="shared" si="783"/>
        <v>0</v>
      </c>
      <c r="AB125" s="54">
        <f t="shared" si="784"/>
        <v>0</v>
      </c>
      <c r="AC125" s="49">
        <f t="shared" ref="AC125:AD125" si="868">SUM(S125,U125,W125,Y125,AA125)</f>
        <v>3</v>
      </c>
      <c r="AD125" s="50">
        <f t="shared" si="868"/>
        <v>6</v>
      </c>
      <c r="AE125" s="53">
        <f t="shared" si="786"/>
        <v>1</v>
      </c>
      <c r="AF125" s="54">
        <f t="shared" si="787"/>
        <v>1</v>
      </c>
      <c r="AG125" s="53">
        <f t="shared" si="788"/>
        <v>1</v>
      </c>
      <c r="AH125" s="54">
        <f t="shared" si="789"/>
        <v>2</v>
      </c>
      <c r="AI125" s="53">
        <f t="shared" si="790"/>
        <v>2</v>
      </c>
      <c r="AJ125" s="54">
        <f t="shared" si="791"/>
        <v>4</v>
      </c>
      <c r="AK125" s="53">
        <f t="shared" si="792"/>
        <v>1</v>
      </c>
      <c r="AL125" s="54">
        <f t="shared" si="793"/>
        <v>1</v>
      </c>
      <c r="AM125" s="53">
        <f t="shared" si="794"/>
        <v>1</v>
      </c>
      <c r="AN125" s="54">
        <f t="shared" si="795"/>
        <v>1</v>
      </c>
      <c r="AO125" s="53">
        <f t="shared" si="796"/>
        <v>1</v>
      </c>
      <c r="AP125" s="54">
        <f t="shared" si="797"/>
        <v>3</v>
      </c>
      <c r="AQ125" s="49">
        <f t="shared" ref="AQ125:AR125" si="869">SUM(AG125,AI125,AK125,AM125,AO125)</f>
        <v>6</v>
      </c>
      <c r="AR125" s="50">
        <f t="shared" si="869"/>
        <v>11</v>
      </c>
      <c r="AS125" s="53">
        <f t="shared" si="799"/>
        <v>2</v>
      </c>
      <c r="AT125" s="54">
        <f t="shared" si="800"/>
        <v>4</v>
      </c>
      <c r="AU125" s="53">
        <f t="shared" si="801"/>
        <v>2</v>
      </c>
      <c r="AV125" s="54">
        <f t="shared" si="802"/>
        <v>4</v>
      </c>
      <c r="AW125" s="53">
        <f t="shared" si="803"/>
        <v>2</v>
      </c>
      <c r="AX125" s="54">
        <f t="shared" si="804"/>
        <v>4</v>
      </c>
      <c r="AY125" s="53">
        <f t="shared" si="805"/>
        <v>0</v>
      </c>
      <c r="AZ125" s="54">
        <f t="shared" si="806"/>
        <v>0</v>
      </c>
      <c r="BA125" s="53">
        <f t="shared" si="807"/>
        <v>1</v>
      </c>
      <c r="BB125" s="54">
        <f t="shared" si="808"/>
        <v>2</v>
      </c>
      <c r="BC125" s="49">
        <f t="shared" ref="BC125:BD125" si="870">SUM(AS125,AU125,AW125,AY125,BA125)</f>
        <v>7</v>
      </c>
      <c r="BD125" s="50">
        <f t="shared" si="870"/>
        <v>14</v>
      </c>
      <c r="BE125" s="68">
        <f t="shared" ref="BE125:BF125" si="871">SUM(E125,G125,I125,O125,Q125,AC125,AQ125,BC125)</f>
        <v>20</v>
      </c>
      <c r="BF125" s="69">
        <f t="shared" si="871"/>
        <v>39</v>
      </c>
      <c r="BG125" s="46" t="str">
        <f>BF125*'ОВгП_РАО'!$B$15</f>
        <v>#REF!</v>
      </c>
      <c r="BH125" s="46" t="str">
        <f>'ОВгП_РАО'!$B$15</f>
        <v>#REF!</v>
      </c>
    </row>
    <row r="126" ht="15.75" customHeight="1">
      <c r="A126" s="80">
        <f t="shared" si="811"/>
        <v>46264</v>
      </c>
      <c r="B126" s="47" t="s">
        <v>134</v>
      </c>
      <c r="C126" s="47" t="s">
        <v>122</v>
      </c>
      <c r="D126" s="47" t="s">
        <v>123</v>
      </c>
      <c r="E126" s="73">
        <f t="shared" si="762"/>
        <v>2</v>
      </c>
      <c r="F126" s="50">
        <f t="shared" si="763"/>
        <v>4</v>
      </c>
      <c r="G126" s="73">
        <f t="shared" si="764"/>
        <v>0</v>
      </c>
      <c r="H126" s="50">
        <f t="shared" si="765"/>
        <v>0</v>
      </c>
      <c r="I126" s="73">
        <f t="shared" si="766"/>
        <v>1</v>
      </c>
      <c r="J126" s="50">
        <f t="shared" si="767"/>
        <v>3</v>
      </c>
      <c r="K126" s="53">
        <f t="shared" si="768"/>
        <v>1</v>
      </c>
      <c r="L126" s="54">
        <f t="shared" si="769"/>
        <v>1</v>
      </c>
      <c r="M126" s="53">
        <f t="shared" si="770"/>
        <v>1</v>
      </c>
      <c r="N126" s="54">
        <f t="shared" si="771"/>
        <v>1</v>
      </c>
      <c r="O126" s="49">
        <f t="shared" ref="O126:P126" si="872">SUM(K126,M126)</f>
        <v>2</v>
      </c>
      <c r="P126" s="50">
        <f t="shared" si="872"/>
        <v>2</v>
      </c>
      <c r="Q126" s="73">
        <f t="shared" si="773"/>
        <v>1</v>
      </c>
      <c r="R126" s="50">
        <f t="shared" si="774"/>
        <v>1</v>
      </c>
      <c r="S126" s="53">
        <f t="shared" si="775"/>
        <v>1</v>
      </c>
      <c r="T126" s="54">
        <f t="shared" si="776"/>
        <v>2</v>
      </c>
      <c r="U126" s="53">
        <f t="shared" si="777"/>
        <v>0</v>
      </c>
      <c r="V126" s="54">
        <f t="shared" si="778"/>
        <v>0</v>
      </c>
      <c r="W126" s="53">
        <f t="shared" si="779"/>
        <v>1</v>
      </c>
      <c r="X126" s="54">
        <f t="shared" si="780"/>
        <v>1</v>
      </c>
      <c r="Y126" s="53">
        <f t="shared" si="781"/>
        <v>1</v>
      </c>
      <c r="Z126" s="54">
        <f t="shared" si="782"/>
        <v>3</v>
      </c>
      <c r="AA126" s="53">
        <f t="shared" si="783"/>
        <v>1</v>
      </c>
      <c r="AB126" s="54">
        <f t="shared" si="784"/>
        <v>1</v>
      </c>
      <c r="AC126" s="49">
        <f t="shared" ref="AC126:AD126" si="873">SUM(S126,U126,W126,Y126,AA126)</f>
        <v>4</v>
      </c>
      <c r="AD126" s="50">
        <f t="shared" si="873"/>
        <v>7</v>
      </c>
      <c r="AE126" s="53">
        <f t="shared" si="786"/>
        <v>1</v>
      </c>
      <c r="AF126" s="54">
        <f t="shared" si="787"/>
        <v>2</v>
      </c>
      <c r="AG126" s="53">
        <f t="shared" si="788"/>
        <v>0</v>
      </c>
      <c r="AH126" s="54">
        <f t="shared" si="789"/>
        <v>0</v>
      </c>
      <c r="AI126" s="53">
        <f t="shared" si="790"/>
        <v>1</v>
      </c>
      <c r="AJ126" s="54">
        <f t="shared" si="791"/>
        <v>3</v>
      </c>
      <c r="AK126" s="53">
        <f t="shared" si="792"/>
        <v>1</v>
      </c>
      <c r="AL126" s="54">
        <f t="shared" si="793"/>
        <v>3</v>
      </c>
      <c r="AM126" s="53">
        <f t="shared" si="794"/>
        <v>0</v>
      </c>
      <c r="AN126" s="54">
        <f t="shared" si="795"/>
        <v>0</v>
      </c>
      <c r="AO126" s="53">
        <f t="shared" si="796"/>
        <v>1</v>
      </c>
      <c r="AP126" s="54">
        <f t="shared" si="797"/>
        <v>3</v>
      </c>
      <c r="AQ126" s="49">
        <f t="shared" ref="AQ126:AR126" si="874">SUM(AG126,AI126,AK126,AM126,AO126)</f>
        <v>3</v>
      </c>
      <c r="AR126" s="50">
        <f t="shared" si="874"/>
        <v>9</v>
      </c>
      <c r="AS126" s="53">
        <f t="shared" si="799"/>
        <v>2</v>
      </c>
      <c r="AT126" s="54">
        <f t="shared" si="800"/>
        <v>4</v>
      </c>
      <c r="AU126" s="53">
        <f t="shared" si="801"/>
        <v>0</v>
      </c>
      <c r="AV126" s="54">
        <f t="shared" si="802"/>
        <v>0</v>
      </c>
      <c r="AW126" s="53">
        <f t="shared" si="803"/>
        <v>1</v>
      </c>
      <c r="AX126" s="54">
        <f t="shared" si="804"/>
        <v>1</v>
      </c>
      <c r="AY126" s="53">
        <f t="shared" si="805"/>
        <v>2</v>
      </c>
      <c r="AZ126" s="54">
        <f t="shared" si="806"/>
        <v>4</v>
      </c>
      <c r="BA126" s="53">
        <f t="shared" si="807"/>
        <v>1</v>
      </c>
      <c r="BB126" s="54">
        <f t="shared" si="808"/>
        <v>1</v>
      </c>
      <c r="BC126" s="49">
        <f t="shared" ref="BC126:BD126" si="875">SUM(AS126,AU126,AW126,AY126,BA126)</f>
        <v>6</v>
      </c>
      <c r="BD126" s="50">
        <f t="shared" si="875"/>
        <v>10</v>
      </c>
      <c r="BE126" s="68">
        <f t="shared" ref="BE126:BF126" si="876">SUM(E126,G126,I126,O126,Q126,AC126,AQ126,BC126)</f>
        <v>19</v>
      </c>
      <c r="BF126" s="69">
        <f t="shared" si="876"/>
        <v>36</v>
      </c>
      <c r="BG126" s="46" t="str">
        <f>BF126*'ОВгП_РАО'!$B$16</f>
        <v>#REF!</v>
      </c>
      <c r="BH126" s="46" t="str">
        <f>'ОВгП_РАО'!$B$16</f>
        <v>#REF!</v>
      </c>
    </row>
    <row r="127" ht="15.75" customHeight="1">
      <c r="A127" s="80">
        <f t="shared" si="811"/>
        <v>46264</v>
      </c>
      <c r="B127" s="129" t="s">
        <v>135</v>
      </c>
      <c r="C127" s="47" t="s">
        <v>122</v>
      </c>
      <c r="D127" s="47" t="s">
        <v>136</v>
      </c>
      <c r="E127" s="73">
        <f t="shared" si="762"/>
        <v>1</v>
      </c>
      <c r="F127" s="50">
        <f t="shared" si="763"/>
        <v>2</v>
      </c>
      <c r="G127" s="73">
        <f t="shared" si="764"/>
        <v>1</v>
      </c>
      <c r="H127" s="50">
        <f t="shared" si="765"/>
        <v>2</v>
      </c>
      <c r="I127" s="73">
        <f t="shared" si="766"/>
        <v>1</v>
      </c>
      <c r="J127" s="50">
        <f t="shared" si="767"/>
        <v>2</v>
      </c>
      <c r="K127" s="53">
        <f t="shared" si="768"/>
        <v>2</v>
      </c>
      <c r="L127" s="54">
        <f t="shared" si="769"/>
        <v>4</v>
      </c>
      <c r="M127" s="53">
        <f t="shared" si="770"/>
        <v>1</v>
      </c>
      <c r="N127" s="54">
        <f t="shared" si="771"/>
        <v>1</v>
      </c>
      <c r="O127" s="49">
        <f t="shared" ref="O127:P127" si="877">SUM(K127,M127)</f>
        <v>3</v>
      </c>
      <c r="P127" s="50">
        <f t="shared" si="877"/>
        <v>5</v>
      </c>
      <c r="Q127" s="73">
        <f t="shared" si="773"/>
        <v>2</v>
      </c>
      <c r="R127" s="50">
        <f t="shared" si="774"/>
        <v>4</v>
      </c>
      <c r="S127" s="53">
        <f t="shared" si="775"/>
        <v>2</v>
      </c>
      <c r="T127" s="54">
        <f t="shared" si="776"/>
        <v>4</v>
      </c>
      <c r="U127" s="53">
        <f t="shared" si="777"/>
        <v>1</v>
      </c>
      <c r="V127" s="54">
        <f t="shared" si="778"/>
        <v>3</v>
      </c>
      <c r="W127" s="53">
        <f t="shared" si="779"/>
        <v>0</v>
      </c>
      <c r="X127" s="54">
        <f t="shared" si="780"/>
        <v>0</v>
      </c>
      <c r="Y127" s="53">
        <f t="shared" si="781"/>
        <v>1</v>
      </c>
      <c r="Z127" s="54">
        <f t="shared" si="782"/>
        <v>3</v>
      </c>
      <c r="AA127" s="53">
        <f t="shared" si="783"/>
        <v>1</v>
      </c>
      <c r="AB127" s="54">
        <f t="shared" si="784"/>
        <v>2</v>
      </c>
      <c r="AC127" s="49">
        <f t="shared" ref="AC127:AD127" si="878">SUM(S127,U127,W127,Y127,AA127)</f>
        <v>5</v>
      </c>
      <c r="AD127" s="50">
        <f t="shared" si="878"/>
        <v>12</v>
      </c>
      <c r="AE127" s="53">
        <f t="shared" si="786"/>
        <v>0</v>
      </c>
      <c r="AF127" s="54">
        <f t="shared" si="787"/>
        <v>0</v>
      </c>
      <c r="AG127" s="53">
        <f t="shared" si="788"/>
        <v>1</v>
      </c>
      <c r="AH127" s="54">
        <f t="shared" si="789"/>
        <v>2</v>
      </c>
      <c r="AI127" s="53">
        <f t="shared" si="790"/>
        <v>1</v>
      </c>
      <c r="AJ127" s="54">
        <f t="shared" si="791"/>
        <v>2</v>
      </c>
      <c r="AK127" s="53">
        <f t="shared" si="792"/>
        <v>2</v>
      </c>
      <c r="AL127" s="54">
        <f t="shared" si="793"/>
        <v>4</v>
      </c>
      <c r="AM127" s="53">
        <f t="shared" si="794"/>
        <v>1</v>
      </c>
      <c r="AN127" s="54">
        <f t="shared" si="795"/>
        <v>1</v>
      </c>
      <c r="AO127" s="53">
        <f t="shared" si="796"/>
        <v>1</v>
      </c>
      <c r="AP127" s="54">
        <f t="shared" si="797"/>
        <v>1</v>
      </c>
      <c r="AQ127" s="49">
        <f t="shared" ref="AQ127:AR127" si="879">SUM(AG127,AI127,AK127,AM127,AO127)</f>
        <v>6</v>
      </c>
      <c r="AR127" s="50">
        <f t="shared" si="879"/>
        <v>10</v>
      </c>
      <c r="AS127" s="53">
        <f t="shared" si="799"/>
        <v>1</v>
      </c>
      <c r="AT127" s="54">
        <f t="shared" si="800"/>
        <v>2</v>
      </c>
      <c r="AU127" s="53">
        <f t="shared" si="801"/>
        <v>2</v>
      </c>
      <c r="AV127" s="54">
        <f t="shared" si="802"/>
        <v>4</v>
      </c>
      <c r="AW127" s="53">
        <f t="shared" si="803"/>
        <v>1</v>
      </c>
      <c r="AX127" s="54">
        <f t="shared" si="804"/>
        <v>3</v>
      </c>
      <c r="AY127" s="53">
        <f t="shared" si="805"/>
        <v>1</v>
      </c>
      <c r="AZ127" s="54">
        <f t="shared" si="806"/>
        <v>1</v>
      </c>
      <c r="BA127" s="53">
        <f t="shared" si="807"/>
        <v>0</v>
      </c>
      <c r="BB127" s="54">
        <f t="shared" si="808"/>
        <v>0</v>
      </c>
      <c r="BC127" s="49">
        <f t="shared" ref="BC127:BD127" si="880">SUM(AS127,AU127,AW127,AY127,BA127)</f>
        <v>5</v>
      </c>
      <c r="BD127" s="50">
        <f t="shared" si="880"/>
        <v>10</v>
      </c>
      <c r="BE127" s="68">
        <f t="shared" ref="BE127:BF127" si="881">SUM(E127,G127,I127,O127,Q127,AC127,AQ127,BC127)</f>
        <v>24</v>
      </c>
      <c r="BF127" s="69">
        <f t="shared" si="881"/>
        <v>47</v>
      </c>
      <c r="BG127" s="46" t="str">
        <f>BF127*'ОВгП_РАО'!$B$17</f>
        <v>#REF!</v>
      </c>
      <c r="BH127" s="46" t="str">
        <f>'ОВгП_РАО'!$B$17</f>
        <v>#REF!</v>
      </c>
    </row>
    <row r="128" ht="15.75" customHeight="1">
      <c r="A128" s="80">
        <f t="shared" si="811"/>
        <v>46264</v>
      </c>
      <c r="B128" s="129" t="s">
        <v>137</v>
      </c>
      <c r="C128" s="47" t="s">
        <v>122</v>
      </c>
      <c r="D128" s="47" t="s">
        <v>136</v>
      </c>
      <c r="E128" s="73">
        <f t="shared" si="762"/>
        <v>2</v>
      </c>
      <c r="F128" s="50">
        <f t="shared" si="763"/>
        <v>4</v>
      </c>
      <c r="G128" s="73">
        <f t="shared" si="764"/>
        <v>1</v>
      </c>
      <c r="H128" s="50">
        <f t="shared" si="765"/>
        <v>3</v>
      </c>
      <c r="I128" s="73">
        <f t="shared" si="766"/>
        <v>1</v>
      </c>
      <c r="J128" s="50">
        <f t="shared" si="767"/>
        <v>2</v>
      </c>
      <c r="K128" s="53">
        <f t="shared" si="768"/>
        <v>1</v>
      </c>
      <c r="L128" s="54">
        <f t="shared" si="769"/>
        <v>3</v>
      </c>
      <c r="M128" s="53">
        <f t="shared" si="770"/>
        <v>1</v>
      </c>
      <c r="N128" s="54">
        <f t="shared" si="771"/>
        <v>3</v>
      </c>
      <c r="O128" s="49">
        <f t="shared" ref="O128:P128" si="882">SUM(K128,M128)</f>
        <v>2</v>
      </c>
      <c r="P128" s="50">
        <f t="shared" si="882"/>
        <v>6</v>
      </c>
      <c r="Q128" s="73">
        <f t="shared" si="773"/>
        <v>0</v>
      </c>
      <c r="R128" s="50">
        <f t="shared" si="774"/>
        <v>0</v>
      </c>
      <c r="S128" s="53">
        <f t="shared" si="775"/>
        <v>2</v>
      </c>
      <c r="T128" s="54">
        <f t="shared" si="776"/>
        <v>4</v>
      </c>
      <c r="U128" s="53">
        <f t="shared" si="777"/>
        <v>2</v>
      </c>
      <c r="V128" s="54">
        <f t="shared" si="778"/>
        <v>4</v>
      </c>
      <c r="W128" s="53">
        <f t="shared" si="779"/>
        <v>1</v>
      </c>
      <c r="X128" s="54">
        <f t="shared" si="780"/>
        <v>2</v>
      </c>
      <c r="Y128" s="53">
        <f t="shared" si="781"/>
        <v>1</v>
      </c>
      <c r="Z128" s="54">
        <f t="shared" si="782"/>
        <v>1</v>
      </c>
      <c r="AA128" s="53">
        <f t="shared" si="783"/>
        <v>1</v>
      </c>
      <c r="AB128" s="54">
        <f t="shared" si="784"/>
        <v>2</v>
      </c>
      <c r="AC128" s="49">
        <f t="shared" ref="AC128:AD128" si="883">SUM(S128,U128,W128,Y128,AA128)</f>
        <v>7</v>
      </c>
      <c r="AD128" s="50">
        <f t="shared" si="883"/>
        <v>13</v>
      </c>
      <c r="AE128" s="53">
        <f t="shared" si="786"/>
        <v>0</v>
      </c>
      <c r="AF128" s="54">
        <f t="shared" si="787"/>
        <v>0</v>
      </c>
      <c r="AG128" s="53">
        <f t="shared" si="788"/>
        <v>1</v>
      </c>
      <c r="AH128" s="54">
        <f t="shared" si="789"/>
        <v>1</v>
      </c>
      <c r="AI128" s="53">
        <f t="shared" si="790"/>
        <v>1</v>
      </c>
      <c r="AJ128" s="54">
        <f t="shared" si="791"/>
        <v>1</v>
      </c>
      <c r="AK128" s="53">
        <f t="shared" si="792"/>
        <v>0</v>
      </c>
      <c r="AL128" s="54">
        <f t="shared" si="793"/>
        <v>0</v>
      </c>
      <c r="AM128" s="53">
        <f t="shared" si="794"/>
        <v>1</v>
      </c>
      <c r="AN128" s="54">
        <f t="shared" si="795"/>
        <v>3</v>
      </c>
      <c r="AO128" s="53">
        <f t="shared" si="796"/>
        <v>1</v>
      </c>
      <c r="AP128" s="54">
        <f t="shared" si="797"/>
        <v>3</v>
      </c>
      <c r="AQ128" s="49">
        <f t="shared" ref="AQ128:AR128" si="884">SUM(AG128,AI128,AK128,AM128,AO128)</f>
        <v>4</v>
      </c>
      <c r="AR128" s="50">
        <f t="shared" si="884"/>
        <v>8</v>
      </c>
      <c r="AS128" s="53">
        <f t="shared" si="799"/>
        <v>1</v>
      </c>
      <c r="AT128" s="54">
        <f t="shared" si="800"/>
        <v>3</v>
      </c>
      <c r="AU128" s="53">
        <f t="shared" si="801"/>
        <v>1</v>
      </c>
      <c r="AV128" s="54">
        <f t="shared" si="802"/>
        <v>2</v>
      </c>
      <c r="AW128" s="53">
        <f t="shared" si="803"/>
        <v>0</v>
      </c>
      <c r="AX128" s="54">
        <f t="shared" si="804"/>
        <v>0</v>
      </c>
      <c r="AY128" s="53">
        <f t="shared" si="805"/>
        <v>1</v>
      </c>
      <c r="AZ128" s="54">
        <f t="shared" si="806"/>
        <v>1</v>
      </c>
      <c r="BA128" s="53">
        <f t="shared" si="807"/>
        <v>1</v>
      </c>
      <c r="BB128" s="54">
        <f t="shared" si="808"/>
        <v>2</v>
      </c>
      <c r="BC128" s="49">
        <f t="shared" ref="BC128:BD128" si="885">SUM(AS128,AU128,AW128,AY128,BA128)</f>
        <v>4</v>
      </c>
      <c r="BD128" s="50">
        <f t="shared" si="885"/>
        <v>8</v>
      </c>
      <c r="BE128" s="68">
        <f t="shared" ref="BE128:BF128" si="886">SUM(E128,G128,I128,O128,Q128,AC128,AQ128,BC128)</f>
        <v>21</v>
      </c>
      <c r="BF128" s="69">
        <f t="shared" si="886"/>
        <v>44</v>
      </c>
      <c r="BG128" s="46" t="str">
        <f>BF128*'ОВгП_РАО'!$B$18</f>
        <v>#REF!</v>
      </c>
      <c r="BH128" s="46" t="str">
        <f>'ОВгП_РАО'!$B$18</f>
        <v>#REF!</v>
      </c>
    </row>
    <row r="129" ht="15.75" customHeight="1">
      <c r="A129" s="80">
        <f t="shared" si="811"/>
        <v>46264</v>
      </c>
      <c r="B129" s="129" t="s">
        <v>138</v>
      </c>
      <c r="C129" s="47" t="s">
        <v>122</v>
      </c>
      <c r="D129" s="47" t="s">
        <v>139</v>
      </c>
      <c r="E129" s="73">
        <f t="shared" si="762"/>
        <v>1</v>
      </c>
      <c r="F129" s="50">
        <f t="shared" si="763"/>
        <v>2</v>
      </c>
      <c r="G129" s="73">
        <f t="shared" si="764"/>
        <v>2</v>
      </c>
      <c r="H129" s="50">
        <f t="shared" si="765"/>
        <v>4</v>
      </c>
      <c r="I129" s="73">
        <f t="shared" si="766"/>
        <v>1</v>
      </c>
      <c r="J129" s="50">
        <f t="shared" si="767"/>
        <v>2</v>
      </c>
      <c r="K129" s="53">
        <f t="shared" si="768"/>
        <v>1</v>
      </c>
      <c r="L129" s="54">
        <f t="shared" si="769"/>
        <v>1</v>
      </c>
      <c r="M129" s="53">
        <f t="shared" si="770"/>
        <v>1</v>
      </c>
      <c r="N129" s="54">
        <f t="shared" si="771"/>
        <v>2</v>
      </c>
      <c r="O129" s="49">
        <f t="shared" ref="O129:P129" si="887">SUM(K129,M129)</f>
        <v>2</v>
      </c>
      <c r="P129" s="50">
        <f t="shared" si="887"/>
        <v>3</v>
      </c>
      <c r="Q129" s="73">
        <f t="shared" si="773"/>
        <v>2</v>
      </c>
      <c r="R129" s="50">
        <f t="shared" si="774"/>
        <v>4</v>
      </c>
      <c r="S129" s="53">
        <f t="shared" si="775"/>
        <v>2</v>
      </c>
      <c r="T129" s="54">
        <f t="shared" si="776"/>
        <v>4</v>
      </c>
      <c r="U129" s="53">
        <f t="shared" si="777"/>
        <v>0</v>
      </c>
      <c r="V129" s="54">
        <f t="shared" si="778"/>
        <v>0</v>
      </c>
      <c r="W129" s="53">
        <f t="shared" si="779"/>
        <v>0</v>
      </c>
      <c r="X129" s="54">
        <f t="shared" si="780"/>
        <v>0</v>
      </c>
      <c r="Y129" s="53">
        <f t="shared" si="781"/>
        <v>1</v>
      </c>
      <c r="Z129" s="54">
        <f t="shared" si="782"/>
        <v>1</v>
      </c>
      <c r="AA129" s="53">
        <f t="shared" si="783"/>
        <v>0</v>
      </c>
      <c r="AB129" s="54">
        <f t="shared" si="784"/>
        <v>0</v>
      </c>
      <c r="AC129" s="49">
        <f t="shared" ref="AC129:AD129" si="888">SUM(S129,U129,W129,Y129,AA129)</f>
        <v>3</v>
      </c>
      <c r="AD129" s="50">
        <f t="shared" si="888"/>
        <v>5</v>
      </c>
      <c r="AE129" s="53">
        <f t="shared" si="786"/>
        <v>1</v>
      </c>
      <c r="AF129" s="54">
        <f t="shared" si="787"/>
        <v>2</v>
      </c>
      <c r="AG129" s="53">
        <f t="shared" si="788"/>
        <v>1</v>
      </c>
      <c r="AH129" s="54">
        <f t="shared" si="789"/>
        <v>1</v>
      </c>
      <c r="AI129" s="53">
        <f t="shared" si="790"/>
        <v>1</v>
      </c>
      <c r="AJ129" s="54">
        <f t="shared" si="791"/>
        <v>3</v>
      </c>
      <c r="AK129" s="53">
        <f t="shared" si="792"/>
        <v>1</v>
      </c>
      <c r="AL129" s="54">
        <f t="shared" si="793"/>
        <v>3</v>
      </c>
      <c r="AM129" s="53">
        <f t="shared" si="794"/>
        <v>1</v>
      </c>
      <c r="AN129" s="54">
        <f t="shared" si="795"/>
        <v>2</v>
      </c>
      <c r="AO129" s="53">
        <f t="shared" si="796"/>
        <v>1</v>
      </c>
      <c r="AP129" s="54">
        <f t="shared" si="797"/>
        <v>3</v>
      </c>
      <c r="AQ129" s="49">
        <f t="shared" ref="AQ129:AR129" si="889">SUM(AG129,AI129,AK129,AM129,AO129)</f>
        <v>5</v>
      </c>
      <c r="AR129" s="50">
        <f t="shared" si="889"/>
        <v>12</v>
      </c>
      <c r="AS129" s="53">
        <f t="shared" si="799"/>
        <v>1</v>
      </c>
      <c r="AT129" s="54">
        <f t="shared" si="800"/>
        <v>2</v>
      </c>
      <c r="AU129" s="53">
        <f t="shared" si="801"/>
        <v>1</v>
      </c>
      <c r="AV129" s="54">
        <f t="shared" si="802"/>
        <v>1</v>
      </c>
      <c r="AW129" s="53">
        <f t="shared" si="803"/>
        <v>1</v>
      </c>
      <c r="AX129" s="54">
        <f t="shared" si="804"/>
        <v>2</v>
      </c>
      <c r="AY129" s="53">
        <f t="shared" si="805"/>
        <v>1</v>
      </c>
      <c r="AZ129" s="54">
        <f t="shared" si="806"/>
        <v>3</v>
      </c>
      <c r="BA129" s="53">
        <f t="shared" si="807"/>
        <v>0</v>
      </c>
      <c r="BB129" s="54">
        <f t="shared" si="808"/>
        <v>0</v>
      </c>
      <c r="BC129" s="49">
        <f t="shared" ref="BC129:BD129" si="890">SUM(AS129,AU129,AW129,AY129,BA129)</f>
        <v>4</v>
      </c>
      <c r="BD129" s="50">
        <f t="shared" si="890"/>
        <v>8</v>
      </c>
      <c r="BE129" s="68">
        <f t="shared" ref="BE129:BF129" si="891">SUM(E129,G129,I129,O129,Q129,AC129,AQ129,BC129)</f>
        <v>20</v>
      </c>
      <c r="BF129" s="69">
        <f t="shared" si="891"/>
        <v>40</v>
      </c>
      <c r="BG129" s="46" t="str">
        <f>BF129*'ОВгП_РАО'!$B$19</f>
        <v>#REF!</v>
      </c>
      <c r="BH129" s="46" t="str">
        <f>'ОВгП_РАО'!$B$19</f>
        <v>#REF!</v>
      </c>
    </row>
    <row r="130" ht="15.75" customHeight="1">
      <c r="A130" s="80">
        <f t="shared" si="811"/>
        <v>46264</v>
      </c>
      <c r="B130" s="129" t="s">
        <v>140</v>
      </c>
      <c r="C130" s="47" t="s">
        <v>122</v>
      </c>
      <c r="D130" s="47" t="s">
        <v>139</v>
      </c>
      <c r="E130" s="73">
        <f t="shared" si="762"/>
        <v>1</v>
      </c>
      <c r="F130" s="50">
        <f t="shared" si="763"/>
        <v>2</v>
      </c>
      <c r="G130" s="73">
        <f t="shared" si="764"/>
        <v>2</v>
      </c>
      <c r="H130" s="50">
        <f t="shared" si="765"/>
        <v>4</v>
      </c>
      <c r="I130" s="73">
        <f t="shared" si="766"/>
        <v>2</v>
      </c>
      <c r="J130" s="50">
        <f t="shared" si="767"/>
        <v>4</v>
      </c>
      <c r="K130" s="53">
        <f t="shared" si="768"/>
        <v>1</v>
      </c>
      <c r="L130" s="54">
        <f t="shared" si="769"/>
        <v>1</v>
      </c>
      <c r="M130" s="53">
        <f t="shared" si="770"/>
        <v>1</v>
      </c>
      <c r="N130" s="54">
        <f t="shared" si="771"/>
        <v>3</v>
      </c>
      <c r="O130" s="49">
        <f t="shared" ref="O130:P130" si="892">SUM(K130,M130)</f>
        <v>2</v>
      </c>
      <c r="P130" s="50">
        <f t="shared" si="892"/>
        <v>4</v>
      </c>
      <c r="Q130" s="73">
        <f t="shared" si="773"/>
        <v>0</v>
      </c>
      <c r="R130" s="50">
        <f t="shared" si="774"/>
        <v>0</v>
      </c>
      <c r="S130" s="53">
        <f t="shared" si="775"/>
        <v>1</v>
      </c>
      <c r="T130" s="54">
        <f t="shared" si="776"/>
        <v>3</v>
      </c>
      <c r="U130" s="53">
        <f t="shared" si="777"/>
        <v>1</v>
      </c>
      <c r="V130" s="54">
        <f t="shared" si="778"/>
        <v>3</v>
      </c>
      <c r="W130" s="53">
        <f t="shared" si="779"/>
        <v>1</v>
      </c>
      <c r="X130" s="54">
        <f t="shared" si="780"/>
        <v>2</v>
      </c>
      <c r="Y130" s="53">
        <f t="shared" si="781"/>
        <v>1</v>
      </c>
      <c r="Z130" s="54">
        <f t="shared" si="782"/>
        <v>1</v>
      </c>
      <c r="AA130" s="53">
        <f t="shared" si="783"/>
        <v>1</v>
      </c>
      <c r="AB130" s="54">
        <f t="shared" si="784"/>
        <v>2</v>
      </c>
      <c r="AC130" s="49">
        <f t="shared" ref="AC130:AD130" si="893">SUM(S130,U130,W130,Y130,AA130)</f>
        <v>5</v>
      </c>
      <c r="AD130" s="50">
        <f t="shared" si="893"/>
        <v>11</v>
      </c>
      <c r="AE130" s="53">
        <f t="shared" si="786"/>
        <v>1</v>
      </c>
      <c r="AF130" s="54">
        <f t="shared" si="787"/>
        <v>3</v>
      </c>
      <c r="AG130" s="53">
        <f t="shared" si="788"/>
        <v>1</v>
      </c>
      <c r="AH130" s="54">
        <f t="shared" si="789"/>
        <v>1</v>
      </c>
      <c r="AI130" s="53">
        <f t="shared" si="790"/>
        <v>1</v>
      </c>
      <c r="AJ130" s="54">
        <f t="shared" si="791"/>
        <v>1</v>
      </c>
      <c r="AK130" s="53">
        <f t="shared" si="792"/>
        <v>1</v>
      </c>
      <c r="AL130" s="54">
        <f t="shared" si="793"/>
        <v>1</v>
      </c>
      <c r="AM130" s="53">
        <f t="shared" si="794"/>
        <v>1</v>
      </c>
      <c r="AN130" s="54">
        <f t="shared" si="795"/>
        <v>3</v>
      </c>
      <c r="AO130" s="53">
        <f t="shared" si="796"/>
        <v>0</v>
      </c>
      <c r="AP130" s="54">
        <f t="shared" si="797"/>
        <v>0</v>
      </c>
      <c r="AQ130" s="49">
        <f t="shared" ref="AQ130:AR130" si="894">SUM(AG130,AI130,AK130,AM130,AO130)</f>
        <v>4</v>
      </c>
      <c r="AR130" s="50">
        <f t="shared" si="894"/>
        <v>6</v>
      </c>
      <c r="AS130" s="53">
        <f t="shared" si="799"/>
        <v>1</v>
      </c>
      <c r="AT130" s="54">
        <f t="shared" si="800"/>
        <v>2</v>
      </c>
      <c r="AU130" s="53">
        <f t="shared" si="801"/>
        <v>0</v>
      </c>
      <c r="AV130" s="54">
        <f t="shared" si="802"/>
        <v>0</v>
      </c>
      <c r="AW130" s="53">
        <f t="shared" si="803"/>
        <v>2</v>
      </c>
      <c r="AX130" s="54">
        <f t="shared" si="804"/>
        <v>4</v>
      </c>
      <c r="AY130" s="53">
        <f t="shared" si="805"/>
        <v>1</v>
      </c>
      <c r="AZ130" s="54">
        <f t="shared" si="806"/>
        <v>2</v>
      </c>
      <c r="BA130" s="53">
        <f t="shared" si="807"/>
        <v>0</v>
      </c>
      <c r="BB130" s="54">
        <f t="shared" si="808"/>
        <v>0</v>
      </c>
      <c r="BC130" s="49">
        <f t="shared" ref="BC130:BD130" si="895">SUM(AS130,AU130,AW130,AY130,BA130)</f>
        <v>4</v>
      </c>
      <c r="BD130" s="50">
        <f t="shared" si="895"/>
        <v>8</v>
      </c>
      <c r="BE130" s="68">
        <f t="shared" ref="BE130:BF130" si="896">SUM(E130,G130,I130,O130,Q130,AC130,AQ130,BC130)</f>
        <v>20</v>
      </c>
      <c r="BF130" s="69">
        <f t="shared" si="896"/>
        <v>39</v>
      </c>
      <c r="BG130" s="46" t="str">
        <f>BF130*'ОВгП_РАО'!$B$20</f>
        <v>#REF!</v>
      </c>
      <c r="BH130" s="46" t="str">
        <f>'ОВгП_РАО'!$B$20</f>
        <v>#REF!</v>
      </c>
    </row>
    <row r="131" ht="15.75" customHeight="1">
      <c r="A131" s="80">
        <f t="shared" si="811"/>
        <v>46264</v>
      </c>
      <c r="B131" s="129" t="s">
        <v>141</v>
      </c>
      <c r="C131" s="47" t="s">
        <v>122</v>
      </c>
      <c r="D131" s="47" t="s">
        <v>139</v>
      </c>
      <c r="E131" s="73">
        <f t="shared" si="762"/>
        <v>1</v>
      </c>
      <c r="F131" s="50">
        <f t="shared" si="763"/>
        <v>3</v>
      </c>
      <c r="G131" s="73">
        <f t="shared" si="764"/>
        <v>1</v>
      </c>
      <c r="H131" s="50">
        <f t="shared" si="765"/>
        <v>3</v>
      </c>
      <c r="I131" s="73">
        <f t="shared" si="766"/>
        <v>1</v>
      </c>
      <c r="J131" s="50">
        <f t="shared" si="767"/>
        <v>1</v>
      </c>
      <c r="K131" s="53">
        <f t="shared" si="768"/>
        <v>1</v>
      </c>
      <c r="L131" s="54">
        <f t="shared" si="769"/>
        <v>3</v>
      </c>
      <c r="M131" s="53">
        <f t="shared" si="770"/>
        <v>1</v>
      </c>
      <c r="N131" s="54">
        <f t="shared" si="771"/>
        <v>1</v>
      </c>
      <c r="O131" s="49">
        <f t="shared" ref="O131:P131" si="897">SUM(K131,M131)</f>
        <v>2</v>
      </c>
      <c r="P131" s="50">
        <f t="shared" si="897"/>
        <v>4</v>
      </c>
      <c r="Q131" s="73">
        <f t="shared" si="773"/>
        <v>2</v>
      </c>
      <c r="R131" s="50">
        <f t="shared" si="774"/>
        <v>4</v>
      </c>
      <c r="S131" s="53">
        <f t="shared" si="775"/>
        <v>0</v>
      </c>
      <c r="T131" s="54">
        <f t="shared" si="776"/>
        <v>0</v>
      </c>
      <c r="U131" s="53">
        <f t="shared" si="777"/>
        <v>0</v>
      </c>
      <c r="V131" s="54">
        <f t="shared" si="778"/>
        <v>0</v>
      </c>
      <c r="W131" s="53">
        <f t="shared" si="779"/>
        <v>1</v>
      </c>
      <c r="X131" s="54">
        <f t="shared" si="780"/>
        <v>2</v>
      </c>
      <c r="Y131" s="53">
        <f t="shared" si="781"/>
        <v>1</v>
      </c>
      <c r="Z131" s="54">
        <f t="shared" si="782"/>
        <v>3</v>
      </c>
      <c r="AA131" s="53">
        <f t="shared" si="783"/>
        <v>1</v>
      </c>
      <c r="AB131" s="54">
        <f t="shared" si="784"/>
        <v>2</v>
      </c>
      <c r="AC131" s="49">
        <f t="shared" ref="AC131:AD131" si="898">SUM(S131,U131,W131,Y131,AA131)</f>
        <v>3</v>
      </c>
      <c r="AD131" s="50">
        <f t="shared" si="898"/>
        <v>7</v>
      </c>
      <c r="AE131" s="53">
        <f t="shared" si="786"/>
        <v>0</v>
      </c>
      <c r="AF131" s="54">
        <f t="shared" si="787"/>
        <v>0</v>
      </c>
      <c r="AG131" s="53">
        <f t="shared" si="788"/>
        <v>1</v>
      </c>
      <c r="AH131" s="54">
        <f t="shared" si="789"/>
        <v>2</v>
      </c>
      <c r="AI131" s="53">
        <f t="shared" si="790"/>
        <v>1</v>
      </c>
      <c r="AJ131" s="54">
        <f t="shared" si="791"/>
        <v>3</v>
      </c>
      <c r="AK131" s="53">
        <f t="shared" si="792"/>
        <v>1</v>
      </c>
      <c r="AL131" s="54">
        <f t="shared" si="793"/>
        <v>3</v>
      </c>
      <c r="AM131" s="53">
        <f t="shared" si="794"/>
        <v>1</v>
      </c>
      <c r="AN131" s="54">
        <f t="shared" si="795"/>
        <v>1</v>
      </c>
      <c r="AO131" s="53">
        <f t="shared" si="796"/>
        <v>1</v>
      </c>
      <c r="AP131" s="54">
        <f t="shared" si="797"/>
        <v>2</v>
      </c>
      <c r="AQ131" s="49">
        <f t="shared" ref="AQ131:AR131" si="899">SUM(AG131,AI131,AK131,AM131,AO131)</f>
        <v>5</v>
      </c>
      <c r="AR131" s="50">
        <f t="shared" si="899"/>
        <v>11</v>
      </c>
      <c r="AS131" s="53">
        <f t="shared" si="799"/>
        <v>0</v>
      </c>
      <c r="AT131" s="54">
        <f t="shared" si="800"/>
        <v>0</v>
      </c>
      <c r="AU131" s="53">
        <f t="shared" si="801"/>
        <v>1</v>
      </c>
      <c r="AV131" s="54">
        <f t="shared" si="802"/>
        <v>3</v>
      </c>
      <c r="AW131" s="53">
        <f t="shared" si="803"/>
        <v>2</v>
      </c>
      <c r="AX131" s="54">
        <f t="shared" si="804"/>
        <v>4</v>
      </c>
      <c r="AY131" s="53">
        <f t="shared" si="805"/>
        <v>1</v>
      </c>
      <c r="AZ131" s="54">
        <f t="shared" si="806"/>
        <v>2</v>
      </c>
      <c r="BA131" s="53">
        <f t="shared" si="807"/>
        <v>1</v>
      </c>
      <c r="BB131" s="54">
        <f t="shared" si="808"/>
        <v>3</v>
      </c>
      <c r="BC131" s="49">
        <f t="shared" ref="BC131:BD131" si="900">SUM(AS131,AU131,AW131,AY131,BA131)</f>
        <v>5</v>
      </c>
      <c r="BD131" s="50">
        <f t="shared" si="900"/>
        <v>12</v>
      </c>
      <c r="BE131" s="68">
        <f t="shared" ref="BE131:BF131" si="901">SUM(E131,G131,I131,O131,Q131,AC131,AQ131,BC131)</f>
        <v>20</v>
      </c>
      <c r="BF131" s="69">
        <f t="shared" si="901"/>
        <v>45</v>
      </c>
      <c r="BG131" s="46" t="str">
        <f>BF131*'ОВгП_РАО'!$B$21</f>
        <v>#REF!</v>
      </c>
      <c r="BH131" s="46" t="str">
        <f>'ОВгП_РАО'!$B$21</f>
        <v>#REF!</v>
      </c>
    </row>
    <row r="132" ht="15.75" customHeight="1">
      <c r="A132" s="80">
        <f t="shared" si="811"/>
        <v>46264</v>
      </c>
      <c r="B132" s="47" t="s">
        <v>142</v>
      </c>
      <c r="C132" s="46" t="s">
        <v>96</v>
      </c>
      <c r="D132" s="47" t="s">
        <v>98</v>
      </c>
      <c r="E132" s="73">
        <f t="shared" si="762"/>
        <v>1</v>
      </c>
      <c r="F132" s="50">
        <f t="shared" si="763"/>
        <v>2</v>
      </c>
      <c r="G132" s="73">
        <f t="shared" si="764"/>
        <v>1</v>
      </c>
      <c r="H132" s="50">
        <f t="shared" si="765"/>
        <v>1</v>
      </c>
      <c r="I132" s="73">
        <f t="shared" si="766"/>
        <v>1</v>
      </c>
      <c r="J132" s="50">
        <f t="shared" si="767"/>
        <v>2</v>
      </c>
      <c r="K132" s="53">
        <f t="shared" si="768"/>
        <v>1</v>
      </c>
      <c r="L132" s="54">
        <f t="shared" si="769"/>
        <v>3</v>
      </c>
      <c r="M132" s="53">
        <f t="shared" si="770"/>
        <v>1</v>
      </c>
      <c r="N132" s="54">
        <f t="shared" si="771"/>
        <v>1</v>
      </c>
      <c r="O132" s="49">
        <f t="shared" ref="O132:P132" si="902">SUM(K132,M132)</f>
        <v>2</v>
      </c>
      <c r="P132" s="50">
        <f t="shared" si="902"/>
        <v>4</v>
      </c>
      <c r="Q132" s="73">
        <f t="shared" si="773"/>
        <v>1</v>
      </c>
      <c r="R132" s="50">
        <f t="shared" si="774"/>
        <v>1</v>
      </c>
      <c r="S132" s="53">
        <f t="shared" si="775"/>
        <v>1</v>
      </c>
      <c r="T132" s="54">
        <f t="shared" si="776"/>
        <v>2</v>
      </c>
      <c r="U132" s="53">
        <f t="shared" si="777"/>
        <v>2</v>
      </c>
      <c r="V132" s="54">
        <f t="shared" si="778"/>
        <v>4</v>
      </c>
      <c r="W132" s="53">
        <f t="shared" si="779"/>
        <v>1</v>
      </c>
      <c r="X132" s="54">
        <f t="shared" si="780"/>
        <v>3</v>
      </c>
      <c r="Y132" s="53">
        <f t="shared" si="781"/>
        <v>1</v>
      </c>
      <c r="Z132" s="54">
        <f t="shared" si="782"/>
        <v>3</v>
      </c>
      <c r="AA132" s="53">
        <f t="shared" si="783"/>
        <v>2</v>
      </c>
      <c r="AB132" s="54">
        <f t="shared" si="784"/>
        <v>4</v>
      </c>
      <c r="AC132" s="49">
        <f t="shared" ref="AC132:AD132" si="903">SUM(S132,U132,W132,Y132,AA132)</f>
        <v>7</v>
      </c>
      <c r="AD132" s="50">
        <f t="shared" si="903"/>
        <v>16</v>
      </c>
      <c r="AE132" s="53">
        <f t="shared" si="786"/>
        <v>1</v>
      </c>
      <c r="AF132" s="54">
        <f t="shared" si="787"/>
        <v>1</v>
      </c>
      <c r="AG132" s="53">
        <f t="shared" si="788"/>
        <v>1</v>
      </c>
      <c r="AH132" s="54">
        <f t="shared" si="789"/>
        <v>1</v>
      </c>
      <c r="AI132" s="53">
        <f t="shared" si="790"/>
        <v>1</v>
      </c>
      <c r="AJ132" s="54">
        <f t="shared" si="791"/>
        <v>3</v>
      </c>
      <c r="AK132" s="53">
        <f t="shared" si="792"/>
        <v>1</v>
      </c>
      <c r="AL132" s="54">
        <f t="shared" si="793"/>
        <v>2</v>
      </c>
      <c r="AM132" s="53">
        <f t="shared" si="794"/>
        <v>0</v>
      </c>
      <c r="AN132" s="54">
        <f t="shared" si="795"/>
        <v>0</v>
      </c>
      <c r="AO132" s="53">
        <f t="shared" si="796"/>
        <v>0</v>
      </c>
      <c r="AP132" s="54">
        <f t="shared" si="797"/>
        <v>0</v>
      </c>
      <c r="AQ132" s="49">
        <f t="shared" ref="AQ132:AR132" si="904">SUM(AG132,AI132,AK132,AM132,AO132)</f>
        <v>3</v>
      </c>
      <c r="AR132" s="50">
        <f t="shared" si="904"/>
        <v>6</v>
      </c>
      <c r="AS132" s="53">
        <f t="shared" si="799"/>
        <v>2</v>
      </c>
      <c r="AT132" s="54">
        <f t="shared" si="800"/>
        <v>4</v>
      </c>
      <c r="AU132" s="53">
        <f t="shared" si="801"/>
        <v>1</v>
      </c>
      <c r="AV132" s="54">
        <f t="shared" si="802"/>
        <v>1</v>
      </c>
      <c r="AW132" s="53">
        <f t="shared" si="803"/>
        <v>1</v>
      </c>
      <c r="AX132" s="54">
        <f t="shared" si="804"/>
        <v>3</v>
      </c>
      <c r="AY132" s="53">
        <f t="shared" si="805"/>
        <v>0</v>
      </c>
      <c r="AZ132" s="54">
        <f t="shared" si="806"/>
        <v>0</v>
      </c>
      <c r="BA132" s="53">
        <f t="shared" si="807"/>
        <v>1</v>
      </c>
      <c r="BB132" s="54">
        <f t="shared" si="808"/>
        <v>3</v>
      </c>
      <c r="BC132" s="49">
        <f t="shared" ref="BC132:BD132" si="905">SUM(AS132,AU132,AW132,AY132,BA132)</f>
        <v>5</v>
      </c>
      <c r="BD132" s="50">
        <f t="shared" si="905"/>
        <v>11</v>
      </c>
      <c r="BE132" s="68">
        <f t="shared" ref="BE132:BF132" si="906">SUM(E132,G132,I132,O132,Q132,AC132,AQ132,BC132)</f>
        <v>21</v>
      </c>
      <c r="BF132" s="69">
        <f t="shared" si="906"/>
        <v>43</v>
      </c>
      <c r="BG132" s="46" t="str">
        <f>BF132*'ОВгП_РАО'!$B$22</f>
        <v>#REF!</v>
      </c>
      <c r="BH132" s="46" t="str">
        <f>'ОВгП_РАО'!$B$22</f>
        <v>#REF!</v>
      </c>
    </row>
    <row r="133" ht="15.75" customHeight="1">
      <c r="A133" s="80">
        <f t="shared" si="811"/>
        <v>46264</v>
      </c>
      <c r="B133" s="47" t="s">
        <v>143</v>
      </c>
      <c r="C133" s="46" t="s">
        <v>96</v>
      </c>
      <c r="D133" s="47" t="s">
        <v>98</v>
      </c>
      <c r="E133" s="73">
        <f t="shared" si="762"/>
        <v>2</v>
      </c>
      <c r="F133" s="50">
        <f t="shared" si="763"/>
        <v>4</v>
      </c>
      <c r="G133" s="73">
        <f t="shared" si="764"/>
        <v>1</v>
      </c>
      <c r="H133" s="50">
        <f t="shared" si="765"/>
        <v>3</v>
      </c>
      <c r="I133" s="73">
        <f t="shared" si="766"/>
        <v>2</v>
      </c>
      <c r="J133" s="50">
        <f t="shared" si="767"/>
        <v>4</v>
      </c>
      <c r="K133" s="53">
        <f t="shared" si="768"/>
        <v>0</v>
      </c>
      <c r="L133" s="54">
        <f t="shared" si="769"/>
        <v>0</v>
      </c>
      <c r="M133" s="53">
        <f t="shared" si="770"/>
        <v>1</v>
      </c>
      <c r="N133" s="54">
        <f t="shared" si="771"/>
        <v>1</v>
      </c>
      <c r="O133" s="49">
        <f t="shared" ref="O133:P133" si="907">SUM(K133,M133)</f>
        <v>1</v>
      </c>
      <c r="P133" s="50">
        <f t="shared" si="907"/>
        <v>1</v>
      </c>
      <c r="Q133" s="73">
        <f t="shared" si="773"/>
        <v>1</v>
      </c>
      <c r="R133" s="50">
        <f t="shared" si="774"/>
        <v>3</v>
      </c>
      <c r="S133" s="53">
        <f t="shared" si="775"/>
        <v>1</v>
      </c>
      <c r="T133" s="54">
        <f t="shared" si="776"/>
        <v>1</v>
      </c>
      <c r="U133" s="53">
        <f t="shared" si="777"/>
        <v>1</v>
      </c>
      <c r="V133" s="54">
        <f t="shared" si="778"/>
        <v>1</v>
      </c>
      <c r="W133" s="53">
        <f t="shared" si="779"/>
        <v>2</v>
      </c>
      <c r="X133" s="54">
        <f t="shared" si="780"/>
        <v>4</v>
      </c>
      <c r="Y133" s="53">
        <f t="shared" si="781"/>
        <v>2</v>
      </c>
      <c r="Z133" s="54">
        <f t="shared" si="782"/>
        <v>4</v>
      </c>
      <c r="AA133" s="53">
        <f t="shared" si="783"/>
        <v>1</v>
      </c>
      <c r="AB133" s="54">
        <f t="shared" si="784"/>
        <v>1</v>
      </c>
      <c r="AC133" s="49">
        <f t="shared" ref="AC133:AD133" si="908">SUM(S133,U133,W133,Y133,AA133)</f>
        <v>7</v>
      </c>
      <c r="AD133" s="50">
        <f t="shared" si="908"/>
        <v>11</v>
      </c>
      <c r="AE133" s="53">
        <f t="shared" si="786"/>
        <v>2</v>
      </c>
      <c r="AF133" s="54">
        <f t="shared" si="787"/>
        <v>4</v>
      </c>
      <c r="AG133" s="53">
        <f t="shared" si="788"/>
        <v>1</v>
      </c>
      <c r="AH133" s="54">
        <f t="shared" si="789"/>
        <v>3</v>
      </c>
      <c r="AI133" s="53">
        <f t="shared" si="790"/>
        <v>0</v>
      </c>
      <c r="AJ133" s="54">
        <f t="shared" si="791"/>
        <v>0</v>
      </c>
      <c r="AK133" s="53">
        <f t="shared" si="792"/>
        <v>1</v>
      </c>
      <c r="AL133" s="54">
        <f t="shared" si="793"/>
        <v>1</v>
      </c>
      <c r="AM133" s="53">
        <f t="shared" si="794"/>
        <v>1</v>
      </c>
      <c r="AN133" s="54">
        <f t="shared" si="795"/>
        <v>3</v>
      </c>
      <c r="AO133" s="53">
        <f t="shared" si="796"/>
        <v>1</v>
      </c>
      <c r="AP133" s="54">
        <f t="shared" si="797"/>
        <v>1</v>
      </c>
      <c r="AQ133" s="49">
        <f t="shared" ref="AQ133:AR133" si="909">SUM(AG133,AI133,AK133,AM133,AO133)</f>
        <v>4</v>
      </c>
      <c r="AR133" s="50">
        <f t="shared" si="909"/>
        <v>8</v>
      </c>
      <c r="AS133" s="53">
        <f t="shared" si="799"/>
        <v>1</v>
      </c>
      <c r="AT133" s="54">
        <f t="shared" si="800"/>
        <v>3</v>
      </c>
      <c r="AU133" s="53">
        <f t="shared" si="801"/>
        <v>2</v>
      </c>
      <c r="AV133" s="54">
        <f t="shared" si="802"/>
        <v>4</v>
      </c>
      <c r="AW133" s="53">
        <f t="shared" si="803"/>
        <v>1</v>
      </c>
      <c r="AX133" s="54">
        <f t="shared" si="804"/>
        <v>1</v>
      </c>
      <c r="AY133" s="53">
        <f t="shared" si="805"/>
        <v>1</v>
      </c>
      <c r="AZ133" s="54">
        <f t="shared" si="806"/>
        <v>1</v>
      </c>
      <c r="BA133" s="53">
        <f t="shared" si="807"/>
        <v>1</v>
      </c>
      <c r="BB133" s="54">
        <f t="shared" si="808"/>
        <v>3</v>
      </c>
      <c r="BC133" s="49">
        <f t="shared" ref="BC133:BD133" si="910">SUM(AS133,AU133,AW133,AY133,BA133)</f>
        <v>6</v>
      </c>
      <c r="BD133" s="50">
        <f t="shared" si="910"/>
        <v>12</v>
      </c>
      <c r="BE133" s="68">
        <f t="shared" ref="BE133:BF133" si="911">SUM(E133,G133,I133,O133,Q133,AC133,AQ133,BC133)</f>
        <v>24</v>
      </c>
      <c r="BF133" s="69">
        <f t="shared" si="911"/>
        <v>46</v>
      </c>
      <c r="BG133" s="46" t="str">
        <f>BF133*'ОВгП_РАО'!$B$23</f>
        <v>#REF!</v>
      </c>
      <c r="BH133" s="46" t="str">
        <f>'ОВгП_РАО'!$B$23</f>
        <v>#REF!</v>
      </c>
    </row>
    <row r="134" ht="15.75" customHeight="1">
      <c r="A134" s="80">
        <f t="shared" si="811"/>
        <v>46264</v>
      </c>
      <c r="B134" s="47" t="s">
        <v>144</v>
      </c>
      <c r="C134" s="46" t="s">
        <v>96</v>
      </c>
      <c r="D134" s="47" t="s">
        <v>145</v>
      </c>
      <c r="E134" s="73">
        <f t="shared" si="762"/>
        <v>1</v>
      </c>
      <c r="F134" s="50">
        <f t="shared" si="763"/>
        <v>2</v>
      </c>
      <c r="G134" s="73">
        <f t="shared" si="764"/>
        <v>1</v>
      </c>
      <c r="H134" s="50">
        <f t="shared" si="765"/>
        <v>1</v>
      </c>
      <c r="I134" s="73">
        <f t="shared" si="766"/>
        <v>1</v>
      </c>
      <c r="J134" s="50">
        <f t="shared" si="767"/>
        <v>3</v>
      </c>
      <c r="K134" s="53">
        <f t="shared" si="768"/>
        <v>2</v>
      </c>
      <c r="L134" s="54">
        <f t="shared" si="769"/>
        <v>4</v>
      </c>
      <c r="M134" s="53">
        <f t="shared" si="770"/>
        <v>1</v>
      </c>
      <c r="N134" s="54">
        <f t="shared" si="771"/>
        <v>2</v>
      </c>
      <c r="O134" s="49">
        <f t="shared" ref="O134:P134" si="912">SUM(K134,M134)</f>
        <v>3</v>
      </c>
      <c r="P134" s="50">
        <f t="shared" si="912"/>
        <v>6</v>
      </c>
      <c r="Q134" s="73">
        <f t="shared" si="773"/>
        <v>1</v>
      </c>
      <c r="R134" s="50">
        <f t="shared" si="774"/>
        <v>2</v>
      </c>
      <c r="S134" s="53">
        <f t="shared" si="775"/>
        <v>1</v>
      </c>
      <c r="T134" s="54">
        <f t="shared" si="776"/>
        <v>1</v>
      </c>
      <c r="U134" s="53">
        <f t="shared" si="777"/>
        <v>1</v>
      </c>
      <c r="V134" s="54">
        <f t="shared" si="778"/>
        <v>1</v>
      </c>
      <c r="W134" s="53">
        <f t="shared" si="779"/>
        <v>0</v>
      </c>
      <c r="X134" s="54">
        <f t="shared" si="780"/>
        <v>0</v>
      </c>
      <c r="Y134" s="53">
        <f t="shared" si="781"/>
        <v>1</v>
      </c>
      <c r="Z134" s="54">
        <f t="shared" si="782"/>
        <v>3</v>
      </c>
      <c r="AA134" s="53">
        <f t="shared" si="783"/>
        <v>1</v>
      </c>
      <c r="AB134" s="54">
        <f t="shared" si="784"/>
        <v>3</v>
      </c>
      <c r="AC134" s="49">
        <f t="shared" ref="AC134:AD134" si="913">SUM(S134,U134,W134,Y134,AA134)</f>
        <v>4</v>
      </c>
      <c r="AD134" s="50">
        <f t="shared" si="913"/>
        <v>8</v>
      </c>
      <c r="AE134" s="53">
        <f t="shared" si="786"/>
        <v>2</v>
      </c>
      <c r="AF134" s="54">
        <f t="shared" si="787"/>
        <v>4</v>
      </c>
      <c r="AG134" s="53">
        <f t="shared" si="788"/>
        <v>1</v>
      </c>
      <c r="AH134" s="54">
        <f t="shared" si="789"/>
        <v>1</v>
      </c>
      <c r="AI134" s="53">
        <f t="shared" si="790"/>
        <v>1</v>
      </c>
      <c r="AJ134" s="54">
        <f t="shared" si="791"/>
        <v>1</v>
      </c>
      <c r="AK134" s="53">
        <f t="shared" si="792"/>
        <v>1</v>
      </c>
      <c r="AL134" s="54">
        <f t="shared" si="793"/>
        <v>2</v>
      </c>
      <c r="AM134" s="53">
        <f t="shared" si="794"/>
        <v>1</v>
      </c>
      <c r="AN134" s="54">
        <f t="shared" si="795"/>
        <v>2</v>
      </c>
      <c r="AO134" s="53">
        <f t="shared" si="796"/>
        <v>1</v>
      </c>
      <c r="AP134" s="54">
        <f t="shared" si="797"/>
        <v>3</v>
      </c>
      <c r="AQ134" s="49">
        <f t="shared" ref="AQ134:AR134" si="914">SUM(AG134,AI134,AK134,AM134,AO134)</f>
        <v>5</v>
      </c>
      <c r="AR134" s="50">
        <f t="shared" si="914"/>
        <v>9</v>
      </c>
      <c r="AS134" s="53">
        <f t="shared" si="799"/>
        <v>1</v>
      </c>
      <c r="AT134" s="54">
        <f t="shared" si="800"/>
        <v>1</v>
      </c>
      <c r="AU134" s="53">
        <f t="shared" si="801"/>
        <v>2</v>
      </c>
      <c r="AV134" s="54">
        <f t="shared" si="802"/>
        <v>4</v>
      </c>
      <c r="AW134" s="53">
        <f t="shared" si="803"/>
        <v>0</v>
      </c>
      <c r="AX134" s="54">
        <f t="shared" si="804"/>
        <v>0</v>
      </c>
      <c r="AY134" s="53">
        <f t="shared" si="805"/>
        <v>1</v>
      </c>
      <c r="AZ134" s="54">
        <f t="shared" si="806"/>
        <v>3</v>
      </c>
      <c r="BA134" s="53">
        <f t="shared" si="807"/>
        <v>1</v>
      </c>
      <c r="BB134" s="54">
        <f t="shared" si="808"/>
        <v>3</v>
      </c>
      <c r="BC134" s="49">
        <f t="shared" ref="BC134:BD134" si="915">SUM(AS134,AU134,AW134,AY134,BA134)</f>
        <v>5</v>
      </c>
      <c r="BD134" s="50">
        <f t="shared" si="915"/>
        <v>11</v>
      </c>
      <c r="BE134" s="68">
        <f t="shared" ref="BE134:BF134" si="916">SUM(E134,G134,I134,O134,Q134,AC134,AQ134,BC134)</f>
        <v>21</v>
      </c>
      <c r="BF134" s="69">
        <f t="shared" si="916"/>
        <v>42</v>
      </c>
      <c r="BG134" s="46" t="str">
        <f>BF134*'ОВгП_РАО'!$B$24</f>
        <v>#REF!</v>
      </c>
      <c r="BH134" s="46" t="str">
        <f>'ОВгП_РАО'!$B$24</f>
        <v>#REF!</v>
      </c>
    </row>
    <row r="135" ht="15.75" customHeight="1">
      <c r="A135" s="80">
        <f t="shared" si="811"/>
        <v>46264</v>
      </c>
      <c r="B135" s="47" t="s">
        <v>146</v>
      </c>
      <c r="C135" s="46" t="s">
        <v>96</v>
      </c>
      <c r="D135" s="47" t="s">
        <v>145</v>
      </c>
      <c r="E135" s="73">
        <f t="shared" si="762"/>
        <v>0</v>
      </c>
      <c r="F135" s="50">
        <f t="shared" si="763"/>
        <v>0</v>
      </c>
      <c r="G135" s="73">
        <f t="shared" si="764"/>
        <v>1</v>
      </c>
      <c r="H135" s="50">
        <f t="shared" si="765"/>
        <v>3</v>
      </c>
      <c r="I135" s="73">
        <f t="shared" si="766"/>
        <v>1</v>
      </c>
      <c r="J135" s="50">
        <f t="shared" si="767"/>
        <v>2</v>
      </c>
      <c r="K135" s="53">
        <f t="shared" si="768"/>
        <v>1</v>
      </c>
      <c r="L135" s="54">
        <f t="shared" si="769"/>
        <v>1</v>
      </c>
      <c r="M135" s="53">
        <f t="shared" si="770"/>
        <v>1</v>
      </c>
      <c r="N135" s="54">
        <f t="shared" si="771"/>
        <v>3</v>
      </c>
      <c r="O135" s="49">
        <f t="shared" ref="O135:P135" si="917">SUM(K135,M135)</f>
        <v>2</v>
      </c>
      <c r="P135" s="50">
        <f t="shared" si="917"/>
        <v>4</v>
      </c>
      <c r="Q135" s="73">
        <f t="shared" si="773"/>
        <v>1</v>
      </c>
      <c r="R135" s="50">
        <f t="shared" si="774"/>
        <v>2</v>
      </c>
      <c r="S135" s="53">
        <f t="shared" si="775"/>
        <v>2</v>
      </c>
      <c r="T135" s="54">
        <f t="shared" si="776"/>
        <v>4</v>
      </c>
      <c r="U135" s="53">
        <f t="shared" si="777"/>
        <v>1</v>
      </c>
      <c r="V135" s="54">
        <f t="shared" si="778"/>
        <v>1</v>
      </c>
      <c r="W135" s="53">
        <f t="shared" si="779"/>
        <v>1</v>
      </c>
      <c r="X135" s="54">
        <f t="shared" si="780"/>
        <v>2</v>
      </c>
      <c r="Y135" s="53">
        <f t="shared" si="781"/>
        <v>1</v>
      </c>
      <c r="Z135" s="54">
        <f t="shared" si="782"/>
        <v>2</v>
      </c>
      <c r="AA135" s="53">
        <f t="shared" si="783"/>
        <v>1</v>
      </c>
      <c r="AB135" s="54">
        <f t="shared" si="784"/>
        <v>2</v>
      </c>
      <c r="AC135" s="49">
        <f t="shared" ref="AC135:AD135" si="918">SUM(S135,U135,W135,Y135,AA135)</f>
        <v>6</v>
      </c>
      <c r="AD135" s="50">
        <f t="shared" si="918"/>
        <v>11</v>
      </c>
      <c r="AE135" s="53">
        <f t="shared" si="786"/>
        <v>1</v>
      </c>
      <c r="AF135" s="54">
        <f t="shared" si="787"/>
        <v>2</v>
      </c>
      <c r="AG135" s="53">
        <f t="shared" si="788"/>
        <v>0</v>
      </c>
      <c r="AH135" s="54">
        <f t="shared" si="789"/>
        <v>0</v>
      </c>
      <c r="AI135" s="53">
        <f t="shared" si="790"/>
        <v>0</v>
      </c>
      <c r="AJ135" s="54">
        <f t="shared" si="791"/>
        <v>0</v>
      </c>
      <c r="AK135" s="53">
        <f t="shared" si="792"/>
        <v>1</v>
      </c>
      <c r="AL135" s="54">
        <f t="shared" si="793"/>
        <v>1</v>
      </c>
      <c r="AM135" s="53">
        <f t="shared" si="794"/>
        <v>1</v>
      </c>
      <c r="AN135" s="54">
        <f t="shared" si="795"/>
        <v>2</v>
      </c>
      <c r="AO135" s="53">
        <f t="shared" si="796"/>
        <v>1</v>
      </c>
      <c r="AP135" s="54">
        <f t="shared" si="797"/>
        <v>2</v>
      </c>
      <c r="AQ135" s="49">
        <f t="shared" ref="AQ135:AR135" si="919">SUM(AG135,AI135,AK135,AM135,AO135)</f>
        <v>3</v>
      </c>
      <c r="AR135" s="50">
        <f t="shared" si="919"/>
        <v>5</v>
      </c>
      <c r="AS135" s="53">
        <f t="shared" si="799"/>
        <v>0</v>
      </c>
      <c r="AT135" s="54">
        <f t="shared" si="800"/>
        <v>0</v>
      </c>
      <c r="AU135" s="53">
        <f t="shared" si="801"/>
        <v>1</v>
      </c>
      <c r="AV135" s="54">
        <f t="shared" si="802"/>
        <v>1</v>
      </c>
      <c r="AW135" s="53">
        <f t="shared" si="803"/>
        <v>2</v>
      </c>
      <c r="AX135" s="54">
        <f t="shared" si="804"/>
        <v>4</v>
      </c>
      <c r="AY135" s="53">
        <f t="shared" si="805"/>
        <v>0</v>
      </c>
      <c r="AZ135" s="54">
        <f t="shared" si="806"/>
        <v>0</v>
      </c>
      <c r="BA135" s="53">
        <f t="shared" si="807"/>
        <v>2</v>
      </c>
      <c r="BB135" s="54">
        <f t="shared" si="808"/>
        <v>4</v>
      </c>
      <c r="BC135" s="49">
        <f t="shared" ref="BC135:BD135" si="920">SUM(AS135,AU135,AW135,AY135,BA135)</f>
        <v>5</v>
      </c>
      <c r="BD135" s="50">
        <f t="shared" si="920"/>
        <v>9</v>
      </c>
      <c r="BE135" s="68">
        <f t="shared" ref="BE135:BF135" si="921">SUM(E135,G135,I135,O135,Q135,AC135,AQ135,BC135)</f>
        <v>19</v>
      </c>
      <c r="BF135" s="69">
        <f t="shared" si="921"/>
        <v>36</v>
      </c>
      <c r="BG135" s="46" t="str">
        <f>BF135*'ОВгП_РАО'!$B$25</f>
        <v>#REF!</v>
      </c>
      <c r="BH135" s="46" t="str">
        <f>'ОВгП_РАО'!$B$25</f>
        <v>#REF!</v>
      </c>
    </row>
    <row r="136" ht="15.75" customHeight="1">
      <c r="A136" s="80">
        <f t="shared" si="811"/>
        <v>46264</v>
      </c>
      <c r="B136" s="47" t="s">
        <v>147</v>
      </c>
      <c r="C136" s="46" t="s">
        <v>96</v>
      </c>
      <c r="D136" s="47" t="s">
        <v>148</v>
      </c>
      <c r="E136" s="73">
        <f t="shared" si="762"/>
        <v>0</v>
      </c>
      <c r="F136" s="50">
        <f t="shared" si="763"/>
        <v>0</v>
      </c>
      <c r="G136" s="73">
        <f t="shared" si="764"/>
        <v>0</v>
      </c>
      <c r="H136" s="50">
        <f t="shared" si="765"/>
        <v>0</v>
      </c>
      <c r="I136" s="73">
        <f t="shared" si="766"/>
        <v>2</v>
      </c>
      <c r="J136" s="50">
        <f t="shared" si="767"/>
        <v>4</v>
      </c>
      <c r="K136" s="53">
        <f t="shared" si="768"/>
        <v>1</v>
      </c>
      <c r="L136" s="54">
        <f t="shared" si="769"/>
        <v>2</v>
      </c>
      <c r="M136" s="53">
        <f t="shared" si="770"/>
        <v>2</v>
      </c>
      <c r="N136" s="54">
        <f t="shared" si="771"/>
        <v>4</v>
      </c>
      <c r="O136" s="49">
        <f t="shared" ref="O136:P136" si="922">SUM(K136,M136)</f>
        <v>3</v>
      </c>
      <c r="P136" s="50">
        <f t="shared" si="922"/>
        <v>6</v>
      </c>
      <c r="Q136" s="73">
        <f t="shared" si="773"/>
        <v>2</v>
      </c>
      <c r="R136" s="50">
        <f t="shared" si="774"/>
        <v>4</v>
      </c>
      <c r="S136" s="53">
        <f t="shared" si="775"/>
        <v>2</v>
      </c>
      <c r="T136" s="54">
        <f t="shared" si="776"/>
        <v>4</v>
      </c>
      <c r="U136" s="53">
        <f t="shared" si="777"/>
        <v>1</v>
      </c>
      <c r="V136" s="54">
        <f t="shared" si="778"/>
        <v>1</v>
      </c>
      <c r="W136" s="53">
        <f t="shared" si="779"/>
        <v>1</v>
      </c>
      <c r="X136" s="54">
        <f t="shared" si="780"/>
        <v>2</v>
      </c>
      <c r="Y136" s="53">
        <f t="shared" si="781"/>
        <v>0</v>
      </c>
      <c r="Z136" s="54">
        <f t="shared" si="782"/>
        <v>0</v>
      </c>
      <c r="AA136" s="53">
        <f t="shared" si="783"/>
        <v>0</v>
      </c>
      <c r="AB136" s="54">
        <f t="shared" si="784"/>
        <v>0</v>
      </c>
      <c r="AC136" s="49">
        <f t="shared" ref="AC136:AD136" si="923">SUM(S136,U136,W136,Y136,AA136)</f>
        <v>4</v>
      </c>
      <c r="AD136" s="50">
        <f t="shared" si="923"/>
        <v>7</v>
      </c>
      <c r="AE136" s="53">
        <f t="shared" si="786"/>
        <v>1</v>
      </c>
      <c r="AF136" s="54">
        <f t="shared" si="787"/>
        <v>1</v>
      </c>
      <c r="AG136" s="53">
        <f t="shared" si="788"/>
        <v>1</v>
      </c>
      <c r="AH136" s="54">
        <f t="shared" si="789"/>
        <v>2</v>
      </c>
      <c r="AI136" s="53">
        <f t="shared" si="790"/>
        <v>1</v>
      </c>
      <c r="AJ136" s="54">
        <f t="shared" si="791"/>
        <v>3</v>
      </c>
      <c r="AK136" s="53">
        <f t="shared" si="792"/>
        <v>2</v>
      </c>
      <c r="AL136" s="54">
        <f t="shared" si="793"/>
        <v>4</v>
      </c>
      <c r="AM136" s="53">
        <f t="shared" si="794"/>
        <v>1</v>
      </c>
      <c r="AN136" s="54">
        <f t="shared" si="795"/>
        <v>2</v>
      </c>
      <c r="AO136" s="53">
        <f t="shared" si="796"/>
        <v>2</v>
      </c>
      <c r="AP136" s="54">
        <f t="shared" si="797"/>
        <v>4</v>
      </c>
      <c r="AQ136" s="49">
        <f t="shared" ref="AQ136:AR136" si="924">SUM(AG136,AI136,AK136,AM136,AO136)</f>
        <v>7</v>
      </c>
      <c r="AR136" s="50">
        <f t="shared" si="924"/>
        <v>15</v>
      </c>
      <c r="AS136" s="53">
        <f t="shared" si="799"/>
        <v>1</v>
      </c>
      <c r="AT136" s="54">
        <f t="shared" si="800"/>
        <v>1</v>
      </c>
      <c r="AU136" s="53">
        <f t="shared" si="801"/>
        <v>2</v>
      </c>
      <c r="AV136" s="54">
        <f t="shared" si="802"/>
        <v>4</v>
      </c>
      <c r="AW136" s="53">
        <f t="shared" si="803"/>
        <v>2</v>
      </c>
      <c r="AX136" s="54">
        <f t="shared" si="804"/>
        <v>4</v>
      </c>
      <c r="AY136" s="53">
        <f t="shared" si="805"/>
        <v>0</v>
      </c>
      <c r="AZ136" s="54">
        <f t="shared" si="806"/>
        <v>0</v>
      </c>
      <c r="BA136" s="53">
        <f t="shared" si="807"/>
        <v>1</v>
      </c>
      <c r="BB136" s="54">
        <f t="shared" si="808"/>
        <v>1</v>
      </c>
      <c r="BC136" s="49">
        <f t="shared" ref="BC136:BD136" si="925">SUM(AS136,AU136,AW136,AY136,BA136)</f>
        <v>6</v>
      </c>
      <c r="BD136" s="50">
        <f t="shared" si="925"/>
        <v>10</v>
      </c>
      <c r="BE136" s="68">
        <f t="shared" ref="BE136:BF136" si="926">SUM(E136,G136,I136,O136,Q136,AC136,AQ136,BC136)</f>
        <v>24</v>
      </c>
      <c r="BF136" s="69">
        <f t="shared" si="926"/>
        <v>46</v>
      </c>
      <c r="BG136" s="46" t="str">
        <f>BF136*'ОВгП_РАО'!$B$26</f>
        <v>#REF!</v>
      </c>
      <c r="BH136" s="46" t="str">
        <f>'ОВгП_РАО'!$B$26</f>
        <v>#REF!</v>
      </c>
    </row>
    <row r="137" ht="15.75" customHeight="1">
      <c r="A137" s="80">
        <f t="shared" si="811"/>
        <v>46264</v>
      </c>
      <c r="B137" s="47" t="s">
        <v>149</v>
      </c>
      <c r="C137" s="47" t="s">
        <v>122</v>
      </c>
      <c r="D137" s="47" t="s">
        <v>150</v>
      </c>
      <c r="E137" s="73">
        <f t="shared" si="762"/>
        <v>1</v>
      </c>
      <c r="F137" s="50">
        <f t="shared" si="763"/>
        <v>1</v>
      </c>
      <c r="G137" s="73">
        <f t="shared" si="764"/>
        <v>1</v>
      </c>
      <c r="H137" s="50">
        <f t="shared" si="765"/>
        <v>3</v>
      </c>
      <c r="I137" s="73">
        <f t="shared" si="766"/>
        <v>0</v>
      </c>
      <c r="J137" s="50">
        <f t="shared" si="767"/>
        <v>0</v>
      </c>
      <c r="K137" s="53">
        <f t="shared" si="768"/>
        <v>1</v>
      </c>
      <c r="L137" s="54">
        <f t="shared" si="769"/>
        <v>3</v>
      </c>
      <c r="M137" s="53">
        <f t="shared" si="770"/>
        <v>1</v>
      </c>
      <c r="N137" s="54">
        <f t="shared" si="771"/>
        <v>2</v>
      </c>
      <c r="O137" s="49">
        <f t="shared" ref="O137:P137" si="927">SUM(K137,M137)</f>
        <v>2</v>
      </c>
      <c r="P137" s="50">
        <f t="shared" si="927"/>
        <v>5</v>
      </c>
      <c r="Q137" s="73">
        <f t="shared" si="773"/>
        <v>1</v>
      </c>
      <c r="R137" s="50">
        <f t="shared" si="774"/>
        <v>1</v>
      </c>
      <c r="S137" s="53">
        <f t="shared" si="775"/>
        <v>1</v>
      </c>
      <c r="T137" s="54">
        <f t="shared" si="776"/>
        <v>2</v>
      </c>
      <c r="U137" s="53">
        <f t="shared" si="777"/>
        <v>0</v>
      </c>
      <c r="V137" s="54">
        <f t="shared" si="778"/>
        <v>0</v>
      </c>
      <c r="W137" s="53">
        <f t="shared" si="779"/>
        <v>1</v>
      </c>
      <c r="X137" s="54">
        <f t="shared" si="780"/>
        <v>1</v>
      </c>
      <c r="Y137" s="53">
        <f t="shared" si="781"/>
        <v>1</v>
      </c>
      <c r="Z137" s="54">
        <f t="shared" si="782"/>
        <v>3</v>
      </c>
      <c r="AA137" s="53">
        <f t="shared" si="783"/>
        <v>2</v>
      </c>
      <c r="AB137" s="54">
        <f t="shared" si="784"/>
        <v>4</v>
      </c>
      <c r="AC137" s="49">
        <f t="shared" ref="AC137:AD137" si="928">SUM(S137,U137,W137,Y137,AA137)</f>
        <v>5</v>
      </c>
      <c r="AD137" s="50">
        <f t="shared" si="928"/>
        <v>10</v>
      </c>
      <c r="AE137" s="53">
        <f t="shared" si="786"/>
        <v>0</v>
      </c>
      <c r="AF137" s="54">
        <f t="shared" si="787"/>
        <v>0</v>
      </c>
      <c r="AG137" s="53">
        <f t="shared" si="788"/>
        <v>1</v>
      </c>
      <c r="AH137" s="54">
        <f t="shared" si="789"/>
        <v>2</v>
      </c>
      <c r="AI137" s="53">
        <f t="shared" si="790"/>
        <v>0</v>
      </c>
      <c r="AJ137" s="54">
        <f t="shared" si="791"/>
        <v>0</v>
      </c>
      <c r="AK137" s="53">
        <f t="shared" si="792"/>
        <v>1</v>
      </c>
      <c r="AL137" s="54">
        <f t="shared" si="793"/>
        <v>1</v>
      </c>
      <c r="AM137" s="53">
        <f t="shared" si="794"/>
        <v>1</v>
      </c>
      <c r="AN137" s="54">
        <f t="shared" si="795"/>
        <v>2</v>
      </c>
      <c r="AO137" s="53">
        <f t="shared" si="796"/>
        <v>0</v>
      </c>
      <c r="AP137" s="54">
        <f t="shared" si="797"/>
        <v>0</v>
      </c>
      <c r="AQ137" s="49">
        <f t="shared" ref="AQ137:AR137" si="929">SUM(AG137,AI137,AK137,AM137,AO137)</f>
        <v>3</v>
      </c>
      <c r="AR137" s="50">
        <f t="shared" si="929"/>
        <v>5</v>
      </c>
      <c r="AS137" s="53">
        <f t="shared" si="799"/>
        <v>1</v>
      </c>
      <c r="AT137" s="54">
        <f t="shared" si="800"/>
        <v>3</v>
      </c>
      <c r="AU137" s="53">
        <f t="shared" si="801"/>
        <v>1</v>
      </c>
      <c r="AV137" s="54">
        <f t="shared" si="802"/>
        <v>1</v>
      </c>
      <c r="AW137" s="53">
        <f t="shared" si="803"/>
        <v>1</v>
      </c>
      <c r="AX137" s="54">
        <f t="shared" si="804"/>
        <v>3</v>
      </c>
      <c r="AY137" s="53">
        <f t="shared" si="805"/>
        <v>1</v>
      </c>
      <c r="AZ137" s="54">
        <f t="shared" si="806"/>
        <v>2</v>
      </c>
      <c r="BA137" s="53">
        <f t="shared" si="807"/>
        <v>0</v>
      </c>
      <c r="BB137" s="54">
        <f t="shared" si="808"/>
        <v>0</v>
      </c>
      <c r="BC137" s="49">
        <f t="shared" ref="BC137:BD137" si="930">SUM(AS137,AU137,AW137,AY137,BA137)</f>
        <v>4</v>
      </c>
      <c r="BD137" s="50">
        <f t="shared" si="930"/>
        <v>9</v>
      </c>
      <c r="BE137" s="68">
        <f t="shared" ref="BE137:BF137" si="931">SUM(E137,G137,I137,O137,Q137,AC137,AQ137,BC137)</f>
        <v>17</v>
      </c>
      <c r="BF137" s="69">
        <f t="shared" si="931"/>
        <v>34</v>
      </c>
      <c r="BG137" s="46" t="str">
        <f>BF137*'ОВгП_РАО'!$B$27</f>
        <v>#REF!</v>
      </c>
      <c r="BH137" s="46" t="str">
        <f>'ОВгП_РАО'!$B$27</f>
        <v>#REF!</v>
      </c>
    </row>
    <row r="138" ht="15.75" customHeight="1">
      <c r="A138" s="80">
        <f t="shared" si="811"/>
        <v>46264</v>
      </c>
      <c r="B138" s="47" t="s">
        <v>151</v>
      </c>
      <c r="C138" s="47" t="s">
        <v>122</v>
      </c>
      <c r="D138" s="47" t="s">
        <v>152</v>
      </c>
      <c r="E138" s="73">
        <f t="shared" si="762"/>
        <v>4</v>
      </c>
      <c r="F138" s="50">
        <f t="shared" ref="F138:F146" si="937">RANDBETWEEN(0,100)</f>
        <v>10</v>
      </c>
      <c r="G138" s="73">
        <f t="shared" si="764"/>
        <v>1</v>
      </c>
      <c r="H138" s="50">
        <f t="shared" ref="H138:H146" si="938">RANDBETWEEN(0,100)</f>
        <v>3</v>
      </c>
      <c r="I138" s="73">
        <f t="shared" si="766"/>
        <v>26</v>
      </c>
      <c r="J138" s="50">
        <f t="shared" ref="J138:J146" si="939">RANDBETWEEN(0,100)</f>
        <v>77</v>
      </c>
      <c r="K138" s="53">
        <f t="shared" si="768"/>
        <v>32</v>
      </c>
      <c r="L138" s="54">
        <f t="shared" ref="L138:L146" si="940">RANDBETWEEN(0,100)</f>
        <v>94</v>
      </c>
      <c r="M138" s="53">
        <f t="shared" si="770"/>
        <v>14</v>
      </c>
      <c r="N138" s="54">
        <f t="shared" ref="N138:N146" si="941">RANDBETWEEN(0,100)</f>
        <v>40</v>
      </c>
      <c r="O138" s="49">
        <f t="shared" ref="O138:P138" si="932">SUM(K138,M138)</f>
        <v>46</v>
      </c>
      <c r="P138" s="50">
        <f t="shared" si="932"/>
        <v>134</v>
      </c>
      <c r="Q138" s="73">
        <f t="shared" si="773"/>
        <v>18</v>
      </c>
      <c r="R138" s="50">
        <f t="shared" ref="R138:R146" si="943">RANDBETWEEN(0,100)</f>
        <v>52</v>
      </c>
      <c r="S138" s="53">
        <f t="shared" si="775"/>
        <v>7</v>
      </c>
      <c r="T138" s="54">
        <f t="shared" ref="T138:T146" si="944">RANDBETWEEN(0,300)</f>
        <v>21</v>
      </c>
      <c r="U138" s="53">
        <f t="shared" si="777"/>
        <v>24</v>
      </c>
      <c r="V138" s="54">
        <f t="shared" ref="V138:V146" si="945">RANDBETWEEN(0,300)</f>
        <v>71</v>
      </c>
      <c r="W138" s="53">
        <f t="shared" si="779"/>
        <v>45</v>
      </c>
      <c r="X138" s="54">
        <f t="shared" ref="X138:X146" si="946">RANDBETWEEN(0,300)</f>
        <v>135</v>
      </c>
      <c r="Y138" s="53">
        <f t="shared" si="781"/>
        <v>20</v>
      </c>
      <c r="Z138" s="54">
        <f t="shared" ref="Z138:Z146" si="947">RANDBETWEEN(0,300)</f>
        <v>60</v>
      </c>
      <c r="AA138" s="53">
        <f t="shared" si="783"/>
        <v>43</v>
      </c>
      <c r="AB138" s="54">
        <f t="shared" ref="AB138:AB146" si="948">RANDBETWEEN(0,300)</f>
        <v>129</v>
      </c>
      <c r="AC138" s="49">
        <f t="shared" ref="AC138:AD138" si="933">SUM(S138,U138,W138,Y138,AA138)</f>
        <v>139</v>
      </c>
      <c r="AD138" s="50">
        <f t="shared" si="933"/>
        <v>416</v>
      </c>
      <c r="AE138" s="53">
        <f t="shared" si="786"/>
        <v>84</v>
      </c>
      <c r="AF138" s="54">
        <f>RANDBETWEEN(100,500)</f>
        <v>252</v>
      </c>
      <c r="AG138" s="53">
        <f t="shared" si="788"/>
        <v>151</v>
      </c>
      <c r="AH138" s="54">
        <f>RANDBETWEEN(100,500)</f>
        <v>452</v>
      </c>
      <c r="AI138" s="53">
        <f t="shared" si="790"/>
        <v>68</v>
      </c>
      <c r="AJ138" s="54">
        <f>RANDBETWEEN(100,500)</f>
        <v>202</v>
      </c>
      <c r="AK138" s="53">
        <f t="shared" si="792"/>
        <v>126</v>
      </c>
      <c r="AL138" s="54">
        <f>RANDBETWEEN(100,500)</f>
        <v>376</v>
      </c>
      <c r="AM138" s="53">
        <f t="shared" si="794"/>
        <v>37</v>
      </c>
      <c r="AN138" s="54">
        <f>RANDBETWEEN(100,500)</f>
        <v>109</v>
      </c>
      <c r="AO138" s="53">
        <f t="shared" si="796"/>
        <v>115</v>
      </c>
      <c r="AP138" s="54">
        <f>RANDBETWEEN(100,500)</f>
        <v>343</v>
      </c>
      <c r="AQ138" s="49">
        <f t="shared" ref="AQ138:AR138" si="934">SUM(AG138,AI138,AK138,AM138,AO138)</f>
        <v>497</v>
      </c>
      <c r="AR138" s="50">
        <f t="shared" si="934"/>
        <v>1482</v>
      </c>
      <c r="AS138" s="53">
        <f t="shared" si="799"/>
        <v>138</v>
      </c>
      <c r="AT138" s="54">
        <f>RANDBETWEEN(100,500)</f>
        <v>412</v>
      </c>
      <c r="AU138" s="53">
        <f t="shared" si="801"/>
        <v>127</v>
      </c>
      <c r="AV138" s="54">
        <f>RANDBETWEEN(100,500)</f>
        <v>379</v>
      </c>
      <c r="AW138" s="53">
        <f t="shared" si="803"/>
        <v>152</v>
      </c>
      <c r="AX138" s="54">
        <f>RANDBETWEEN(100,500)</f>
        <v>454</v>
      </c>
      <c r="AY138" s="53">
        <f t="shared" si="805"/>
        <v>74</v>
      </c>
      <c r="AZ138" s="54">
        <f>RANDBETWEEN(100,500)</f>
        <v>222</v>
      </c>
      <c r="BA138" s="53">
        <f t="shared" si="807"/>
        <v>151</v>
      </c>
      <c r="BB138" s="54">
        <f>RANDBETWEEN(100,500)</f>
        <v>451</v>
      </c>
      <c r="BC138" s="49">
        <f t="shared" ref="BC138:BD138" si="935">SUM(AS138,AU138,AW138,AY138,BA138)</f>
        <v>642</v>
      </c>
      <c r="BD138" s="50">
        <f t="shared" si="935"/>
        <v>1918</v>
      </c>
      <c r="BE138" s="68">
        <f t="shared" ref="BE138:BF138" si="936">SUM(E138,G138,I138,O138,Q138,AC138,AQ138,BC138)</f>
        <v>1373</v>
      </c>
      <c r="BF138" s="69">
        <f t="shared" si="936"/>
        <v>4092</v>
      </c>
      <c r="BG138" s="46" t="str">
        <f>BF138*'ОВгП_РАО'!$B$28</f>
        <v>#REF!</v>
      </c>
      <c r="BH138" s="46" t="str">
        <f>'ОВгП_РАО'!$B$28</f>
        <v>#REF!</v>
      </c>
    </row>
    <row r="139" ht="15.75" customHeight="1">
      <c r="A139" s="80">
        <f t="shared" si="811"/>
        <v>46264</v>
      </c>
      <c r="B139" s="47" t="s">
        <v>153</v>
      </c>
      <c r="C139" s="47" t="s">
        <v>122</v>
      </c>
      <c r="D139" s="47" t="s">
        <v>152</v>
      </c>
      <c r="E139" s="73">
        <f t="shared" si="762"/>
        <v>26</v>
      </c>
      <c r="F139" s="50">
        <f t="shared" si="937"/>
        <v>77</v>
      </c>
      <c r="G139" s="73">
        <f t="shared" si="764"/>
        <v>32</v>
      </c>
      <c r="H139" s="50">
        <f t="shared" si="938"/>
        <v>95</v>
      </c>
      <c r="I139" s="73">
        <f t="shared" si="766"/>
        <v>30</v>
      </c>
      <c r="J139" s="50">
        <f t="shared" si="939"/>
        <v>89</v>
      </c>
      <c r="K139" s="53">
        <f t="shared" si="768"/>
        <v>8</v>
      </c>
      <c r="L139" s="54">
        <f t="shared" si="940"/>
        <v>23</v>
      </c>
      <c r="M139" s="53">
        <f t="shared" si="770"/>
        <v>2</v>
      </c>
      <c r="N139" s="54">
        <f t="shared" si="941"/>
        <v>5</v>
      </c>
      <c r="O139" s="49">
        <f t="shared" ref="O139:P139" si="942">SUM(K139,M139)</f>
        <v>10</v>
      </c>
      <c r="P139" s="50">
        <f t="shared" si="942"/>
        <v>28</v>
      </c>
      <c r="Q139" s="73">
        <f t="shared" si="773"/>
        <v>8</v>
      </c>
      <c r="R139" s="50">
        <f t="shared" si="943"/>
        <v>22</v>
      </c>
      <c r="S139" s="53">
        <f t="shared" si="775"/>
        <v>22</v>
      </c>
      <c r="T139" s="54">
        <f t="shared" si="944"/>
        <v>64</v>
      </c>
      <c r="U139" s="53">
        <f t="shared" si="777"/>
        <v>82</v>
      </c>
      <c r="V139" s="54">
        <f t="shared" si="945"/>
        <v>246</v>
      </c>
      <c r="W139" s="53">
        <f t="shared" si="779"/>
        <v>73</v>
      </c>
      <c r="X139" s="54">
        <f t="shared" si="946"/>
        <v>217</v>
      </c>
      <c r="Y139" s="53">
        <f t="shared" si="781"/>
        <v>91</v>
      </c>
      <c r="Z139" s="54">
        <f t="shared" si="947"/>
        <v>273</v>
      </c>
      <c r="AA139" s="53">
        <f t="shared" si="783"/>
        <v>61</v>
      </c>
      <c r="AB139" s="54">
        <f t="shared" si="948"/>
        <v>182</v>
      </c>
      <c r="AC139" s="49">
        <f t="shared" ref="AC139:AD139" si="949">SUM(S139,U139,W139,Y139,AA139)</f>
        <v>329</v>
      </c>
      <c r="AD139" s="50">
        <f t="shared" si="949"/>
        <v>982</v>
      </c>
      <c r="AE139" s="53">
        <f t="shared" si="786"/>
        <v>55</v>
      </c>
      <c r="AF139" s="54">
        <f t="shared" ref="AF139:AF146" si="955">RANDBETWEEN(0,300)</f>
        <v>163</v>
      </c>
      <c r="AG139" s="53">
        <f t="shared" si="788"/>
        <v>89</v>
      </c>
      <c r="AH139" s="54">
        <f t="shared" ref="AH139:AH146" si="956">RANDBETWEEN(0,300)</f>
        <v>267</v>
      </c>
      <c r="AI139" s="53">
        <f t="shared" si="790"/>
        <v>21</v>
      </c>
      <c r="AJ139" s="54">
        <f t="shared" ref="AJ139:AJ146" si="957">RANDBETWEEN(0,300)</f>
        <v>62</v>
      </c>
      <c r="AK139" s="53">
        <f t="shared" si="792"/>
        <v>43</v>
      </c>
      <c r="AL139" s="54">
        <f t="shared" ref="AL139:AL146" si="958">RANDBETWEEN(0,300)</f>
        <v>128</v>
      </c>
      <c r="AM139" s="53">
        <f t="shared" si="794"/>
        <v>12</v>
      </c>
      <c r="AN139" s="54">
        <f t="shared" ref="AN139:AN146" si="959">RANDBETWEEN(0,300)</f>
        <v>34</v>
      </c>
      <c r="AO139" s="53">
        <f t="shared" si="796"/>
        <v>54</v>
      </c>
      <c r="AP139" s="54">
        <f t="shared" ref="AP139:AP146" si="960">RANDBETWEEN(0,300)</f>
        <v>162</v>
      </c>
      <c r="AQ139" s="49">
        <f t="shared" ref="AQ139:AR139" si="950">SUM(AG139,AI139,AK139,AM139,AO139)</f>
        <v>219</v>
      </c>
      <c r="AR139" s="50">
        <f t="shared" si="950"/>
        <v>653</v>
      </c>
      <c r="AS139" s="53">
        <f t="shared" si="799"/>
        <v>87</v>
      </c>
      <c r="AT139" s="54">
        <f t="shared" ref="AT139:AT140" si="962">RANDBETWEEN(0,300)</f>
        <v>259</v>
      </c>
      <c r="AU139" s="53">
        <f t="shared" si="801"/>
        <v>61</v>
      </c>
      <c r="AV139" s="54">
        <f t="shared" ref="AV139:AV140" si="963">RANDBETWEEN(0,300)</f>
        <v>181</v>
      </c>
      <c r="AW139" s="53">
        <f t="shared" si="803"/>
        <v>69</v>
      </c>
      <c r="AX139" s="54">
        <f t="shared" ref="AX139:AX140" si="964">RANDBETWEEN(0,300)</f>
        <v>206</v>
      </c>
      <c r="AY139" s="53">
        <f t="shared" si="805"/>
        <v>93</v>
      </c>
      <c r="AZ139" s="54">
        <f t="shared" ref="AZ139:AZ140" si="965">RANDBETWEEN(0,300)</f>
        <v>278</v>
      </c>
      <c r="BA139" s="53">
        <f t="shared" si="807"/>
        <v>86</v>
      </c>
      <c r="BB139" s="54">
        <f t="shared" ref="BB139:BB140" si="966">RANDBETWEEN(0,300)</f>
        <v>256</v>
      </c>
      <c r="BC139" s="49">
        <f t="shared" ref="BC139:BD139" si="951">SUM(AS139,AU139,AW139,AY139,BA139)</f>
        <v>396</v>
      </c>
      <c r="BD139" s="50">
        <f t="shared" si="951"/>
        <v>1180</v>
      </c>
      <c r="BE139" s="68">
        <f t="shared" ref="BE139:BF139" si="952">SUM(E139,G139,I139,O139,Q139,AC139,AQ139,BC139)</f>
        <v>1050</v>
      </c>
      <c r="BF139" s="69">
        <f t="shared" si="952"/>
        <v>3126</v>
      </c>
      <c r="BG139" s="46" t="str">
        <f>BF139*'ОВгП_РАО'!$B$29</f>
        <v>#REF!</v>
      </c>
      <c r="BH139" s="46" t="str">
        <f>'ОВгП_РАО'!$B$29</f>
        <v>#REF!</v>
      </c>
    </row>
    <row r="140" ht="15.75" customHeight="1">
      <c r="A140" s="80">
        <f t="shared" si="811"/>
        <v>46264</v>
      </c>
      <c r="B140" s="47" t="s">
        <v>154</v>
      </c>
      <c r="C140" s="47" t="s">
        <v>122</v>
      </c>
      <c r="D140" s="47" t="s">
        <v>152</v>
      </c>
      <c r="E140" s="73">
        <f t="shared" si="762"/>
        <v>17</v>
      </c>
      <c r="F140" s="50">
        <f t="shared" si="937"/>
        <v>50</v>
      </c>
      <c r="G140" s="73">
        <f t="shared" si="764"/>
        <v>13</v>
      </c>
      <c r="H140" s="50">
        <f t="shared" si="938"/>
        <v>37</v>
      </c>
      <c r="I140" s="73">
        <f t="shared" si="766"/>
        <v>33</v>
      </c>
      <c r="J140" s="50">
        <f t="shared" si="939"/>
        <v>98</v>
      </c>
      <c r="K140" s="53">
        <f t="shared" si="768"/>
        <v>4</v>
      </c>
      <c r="L140" s="54">
        <f t="shared" si="940"/>
        <v>12</v>
      </c>
      <c r="M140" s="53">
        <f t="shared" si="770"/>
        <v>22</v>
      </c>
      <c r="N140" s="54">
        <f t="shared" si="941"/>
        <v>64</v>
      </c>
      <c r="O140" s="49">
        <f t="shared" ref="O140:P140" si="953">SUM(K140,M140)</f>
        <v>26</v>
      </c>
      <c r="P140" s="50">
        <f t="shared" si="953"/>
        <v>76</v>
      </c>
      <c r="Q140" s="73">
        <f t="shared" si="773"/>
        <v>3</v>
      </c>
      <c r="R140" s="50">
        <f t="shared" si="943"/>
        <v>9</v>
      </c>
      <c r="S140" s="53">
        <f t="shared" si="775"/>
        <v>28</v>
      </c>
      <c r="T140" s="54">
        <f t="shared" si="944"/>
        <v>84</v>
      </c>
      <c r="U140" s="53">
        <f t="shared" si="777"/>
        <v>73</v>
      </c>
      <c r="V140" s="54">
        <f t="shared" si="945"/>
        <v>218</v>
      </c>
      <c r="W140" s="53">
        <f t="shared" si="779"/>
        <v>75</v>
      </c>
      <c r="X140" s="54">
        <f t="shared" si="946"/>
        <v>225</v>
      </c>
      <c r="Y140" s="53">
        <f t="shared" si="781"/>
        <v>74</v>
      </c>
      <c r="Z140" s="54">
        <f t="shared" si="947"/>
        <v>221</v>
      </c>
      <c r="AA140" s="53">
        <f t="shared" si="783"/>
        <v>66</v>
      </c>
      <c r="AB140" s="54">
        <f t="shared" si="948"/>
        <v>196</v>
      </c>
      <c r="AC140" s="49">
        <f t="shared" ref="AC140:AD140" si="954">SUM(S140,U140,W140,Y140,AA140)</f>
        <v>316</v>
      </c>
      <c r="AD140" s="50">
        <f t="shared" si="954"/>
        <v>944</v>
      </c>
      <c r="AE140" s="53">
        <f t="shared" si="786"/>
        <v>31</v>
      </c>
      <c r="AF140" s="54">
        <f t="shared" si="955"/>
        <v>91</v>
      </c>
      <c r="AG140" s="53">
        <f t="shared" si="788"/>
        <v>26</v>
      </c>
      <c r="AH140" s="54">
        <f t="shared" si="956"/>
        <v>77</v>
      </c>
      <c r="AI140" s="53">
        <f t="shared" si="790"/>
        <v>91</v>
      </c>
      <c r="AJ140" s="54">
        <f t="shared" si="957"/>
        <v>271</v>
      </c>
      <c r="AK140" s="53">
        <f t="shared" si="792"/>
        <v>26</v>
      </c>
      <c r="AL140" s="54">
        <f t="shared" si="958"/>
        <v>77</v>
      </c>
      <c r="AM140" s="53">
        <f t="shared" si="794"/>
        <v>65</v>
      </c>
      <c r="AN140" s="54">
        <f t="shared" si="959"/>
        <v>195</v>
      </c>
      <c r="AO140" s="53">
        <f t="shared" si="796"/>
        <v>8</v>
      </c>
      <c r="AP140" s="54">
        <f t="shared" si="960"/>
        <v>23</v>
      </c>
      <c r="AQ140" s="49">
        <f t="shared" ref="AQ140:AR140" si="961">SUM(AG140,AI140,AK140,AM140,AO140)</f>
        <v>216</v>
      </c>
      <c r="AR140" s="50">
        <f t="shared" si="961"/>
        <v>643</v>
      </c>
      <c r="AS140" s="53">
        <f t="shared" si="799"/>
        <v>79</v>
      </c>
      <c r="AT140" s="54">
        <f t="shared" si="962"/>
        <v>236</v>
      </c>
      <c r="AU140" s="53">
        <f t="shared" si="801"/>
        <v>52</v>
      </c>
      <c r="AV140" s="54">
        <f t="shared" si="963"/>
        <v>156</v>
      </c>
      <c r="AW140" s="53">
        <f t="shared" si="803"/>
        <v>76</v>
      </c>
      <c r="AX140" s="54">
        <f t="shared" si="964"/>
        <v>226</v>
      </c>
      <c r="AY140" s="53">
        <f t="shared" si="805"/>
        <v>56</v>
      </c>
      <c r="AZ140" s="54">
        <f t="shared" si="965"/>
        <v>167</v>
      </c>
      <c r="BA140" s="53">
        <f t="shared" si="807"/>
        <v>92</v>
      </c>
      <c r="BB140" s="54">
        <f t="shared" si="966"/>
        <v>274</v>
      </c>
      <c r="BC140" s="49">
        <f t="shared" ref="BC140:BD140" si="967">SUM(AS140,AU140,AW140,AY140,BA140)</f>
        <v>355</v>
      </c>
      <c r="BD140" s="50">
        <f t="shared" si="967"/>
        <v>1059</v>
      </c>
      <c r="BE140" s="68">
        <f t="shared" ref="BE140:BF140" si="968">SUM(E140,G140,I140,O140,Q140,AC140,AQ140,BC140)</f>
        <v>979</v>
      </c>
      <c r="BF140" s="69">
        <f t="shared" si="968"/>
        <v>2916</v>
      </c>
      <c r="BG140" s="46" t="str">
        <f>BF140*'ОВгП_РАО'!$B$30</f>
        <v>#REF!</v>
      </c>
      <c r="BH140" s="46" t="str">
        <f>'ОВгП_РАО'!$B$30</f>
        <v>#REF!</v>
      </c>
    </row>
    <row r="141" ht="15.75" customHeight="1">
      <c r="A141" s="80">
        <f t="shared" si="811"/>
        <v>46264</v>
      </c>
      <c r="B141" s="47" t="s">
        <v>155</v>
      </c>
      <c r="C141" s="47" t="s">
        <v>122</v>
      </c>
      <c r="D141" s="47" t="s">
        <v>156</v>
      </c>
      <c r="E141" s="73">
        <f t="shared" si="762"/>
        <v>28</v>
      </c>
      <c r="F141" s="50">
        <f t="shared" si="937"/>
        <v>84</v>
      </c>
      <c r="G141" s="73">
        <f t="shared" si="764"/>
        <v>33</v>
      </c>
      <c r="H141" s="50">
        <f t="shared" si="938"/>
        <v>97</v>
      </c>
      <c r="I141" s="73">
        <f t="shared" si="766"/>
        <v>29</v>
      </c>
      <c r="J141" s="50">
        <f t="shared" si="939"/>
        <v>86</v>
      </c>
      <c r="K141" s="53">
        <f t="shared" si="768"/>
        <v>33</v>
      </c>
      <c r="L141" s="54">
        <f t="shared" si="940"/>
        <v>98</v>
      </c>
      <c r="M141" s="53">
        <f t="shared" si="770"/>
        <v>29</v>
      </c>
      <c r="N141" s="54">
        <f t="shared" si="941"/>
        <v>85</v>
      </c>
      <c r="O141" s="49">
        <f t="shared" ref="O141:P141" si="969">SUM(K141,M141)</f>
        <v>62</v>
      </c>
      <c r="P141" s="50">
        <f t="shared" si="969"/>
        <v>183</v>
      </c>
      <c r="Q141" s="73">
        <f t="shared" si="773"/>
        <v>12</v>
      </c>
      <c r="R141" s="50">
        <f t="shared" si="943"/>
        <v>36</v>
      </c>
      <c r="S141" s="53">
        <f t="shared" si="775"/>
        <v>70</v>
      </c>
      <c r="T141" s="54">
        <f t="shared" si="944"/>
        <v>210</v>
      </c>
      <c r="U141" s="53">
        <f t="shared" si="777"/>
        <v>73</v>
      </c>
      <c r="V141" s="54">
        <f t="shared" si="945"/>
        <v>219</v>
      </c>
      <c r="W141" s="53">
        <f t="shared" si="779"/>
        <v>54</v>
      </c>
      <c r="X141" s="54">
        <f t="shared" si="946"/>
        <v>160</v>
      </c>
      <c r="Y141" s="53">
        <f t="shared" si="781"/>
        <v>82</v>
      </c>
      <c r="Z141" s="54">
        <f t="shared" si="947"/>
        <v>245</v>
      </c>
      <c r="AA141" s="53">
        <f t="shared" si="783"/>
        <v>14</v>
      </c>
      <c r="AB141" s="54">
        <f t="shared" si="948"/>
        <v>41</v>
      </c>
      <c r="AC141" s="49">
        <f t="shared" ref="AC141:AD141" si="970">SUM(S141,U141,W141,Y141,AA141)</f>
        <v>293</v>
      </c>
      <c r="AD141" s="50">
        <f t="shared" si="970"/>
        <v>875</v>
      </c>
      <c r="AE141" s="53">
        <f t="shared" si="786"/>
        <v>69</v>
      </c>
      <c r="AF141" s="54">
        <f t="shared" si="955"/>
        <v>206</v>
      </c>
      <c r="AG141" s="53">
        <f t="shared" si="788"/>
        <v>45</v>
      </c>
      <c r="AH141" s="54">
        <f t="shared" si="956"/>
        <v>133</v>
      </c>
      <c r="AI141" s="53">
        <f t="shared" si="790"/>
        <v>41</v>
      </c>
      <c r="AJ141" s="54">
        <f t="shared" si="957"/>
        <v>123</v>
      </c>
      <c r="AK141" s="53">
        <f t="shared" si="792"/>
        <v>33</v>
      </c>
      <c r="AL141" s="54">
        <f t="shared" si="958"/>
        <v>97</v>
      </c>
      <c r="AM141" s="53">
        <f t="shared" si="794"/>
        <v>78</v>
      </c>
      <c r="AN141" s="54">
        <f t="shared" si="959"/>
        <v>233</v>
      </c>
      <c r="AO141" s="53">
        <f t="shared" si="796"/>
        <v>85</v>
      </c>
      <c r="AP141" s="54">
        <f t="shared" si="960"/>
        <v>255</v>
      </c>
      <c r="AQ141" s="49">
        <f t="shared" ref="AQ141:AR141" si="971">SUM(AG141,AI141,AK141,AM141,AO141)</f>
        <v>282</v>
      </c>
      <c r="AR141" s="50">
        <f t="shared" si="971"/>
        <v>841</v>
      </c>
      <c r="AS141" s="53">
        <f t="shared" si="799"/>
        <v>1</v>
      </c>
      <c r="AT141" s="54">
        <f t="shared" ref="AT141:AT143" si="977">RANDBETWEEN(0,100)</f>
        <v>3</v>
      </c>
      <c r="AU141" s="53">
        <f t="shared" si="801"/>
        <v>6</v>
      </c>
      <c r="AV141" s="54">
        <f t="shared" ref="AV141:AV143" si="978">RANDBETWEEN(0,100)</f>
        <v>18</v>
      </c>
      <c r="AW141" s="53">
        <f t="shared" si="803"/>
        <v>29</v>
      </c>
      <c r="AX141" s="54">
        <f t="shared" ref="AX141:AX143" si="979">RANDBETWEEN(0,100)</f>
        <v>85</v>
      </c>
      <c r="AY141" s="53">
        <f t="shared" si="805"/>
        <v>16</v>
      </c>
      <c r="AZ141" s="54">
        <f t="shared" ref="AZ141:AZ143" si="980">RANDBETWEEN(0,100)</f>
        <v>47</v>
      </c>
      <c r="BA141" s="53">
        <f t="shared" si="807"/>
        <v>4</v>
      </c>
      <c r="BB141" s="54">
        <f t="shared" ref="BB141:BB143" si="981">RANDBETWEEN(0,100)</f>
        <v>10</v>
      </c>
      <c r="BC141" s="49">
        <f t="shared" ref="BC141:BD141" si="972">SUM(AS141,AU141,AW141,AY141,BA141)</f>
        <v>56</v>
      </c>
      <c r="BD141" s="50">
        <f t="shared" si="972"/>
        <v>163</v>
      </c>
      <c r="BE141" s="68">
        <f t="shared" ref="BE141:BF141" si="973">SUM(E141,G141,I141,O141,Q141,AC141,AQ141,BC141)</f>
        <v>795</v>
      </c>
      <c r="BF141" s="69">
        <f t="shared" si="973"/>
        <v>2365</v>
      </c>
      <c r="BG141" s="46" t="str">
        <f>BF141*'ОВгП_РАО'!$B$31</f>
        <v>#REF!</v>
      </c>
      <c r="BH141" s="46" t="str">
        <f>'ОВгП_РАО'!$B$31</f>
        <v>#REF!</v>
      </c>
    </row>
    <row r="142" ht="15.75" customHeight="1">
      <c r="A142" s="80">
        <f t="shared" si="811"/>
        <v>46264</v>
      </c>
      <c r="B142" s="47" t="s">
        <v>158</v>
      </c>
      <c r="C142" s="47" t="s">
        <v>122</v>
      </c>
      <c r="D142" s="47" t="s">
        <v>156</v>
      </c>
      <c r="E142" s="73">
        <f t="shared" si="762"/>
        <v>28</v>
      </c>
      <c r="F142" s="50">
        <f t="shared" si="937"/>
        <v>83</v>
      </c>
      <c r="G142" s="73">
        <f t="shared" si="764"/>
        <v>12</v>
      </c>
      <c r="H142" s="50">
        <f t="shared" si="938"/>
        <v>36</v>
      </c>
      <c r="I142" s="73">
        <f t="shared" si="766"/>
        <v>24</v>
      </c>
      <c r="J142" s="50">
        <f t="shared" si="939"/>
        <v>70</v>
      </c>
      <c r="K142" s="53">
        <f t="shared" si="768"/>
        <v>11</v>
      </c>
      <c r="L142" s="54">
        <f t="shared" si="940"/>
        <v>31</v>
      </c>
      <c r="M142" s="53">
        <f t="shared" si="770"/>
        <v>1</v>
      </c>
      <c r="N142" s="54">
        <f t="shared" si="941"/>
        <v>2</v>
      </c>
      <c r="O142" s="49">
        <f t="shared" ref="O142:P142" si="974">SUM(K142,M142)</f>
        <v>12</v>
      </c>
      <c r="P142" s="50">
        <f t="shared" si="974"/>
        <v>33</v>
      </c>
      <c r="Q142" s="73">
        <f t="shared" si="773"/>
        <v>33</v>
      </c>
      <c r="R142" s="50">
        <f t="shared" si="943"/>
        <v>98</v>
      </c>
      <c r="S142" s="53">
        <f t="shared" si="775"/>
        <v>96</v>
      </c>
      <c r="T142" s="54">
        <f t="shared" si="944"/>
        <v>288</v>
      </c>
      <c r="U142" s="53">
        <f t="shared" si="777"/>
        <v>65</v>
      </c>
      <c r="V142" s="54">
        <f t="shared" si="945"/>
        <v>194</v>
      </c>
      <c r="W142" s="53">
        <f t="shared" si="779"/>
        <v>56</v>
      </c>
      <c r="X142" s="54">
        <f t="shared" si="946"/>
        <v>168</v>
      </c>
      <c r="Y142" s="53">
        <f t="shared" si="781"/>
        <v>24</v>
      </c>
      <c r="Z142" s="54">
        <f t="shared" si="947"/>
        <v>72</v>
      </c>
      <c r="AA142" s="53">
        <f t="shared" si="783"/>
        <v>50</v>
      </c>
      <c r="AB142" s="54">
        <f t="shared" si="948"/>
        <v>149</v>
      </c>
      <c r="AC142" s="49">
        <f t="shared" ref="AC142:AD142" si="975">SUM(S142,U142,W142,Y142,AA142)</f>
        <v>291</v>
      </c>
      <c r="AD142" s="50">
        <f t="shared" si="975"/>
        <v>871</v>
      </c>
      <c r="AE142" s="53">
        <f t="shared" si="786"/>
        <v>24</v>
      </c>
      <c r="AF142" s="54">
        <f t="shared" si="955"/>
        <v>71</v>
      </c>
      <c r="AG142" s="53">
        <f t="shared" si="788"/>
        <v>73</v>
      </c>
      <c r="AH142" s="54">
        <f t="shared" si="956"/>
        <v>217</v>
      </c>
      <c r="AI142" s="53">
        <f t="shared" si="790"/>
        <v>65</v>
      </c>
      <c r="AJ142" s="54">
        <f t="shared" si="957"/>
        <v>195</v>
      </c>
      <c r="AK142" s="53">
        <f t="shared" si="792"/>
        <v>73</v>
      </c>
      <c r="AL142" s="54">
        <f t="shared" si="958"/>
        <v>219</v>
      </c>
      <c r="AM142" s="53">
        <f t="shared" si="794"/>
        <v>13</v>
      </c>
      <c r="AN142" s="54">
        <f t="shared" si="959"/>
        <v>37</v>
      </c>
      <c r="AO142" s="53">
        <f t="shared" si="796"/>
        <v>78</v>
      </c>
      <c r="AP142" s="54">
        <f t="shared" si="960"/>
        <v>233</v>
      </c>
      <c r="AQ142" s="49">
        <f t="shared" ref="AQ142:AR142" si="976">SUM(AG142,AI142,AK142,AM142,AO142)</f>
        <v>302</v>
      </c>
      <c r="AR142" s="50">
        <f t="shared" si="976"/>
        <v>901</v>
      </c>
      <c r="AS142" s="53">
        <f t="shared" si="799"/>
        <v>19</v>
      </c>
      <c r="AT142" s="54">
        <f t="shared" si="977"/>
        <v>55</v>
      </c>
      <c r="AU142" s="53">
        <f t="shared" si="801"/>
        <v>17</v>
      </c>
      <c r="AV142" s="54">
        <f t="shared" si="978"/>
        <v>51</v>
      </c>
      <c r="AW142" s="53">
        <f t="shared" si="803"/>
        <v>9</v>
      </c>
      <c r="AX142" s="54">
        <f t="shared" si="979"/>
        <v>27</v>
      </c>
      <c r="AY142" s="53">
        <f t="shared" si="805"/>
        <v>24</v>
      </c>
      <c r="AZ142" s="54">
        <f t="shared" si="980"/>
        <v>70</v>
      </c>
      <c r="BA142" s="53">
        <f t="shared" si="807"/>
        <v>9</v>
      </c>
      <c r="BB142" s="54">
        <f t="shared" si="981"/>
        <v>27</v>
      </c>
      <c r="BC142" s="49">
        <f t="shared" ref="BC142:BD142" si="982">SUM(AS142,AU142,AW142,AY142,BA142)</f>
        <v>78</v>
      </c>
      <c r="BD142" s="50">
        <f t="shared" si="982"/>
        <v>230</v>
      </c>
      <c r="BE142" s="68">
        <f t="shared" ref="BE142:BF142" si="983">SUM(E142,G142,I142,O142,Q142,AC142,AQ142,BC142)</f>
        <v>780</v>
      </c>
      <c r="BF142" s="69">
        <f t="shared" si="983"/>
        <v>2322</v>
      </c>
      <c r="BG142" s="46" t="str">
        <f>BF142*'ОВгП_РАО'!$B$32</f>
        <v>#REF!</v>
      </c>
      <c r="BH142" s="46" t="str">
        <f>'ОВгП_РАО'!$B$32</f>
        <v>#REF!</v>
      </c>
    </row>
    <row r="143" ht="15.75" customHeight="1">
      <c r="A143" s="80">
        <f t="shared" si="811"/>
        <v>46264</v>
      </c>
      <c r="B143" s="47" t="s">
        <v>159</v>
      </c>
      <c r="C143" s="47" t="s">
        <v>122</v>
      </c>
      <c r="D143" s="47" t="s">
        <v>156</v>
      </c>
      <c r="E143" s="73">
        <f t="shared" si="762"/>
        <v>22</v>
      </c>
      <c r="F143" s="50">
        <f t="shared" si="937"/>
        <v>64</v>
      </c>
      <c r="G143" s="73">
        <f t="shared" si="764"/>
        <v>14</v>
      </c>
      <c r="H143" s="50">
        <f t="shared" si="938"/>
        <v>41</v>
      </c>
      <c r="I143" s="73">
        <f t="shared" si="766"/>
        <v>26</v>
      </c>
      <c r="J143" s="50">
        <f t="shared" si="939"/>
        <v>76</v>
      </c>
      <c r="K143" s="53">
        <f t="shared" si="768"/>
        <v>12</v>
      </c>
      <c r="L143" s="54">
        <f t="shared" si="940"/>
        <v>36</v>
      </c>
      <c r="M143" s="53">
        <f t="shared" si="770"/>
        <v>30</v>
      </c>
      <c r="N143" s="54">
        <f t="shared" si="941"/>
        <v>90</v>
      </c>
      <c r="O143" s="49">
        <f t="shared" ref="O143:P143" si="984">SUM(K143,M143)</f>
        <v>42</v>
      </c>
      <c r="P143" s="50">
        <f t="shared" si="984"/>
        <v>126</v>
      </c>
      <c r="Q143" s="73">
        <f t="shared" si="773"/>
        <v>24</v>
      </c>
      <c r="R143" s="50">
        <f t="shared" si="943"/>
        <v>71</v>
      </c>
      <c r="S143" s="53">
        <f t="shared" si="775"/>
        <v>44</v>
      </c>
      <c r="T143" s="54">
        <f t="shared" si="944"/>
        <v>132</v>
      </c>
      <c r="U143" s="53">
        <f t="shared" si="777"/>
        <v>37</v>
      </c>
      <c r="V143" s="54">
        <f t="shared" si="945"/>
        <v>109</v>
      </c>
      <c r="W143" s="53">
        <f t="shared" si="779"/>
        <v>6</v>
      </c>
      <c r="X143" s="54">
        <f t="shared" si="946"/>
        <v>17</v>
      </c>
      <c r="Y143" s="53">
        <f t="shared" si="781"/>
        <v>59</v>
      </c>
      <c r="Z143" s="54">
        <f t="shared" si="947"/>
        <v>175</v>
      </c>
      <c r="AA143" s="53">
        <f t="shared" si="783"/>
        <v>28</v>
      </c>
      <c r="AB143" s="54">
        <f t="shared" si="948"/>
        <v>84</v>
      </c>
      <c r="AC143" s="49">
        <f t="shared" ref="AC143:AD143" si="985">SUM(S143,U143,W143,Y143,AA143)</f>
        <v>174</v>
      </c>
      <c r="AD143" s="50">
        <f t="shared" si="985"/>
        <v>517</v>
      </c>
      <c r="AE143" s="53">
        <f t="shared" si="786"/>
        <v>30</v>
      </c>
      <c r="AF143" s="54">
        <f t="shared" si="955"/>
        <v>88</v>
      </c>
      <c r="AG143" s="53">
        <f t="shared" si="788"/>
        <v>64</v>
      </c>
      <c r="AH143" s="54">
        <f t="shared" si="956"/>
        <v>192</v>
      </c>
      <c r="AI143" s="53">
        <f t="shared" si="790"/>
        <v>24</v>
      </c>
      <c r="AJ143" s="54">
        <f t="shared" si="957"/>
        <v>72</v>
      </c>
      <c r="AK143" s="53">
        <f t="shared" si="792"/>
        <v>28</v>
      </c>
      <c r="AL143" s="54">
        <f t="shared" si="958"/>
        <v>82</v>
      </c>
      <c r="AM143" s="53">
        <f t="shared" si="794"/>
        <v>89</v>
      </c>
      <c r="AN143" s="54">
        <f t="shared" si="959"/>
        <v>267</v>
      </c>
      <c r="AO143" s="53">
        <f t="shared" si="796"/>
        <v>42</v>
      </c>
      <c r="AP143" s="54">
        <f t="shared" si="960"/>
        <v>125</v>
      </c>
      <c r="AQ143" s="49">
        <f t="shared" ref="AQ143:AR143" si="986">SUM(AG143,AI143,AK143,AM143,AO143)</f>
        <v>247</v>
      </c>
      <c r="AR143" s="50">
        <f t="shared" si="986"/>
        <v>738</v>
      </c>
      <c r="AS143" s="53">
        <f t="shared" si="799"/>
        <v>0</v>
      </c>
      <c r="AT143" s="54">
        <f t="shared" si="977"/>
        <v>0</v>
      </c>
      <c r="AU143" s="53">
        <f t="shared" si="801"/>
        <v>21</v>
      </c>
      <c r="AV143" s="54">
        <f t="shared" si="978"/>
        <v>63</v>
      </c>
      <c r="AW143" s="53">
        <f t="shared" si="803"/>
        <v>4</v>
      </c>
      <c r="AX143" s="54">
        <f t="shared" si="979"/>
        <v>12</v>
      </c>
      <c r="AY143" s="53">
        <f t="shared" si="805"/>
        <v>33</v>
      </c>
      <c r="AZ143" s="54">
        <f t="shared" si="980"/>
        <v>97</v>
      </c>
      <c r="BA143" s="53">
        <f t="shared" si="807"/>
        <v>21</v>
      </c>
      <c r="BB143" s="54">
        <f t="shared" si="981"/>
        <v>63</v>
      </c>
      <c r="BC143" s="49">
        <f t="shared" ref="BC143:BD143" si="987">SUM(AS143,AU143,AW143,AY143,BA143)</f>
        <v>79</v>
      </c>
      <c r="BD143" s="50">
        <f t="shared" si="987"/>
        <v>235</v>
      </c>
      <c r="BE143" s="68">
        <f t="shared" ref="BE143:BF143" si="988">SUM(E143,G143,I143,O143,Q143,AC143,AQ143,BC143)</f>
        <v>628</v>
      </c>
      <c r="BF143" s="69">
        <f t="shared" si="988"/>
        <v>1868</v>
      </c>
      <c r="BG143" s="46" t="str">
        <f>BF143*'ОВгП_РАО'!$B$33</f>
        <v>#REF!</v>
      </c>
      <c r="BH143" s="46" t="str">
        <f>'ОВгП_РАО'!$B$33</f>
        <v>#REF!</v>
      </c>
    </row>
    <row r="144" ht="15.75" customHeight="1">
      <c r="A144" s="80">
        <f t="shared" si="811"/>
        <v>46264</v>
      </c>
      <c r="B144" s="47" t="s">
        <v>160</v>
      </c>
      <c r="C144" s="47" t="s">
        <v>161</v>
      </c>
      <c r="D144" s="47" t="s">
        <v>98</v>
      </c>
      <c r="E144" s="73">
        <f t="shared" si="762"/>
        <v>13</v>
      </c>
      <c r="F144" s="50">
        <f t="shared" si="937"/>
        <v>37</v>
      </c>
      <c r="G144" s="73">
        <f t="shared" si="764"/>
        <v>7</v>
      </c>
      <c r="H144" s="50">
        <f t="shared" si="938"/>
        <v>20</v>
      </c>
      <c r="I144" s="73">
        <f t="shared" si="766"/>
        <v>18</v>
      </c>
      <c r="J144" s="50">
        <f t="shared" si="939"/>
        <v>53</v>
      </c>
      <c r="K144" s="53">
        <f t="shared" si="768"/>
        <v>25</v>
      </c>
      <c r="L144" s="54">
        <f t="shared" si="940"/>
        <v>73</v>
      </c>
      <c r="M144" s="53">
        <f t="shared" si="770"/>
        <v>22</v>
      </c>
      <c r="N144" s="54">
        <f t="shared" si="941"/>
        <v>66</v>
      </c>
      <c r="O144" s="49">
        <f t="shared" ref="O144:P144" si="989">SUM(K144,M144)</f>
        <v>47</v>
      </c>
      <c r="P144" s="50">
        <f t="shared" si="989"/>
        <v>139</v>
      </c>
      <c r="Q144" s="73">
        <f t="shared" si="773"/>
        <v>2</v>
      </c>
      <c r="R144" s="50">
        <f t="shared" si="943"/>
        <v>5</v>
      </c>
      <c r="S144" s="53">
        <f t="shared" si="775"/>
        <v>4</v>
      </c>
      <c r="T144" s="54">
        <f t="shared" si="944"/>
        <v>10</v>
      </c>
      <c r="U144" s="53">
        <f t="shared" si="777"/>
        <v>4</v>
      </c>
      <c r="V144" s="54">
        <f t="shared" si="945"/>
        <v>12</v>
      </c>
      <c r="W144" s="53">
        <f t="shared" si="779"/>
        <v>17</v>
      </c>
      <c r="X144" s="54">
        <f t="shared" si="946"/>
        <v>50</v>
      </c>
      <c r="Y144" s="53">
        <f t="shared" si="781"/>
        <v>88</v>
      </c>
      <c r="Z144" s="54">
        <f t="shared" si="947"/>
        <v>262</v>
      </c>
      <c r="AA144" s="53">
        <f t="shared" si="783"/>
        <v>20</v>
      </c>
      <c r="AB144" s="54">
        <f t="shared" si="948"/>
        <v>60</v>
      </c>
      <c r="AC144" s="49">
        <f t="shared" ref="AC144:AD144" si="990">SUM(S144,U144,W144,Y144,AA144)</f>
        <v>133</v>
      </c>
      <c r="AD144" s="50">
        <f t="shared" si="990"/>
        <v>394</v>
      </c>
      <c r="AE144" s="53">
        <f t="shared" si="786"/>
        <v>33</v>
      </c>
      <c r="AF144" s="54">
        <f t="shared" si="955"/>
        <v>97</v>
      </c>
      <c r="AG144" s="53">
        <f t="shared" si="788"/>
        <v>21</v>
      </c>
      <c r="AH144" s="54">
        <f t="shared" si="956"/>
        <v>63</v>
      </c>
      <c r="AI144" s="53">
        <f t="shared" si="790"/>
        <v>100</v>
      </c>
      <c r="AJ144" s="54">
        <f t="shared" si="957"/>
        <v>299</v>
      </c>
      <c r="AK144" s="53">
        <f t="shared" si="792"/>
        <v>28</v>
      </c>
      <c r="AL144" s="54">
        <f t="shared" si="958"/>
        <v>84</v>
      </c>
      <c r="AM144" s="53">
        <f t="shared" si="794"/>
        <v>100</v>
      </c>
      <c r="AN144" s="54">
        <f t="shared" si="959"/>
        <v>298</v>
      </c>
      <c r="AO144" s="53">
        <f t="shared" si="796"/>
        <v>16</v>
      </c>
      <c r="AP144" s="54">
        <f t="shared" si="960"/>
        <v>46</v>
      </c>
      <c r="AQ144" s="49">
        <f t="shared" ref="AQ144:AR144" si="991">SUM(AG144,AI144,AK144,AM144,AO144)</f>
        <v>265</v>
      </c>
      <c r="AR144" s="50">
        <f t="shared" si="991"/>
        <v>790</v>
      </c>
      <c r="AS144" s="53">
        <f t="shared" si="799"/>
        <v>88</v>
      </c>
      <c r="AT144" s="54">
        <f t="shared" ref="AT144:AT146" si="997">RANDBETWEEN(0,300)</f>
        <v>262</v>
      </c>
      <c r="AU144" s="53">
        <f t="shared" si="801"/>
        <v>94</v>
      </c>
      <c r="AV144" s="54">
        <f t="shared" ref="AV144:AV146" si="998">RANDBETWEEN(0,300)</f>
        <v>281</v>
      </c>
      <c r="AW144" s="53">
        <f t="shared" si="803"/>
        <v>17</v>
      </c>
      <c r="AX144" s="54">
        <f t="shared" ref="AX144:AX146" si="999">RANDBETWEEN(0,300)</f>
        <v>49</v>
      </c>
      <c r="AY144" s="53">
        <f t="shared" si="805"/>
        <v>91</v>
      </c>
      <c r="AZ144" s="54">
        <f t="shared" ref="AZ144:AZ146" si="1000">RANDBETWEEN(0,300)</f>
        <v>273</v>
      </c>
      <c r="BA144" s="53">
        <f t="shared" si="807"/>
        <v>26</v>
      </c>
      <c r="BB144" s="54">
        <f t="shared" ref="BB144:BB146" si="1001">RANDBETWEEN(0,300)</f>
        <v>78</v>
      </c>
      <c r="BC144" s="49">
        <f t="shared" ref="BC144:BD144" si="992">SUM(AS144,AU144,AW144,AY144,BA144)</f>
        <v>316</v>
      </c>
      <c r="BD144" s="50">
        <f t="shared" si="992"/>
        <v>943</v>
      </c>
      <c r="BE144" s="68">
        <f t="shared" ref="BE144:BF144" si="993">SUM(E144,G144,I144,O144,Q144,AC144,AQ144,BC144)</f>
        <v>801</v>
      </c>
      <c r="BF144" s="69">
        <f t="shared" si="993"/>
        <v>2381</v>
      </c>
      <c r="BG144" s="46" t="str">
        <f>BF144*'ОВгП_РАО'!$B$34</f>
        <v>#REF!</v>
      </c>
      <c r="BH144" s="46" t="str">
        <f>'ОВгП_РАО'!$B$34</f>
        <v>#REF!</v>
      </c>
    </row>
    <row r="145" ht="15.75" customHeight="1">
      <c r="A145" s="80">
        <f t="shared" si="811"/>
        <v>46264</v>
      </c>
      <c r="B145" s="47" t="s">
        <v>163</v>
      </c>
      <c r="C145" s="47" t="s">
        <v>161</v>
      </c>
      <c r="D145" s="47" t="s">
        <v>145</v>
      </c>
      <c r="E145" s="73">
        <f t="shared" si="762"/>
        <v>15</v>
      </c>
      <c r="F145" s="50">
        <f t="shared" si="937"/>
        <v>43</v>
      </c>
      <c r="G145" s="73">
        <f t="shared" si="764"/>
        <v>31</v>
      </c>
      <c r="H145" s="50">
        <f t="shared" si="938"/>
        <v>93</v>
      </c>
      <c r="I145" s="73">
        <f t="shared" si="766"/>
        <v>13</v>
      </c>
      <c r="J145" s="50">
        <f t="shared" si="939"/>
        <v>39</v>
      </c>
      <c r="K145" s="53">
        <f t="shared" si="768"/>
        <v>30</v>
      </c>
      <c r="L145" s="54">
        <f t="shared" si="940"/>
        <v>90</v>
      </c>
      <c r="M145" s="53">
        <f t="shared" si="770"/>
        <v>13</v>
      </c>
      <c r="N145" s="54">
        <f t="shared" si="941"/>
        <v>38</v>
      </c>
      <c r="O145" s="49">
        <f t="shared" ref="O145:P145" si="994">SUM(K145,M145)</f>
        <v>43</v>
      </c>
      <c r="P145" s="50">
        <f t="shared" si="994"/>
        <v>128</v>
      </c>
      <c r="Q145" s="73">
        <f t="shared" si="773"/>
        <v>5</v>
      </c>
      <c r="R145" s="50">
        <f t="shared" si="943"/>
        <v>15</v>
      </c>
      <c r="S145" s="53">
        <f t="shared" si="775"/>
        <v>53</v>
      </c>
      <c r="T145" s="54">
        <f t="shared" si="944"/>
        <v>159</v>
      </c>
      <c r="U145" s="53">
        <f t="shared" si="777"/>
        <v>11</v>
      </c>
      <c r="V145" s="54">
        <f t="shared" si="945"/>
        <v>33</v>
      </c>
      <c r="W145" s="53">
        <f t="shared" si="779"/>
        <v>30</v>
      </c>
      <c r="X145" s="54">
        <f t="shared" si="946"/>
        <v>88</v>
      </c>
      <c r="Y145" s="53">
        <f t="shared" si="781"/>
        <v>85</v>
      </c>
      <c r="Z145" s="54">
        <f t="shared" si="947"/>
        <v>255</v>
      </c>
      <c r="AA145" s="53">
        <f t="shared" si="783"/>
        <v>24</v>
      </c>
      <c r="AB145" s="54">
        <f t="shared" si="948"/>
        <v>72</v>
      </c>
      <c r="AC145" s="49">
        <f t="shared" ref="AC145:AD145" si="995">SUM(S145,U145,W145,Y145,AA145)</f>
        <v>203</v>
      </c>
      <c r="AD145" s="50">
        <f t="shared" si="995"/>
        <v>607</v>
      </c>
      <c r="AE145" s="53">
        <f t="shared" si="786"/>
        <v>12</v>
      </c>
      <c r="AF145" s="54">
        <f t="shared" si="955"/>
        <v>36</v>
      </c>
      <c r="AG145" s="53">
        <f t="shared" si="788"/>
        <v>34</v>
      </c>
      <c r="AH145" s="54">
        <f t="shared" si="956"/>
        <v>102</v>
      </c>
      <c r="AI145" s="53">
        <f t="shared" si="790"/>
        <v>64</v>
      </c>
      <c r="AJ145" s="54">
        <f t="shared" si="957"/>
        <v>192</v>
      </c>
      <c r="AK145" s="53">
        <f t="shared" si="792"/>
        <v>26</v>
      </c>
      <c r="AL145" s="54">
        <f t="shared" si="958"/>
        <v>76</v>
      </c>
      <c r="AM145" s="53">
        <f t="shared" si="794"/>
        <v>83</v>
      </c>
      <c r="AN145" s="54">
        <f t="shared" si="959"/>
        <v>249</v>
      </c>
      <c r="AO145" s="53">
        <f t="shared" si="796"/>
        <v>29</v>
      </c>
      <c r="AP145" s="54">
        <f t="shared" si="960"/>
        <v>87</v>
      </c>
      <c r="AQ145" s="49">
        <f t="shared" ref="AQ145:AR145" si="996">SUM(AG145,AI145,AK145,AM145,AO145)</f>
        <v>236</v>
      </c>
      <c r="AR145" s="50">
        <f t="shared" si="996"/>
        <v>706</v>
      </c>
      <c r="AS145" s="53">
        <f t="shared" si="799"/>
        <v>96</v>
      </c>
      <c r="AT145" s="54">
        <f t="shared" si="997"/>
        <v>287</v>
      </c>
      <c r="AU145" s="53">
        <f t="shared" si="801"/>
        <v>18</v>
      </c>
      <c r="AV145" s="54">
        <f t="shared" si="998"/>
        <v>52</v>
      </c>
      <c r="AW145" s="53">
        <f t="shared" si="803"/>
        <v>61</v>
      </c>
      <c r="AX145" s="54">
        <f t="shared" si="999"/>
        <v>183</v>
      </c>
      <c r="AY145" s="53">
        <f t="shared" si="805"/>
        <v>6</v>
      </c>
      <c r="AZ145" s="54">
        <f t="shared" si="1000"/>
        <v>17</v>
      </c>
      <c r="BA145" s="53">
        <f t="shared" si="807"/>
        <v>52</v>
      </c>
      <c r="BB145" s="54">
        <f t="shared" si="1001"/>
        <v>154</v>
      </c>
      <c r="BC145" s="49">
        <f t="shared" ref="BC145:BD145" si="1002">SUM(AS145,AU145,AW145,AY145,BA145)</f>
        <v>233</v>
      </c>
      <c r="BD145" s="50">
        <f t="shared" si="1002"/>
        <v>693</v>
      </c>
      <c r="BE145" s="68">
        <f t="shared" ref="BE145:BF145" si="1003">SUM(E145,G145,I145,O145,Q145,AC145,AQ145,BC145)</f>
        <v>779</v>
      </c>
      <c r="BF145" s="69">
        <f t="shared" si="1003"/>
        <v>2324</v>
      </c>
      <c r="BG145" s="46" t="str">
        <f>BF145*'ОВгП_РАО'!$B$35</f>
        <v>#REF!</v>
      </c>
      <c r="BH145" s="46" t="str">
        <f>'ОВгП_РАО'!$B$35</f>
        <v>#REF!</v>
      </c>
    </row>
    <row r="146" ht="15.75" customHeight="1">
      <c r="A146" s="80">
        <f t="shared" si="811"/>
        <v>46264</v>
      </c>
      <c r="B146" s="47" t="s">
        <v>164</v>
      </c>
      <c r="C146" s="47" t="s">
        <v>161</v>
      </c>
      <c r="D146" s="47" t="s">
        <v>148</v>
      </c>
      <c r="E146" s="73">
        <f t="shared" si="762"/>
        <v>25</v>
      </c>
      <c r="F146" s="50">
        <f t="shared" si="937"/>
        <v>74</v>
      </c>
      <c r="G146" s="73">
        <f t="shared" si="764"/>
        <v>6</v>
      </c>
      <c r="H146" s="50">
        <f t="shared" si="938"/>
        <v>18</v>
      </c>
      <c r="I146" s="73">
        <f t="shared" si="766"/>
        <v>12</v>
      </c>
      <c r="J146" s="50">
        <f t="shared" si="939"/>
        <v>36</v>
      </c>
      <c r="K146" s="53">
        <f t="shared" si="768"/>
        <v>3</v>
      </c>
      <c r="L146" s="54">
        <f t="shared" si="940"/>
        <v>9</v>
      </c>
      <c r="M146" s="53">
        <f t="shared" si="770"/>
        <v>12</v>
      </c>
      <c r="N146" s="54">
        <f t="shared" si="941"/>
        <v>35</v>
      </c>
      <c r="O146" s="49">
        <f t="shared" ref="O146:P146" si="1004">SUM(K146,M146)</f>
        <v>15</v>
      </c>
      <c r="P146" s="50">
        <f t="shared" si="1004"/>
        <v>44</v>
      </c>
      <c r="Q146" s="73">
        <f t="shared" si="773"/>
        <v>5</v>
      </c>
      <c r="R146" s="50">
        <f t="shared" si="943"/>
        <v>14</v>
      </c>
      <c r="S146" s="53">
        <f t="shared" si="775"/>
        <v>76</v>
      </c>
      <c r="T146" s="54">
        <f t="shared" si="944"/>
        <v>226</v>
      </c>
      <c r="U146" s="53">
        <f t="shared" si="777"/>
        <v>55</v>
      </c>
      <c r="V146" s="54">
        <f t="shared" si="945"/>
        <v>163</v>
      </c>
      <c r="W146" s="53">
        <f t="shared" si="779"/>
        <v>22</v>
      </c>
      <c r="X146" s="54">
        <f t="shared" si="946"/>
        <v>66</v>
      </c>
      <c r="Y146" s="53">
        <f t="shared" si="781"/>
        <v>37</v>
      </c>
      <c r="Z146" s="54">
        <f t="shared" si="947"/>
        <v>109</v>
      </c>
      <c r="AA146" s="53">
        <f t="shared" si="783"/>
        <v>86</v>
      </c>
      <c r="AB146" s="54">
        <f t="shared" si="948"/>
        <v>257</v>
      </c>
      <c r="AC146" s="49">
        <f t="shared" ref="AC146:AD146" si="1005">SUM(S146,U146,W146,Y146,AA146)</f>
        <v>276</v>
      </c>
      <c r="AD146" s="50">
        <f t="shared" si="1005"/>
        <v>821</v>
      </c>
      <c r="AE146" s="53">
        <f t="shared" si="786"/>
        <v>74</v>
      </c>
      <c r="AF146" s="54">
        <f t="shared" si="955"/>
        <v>222</v>
      </c>
      <c r="AG146" s="53">
        <f t="shared" si="788"/>
        <v>87</v>
      </c>
      <c r="AH146" s="54">
        <f t="shared" si="956"/>
        <v>259</v>
      </c>
      <c r="AI146" s="53">
        <f t="shared" si="790"/>
        <v>49</v>
      </c>
      <c r="AJ146" s="54">
        <f t="shared" si="957"/>
        <v>146</v>
      </c>
      <c r="AK146" s="53">
        <f t="shared" si="792"/>
        <v>14</v>
      </c>
      <c r="AL146" s="54">
        <f t="shared" si="958"/>
        <v>42</v>
      </c>
      <c r="AM146" s="53">
        <f t="shared" si="794"/>
        <v>62</v>
      </c>
      <c r="AN146" s="54">
        <f t="shared" si="959"/>
        <v>185</v>
      </c>
      <c r="AO146" s="53">
        <f t="shared" si="796"/>
        <v>23</v>
      </c>
      <c r="AP146" s="54">
        <f t="shared" si="960"/>
        <v>69</v>
      </c>
      <c r="AQ146" s="49">
        <f t="shared" ref="AQ146:AR146" si="1006">SUM(AG146,AI146,AK146,AM146,AO146)</f>
        <v>235</v>
      </c>
      <c r="AR146" s="50">
        <f t="shared" si="1006"/>
        <v>701</v>
      </c>
      <c r="AS146" s="53">
        <f t="shared" si="799"/>
        <v>58</v>
      </c>
      <c r="AT146" s="54">
        <f t="shared" si="997"/>
        <v>172</v>
      </c>
      <c r="AU146" s="53">
        <f t="shared" si="801"/>
        <v>83</v>
      </c>
      <c r="AV146" s="54">
        <f t="shared" si="998"/>
        <v>249</v>
      </c>
      <c r="AW146" s="53">
        <f t="shared" si="803"/>
        <v>9</v>
      </c>
      <c r="AX146" s="54">
        <f t="shared" si="999"/>
        <v>27</v>
      </c>
      <c r="AY146" s="53">
        <f t="shared" si="805"/>
        <v>30</v>
      </c>
      <c r="AZ146" s="54">
        <f t="shared" si="1000"/>
        <v>90</v>
      </c>
      <c r="BA146" s="53">
        <f t="shared" si="807"/>
        <v>40</v>
      </c>
      <c r="BB146" s="54">
        <f t="shared" si="1001"/>
        <v>118</v>
      </c>
      <c r="BC146" s="49">
        <f t="shared" ref="BC146:BD146" si="1007">SUM(AS146,AU146,AW146,AY146,BA146)</f>
        <v>220</v>
      </c>
      <c r="BD146" s="50">
        <f t="shared" si="1007"/>
        <v>656</v>
      </c>
      <c r="BE146" s="68">
        <f t="shared" ref="BE146:BF146" si="1008">SUM(E146,G146,I146,O146,Q146,AC146,AQ146,BC146)</f>
        <v>794</v>
      </c>
      <c r="BF146" s="69">
        <f t="shared" si="1008"/>
        <v>2364</v>
      </c>
      <c r="BG146" s="46" t="str">
        <f>BF146*'ОВгП_РАО'!$B$36</f>
        <v>#REF!</v>
      </c>
      <c r="BH146" s="46" t="str">
        <f>'ОВгП_РАО'!B144</f>
        <v>#REF!</v>
      </c>
    </row>
    <row r="147" ht="15.75" customHeight="1">
      <c r="A147" s="161"/>
      <c r="B147" s="162"/>
      <c r="C147" s="162"/>
      <c r="D147" s="162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2"/>
    </row>
    <row r="148" ht="15.75" customHeight="1">
      <c r="A148" s="44">
        <f>A146+1</f>
        <v>46265</v>
      </c>
      <c r="B148" s="163" t="s">
        <v>95</v>
      </c>
      <c r="C148" s="46" t="s">
        <v>96</v>
      </c>
      <c r="D148" s="47" t="s">
        <v>98</v>
      </c>
      <c r="E148" s="49">
        <f t="shared" ref="E148:E182" si="1014">ROUNDUP(F148/3,0)</f>
        <v>2</v>
      </c>
      <c r="F148" s="50">
        <f t="shared" ref="F148:F173" si="1015">RANDBETWEEN(0,4)</f>
        <v>4</v>
      </c>
      <c r="G148" s="49">
        <f t="shared" ref="G148:G182" si="1016">ROUNDUP(H148/3,0)</f>
        <v>1</v>
      </c>
      <c r="H148" s="50">
        <f t="shared" ref="H148:H173" si="1017">RANDBETWEEN(0,4)</f>
        <v>1</v>
      </c>
      <c r="I148" s="49">
        <f t="shared" ref="I148:I182" si="1018">ROUNDUP(J148/3,0)</f>
        <v>2</v>
      </c>
      <c r="J148" s="50">
        <f t="shared" ref="J148:J173" si="1019">RANDBETWEEN(0,4)</f>
        <v>4</v>
      </c>
      <c r="K148" s="53">
        <f t="shared" ref="K148:K182" si="1020">ROUNDUP(L148/3,0)</f>
        <v>1</v>
      </c>
      <c r="L148" s="54">
        <f t="shared" ref="L148:L173" si="1021">RANDBETWEEN(0,4)</f>
        <v>2</v>
      </c>
      <c r="M148" s="53">
        <f t="shared" ref="M148:M182" si="1022">ROUNDUP(N148/3,0)</f>
        <v>0</v>
      </c>
      <c r="N148" s="54">
        <f t="shared" ref="N148:N173" si="1023">RANDBETWEEN(0,4)</f>
        <v>0</v>
      </c>
      <c r="O148" s="49">
        <f t="shared" ref="O148:P148" si="1009">SUM(K148,M148)</f>
        <v>1</v>
      </c>
      <c r="P148" s="50">
        <f t="shared" si="1009"/>
        <v>2</v>
      </c>
      <c r="Q148" s="49">
        <f t="shared" ref="Q148:Q182" si="1025">ROUNDUP(R148/3,0)</f>
        <v>2</v>
      </c>
      <c r="R148" s="50">
        <f t="shared" ref="R148:R173" si="1026">RANDBETWEEN(0,4)</f>
        <v>4</v>
      </c>
      <c r="S148" s="53">
        <f t="shared" ref="S148:S182" si="1027">ROUNDUP(T148/3,0)</f>
        <v>1</v>
      </c>
      <c r="T148" s="54">
        <f t="shared" ref="T148:T173" si="1028">RANDBETWEEN(0,4)</f>
        <v>3</v>
      </c>
      <c r="U148" s="53">
        <f t="shared" ref="U148:U182" si="1029">ROUNDUP(V148/3,0)</f>
        <v>1</v>
      </c>
      <c r="V148" s="54">
        <f t="shared" ref="V148:V173" si="1030">RANDBETWEEN(0,4)</f>
        <v>3</v>
      </c>
      <c r="W148" s="53">
        <f t="shared" ref="W148:W182" si="1031">ROUNDUP(X148/3,0)</f>
        <v>1</v>
      </c>
      <c r="X148" s="54">
        <f t="shared" ref="X148:X173" si="1032">RANDBETWEEN(0,4)</f>
        <v>1</v>
      </c>
      <c r="Y148" s="53">
        <f t="shared" ref="Y148:Y182" si="1033">ROUNDUP(Z148/3,0)</f>
        <v>1</v>
      </c>
      <c r="Z148" s="54">
        <f t="shared" ref="Z148:Z173" si="1034">RANDBETWEEN(0,4)</f>
        <v>2</v>
      </c>
      <c r="AA148" s="53">
        <f t="shared" ref="AA148:AA182" si="1035">ROUNDUP(AB148/3,0)</f>
        <v>1</v>
      </c>
      <c r="AB148" s="54">
        <f t="shared" ref="AB148:AB173" si="1036">RANDBETWEEN(0,4)</f>
        <v>1</v>
      </c>
      <c r="AC148" s="49">
        <f t="shared" ref="AC148:AD148" si="1010">SUM(S148,U148,W148,Y148,AA148)</f>
        <v>5</v>
      </c>
      <c r="AD148" s="50">
        <f t="shared" si="1010"/>
        <v>10</v>
      </c>
      <c r="AE148" s="53">
        <f t="shared" ref="AE148:AE182" si="1038">ROUNDUP(AF148/3,0)</f>
        <v>2</v>
      </c>
      <c r="AF148" s="54">
        <f t="shared" ref="AF148:AF173" si="1039">RANDBETWEEN(0,4)</f>
        <v>4</v>
      </c>
      <c r="AG148" s="53">
        <f t="shared" ref="AG148:AG182" si="1040">ROUNDUP(AH148/3,0)</f>
        <v>1</v>
      </c>
      <c r="AH148" s="54">
        <f t="shared" ref="AH148:AH173" si="1041">RANDBETWEEN(0,4)</f>
        <v>2</v>
      </c>
      <c r="AI148" s="53">
        <f t="shared" ref="AI148:AI182" si="1042">ROUNDUP(AJ148/3,0)</f>
        <v>0</v>
      </c>
      <c r="AJ148" s="54">
        <f t="shared" ref="AJ148:AJ173" si="1043">RANDBETWEEN(0,4)</f>
        <v>0</v>
      </c>
      <c r="AK148" s="53">
        <f t="shared" ref="AK148:AK182" si="1044">ROUNDUP(AL148/3,0)</f>
        <v>1</v>
      </c>
      <c r="AL148" s="54">
        <f t="shared" ref="AL148:AL173" si="1045">RANDBETWEEN(0,4)</f>
        <v>1</v>
      </c>
      <c r="AM148" s="53">
        <f t="shared" ref="AM148:AM182" si="1046">ROUNDUP(AN148/3,0)</f>
        <v>1</v>
      </c>
      <c r="AN148" s="54">
        <f t="shared" ref="AN148:AN173" si="1047">RANDBETWEEN(0,4)</f>
        <v>1</v>
      </c>
      <c r="AO148" s="53">
        <f t="shared" ref="AO148:AO182" si="1048">ROUNDUP(AP148/3,0)</f>
        <v>1</v>
      </c>
      <c r="AP148" s="54">
        <f t="shared" ref="AP148:AP173" si="1049">RANDBETWEEN(0,4)</f>
        <v>1</v>
      </c>
      <c r="AQ148" s="49">
        <f t="shared" ref="AQ148:AR148" si="1011">SUM(AG148,AI148,AK148,AM148,AO148)</f>
        <v>4</v>
      </c>
      <c r="AR148" s="50">
        <f t="shared" si="1011"/>
        <v>5</v>
      </c>
      <c r="AS148" s="53">
        <f t="shared" ref="AS148:AS182" si="1051">ROUNDUP(AT148/3,0)</f>
        <v>1</v>
      </c>
      <c r="AT148" s="54">
        <f t="shared" ref="AT148:AT173" si="1052">RANDBETWEEN(0,4)</f>
        <v>1</v>
      </c>
      <c r="AU148" s="53">
        <f t="shared" ref="AU148:AU182" si="1053">ROUNDUP(AV148/3,0)</f>
        <v>2</v>
      </c>
      <c r="AV148" s="54">
        <f t="shared" ref="AV148:AV173" si="1054">RANDBETWEEN(0,4)</f>
        <v>4</v>
      </c>
      <c r="AW148" s="53">
        <f t="shared" ref="AW148:AW182" si="1055">ROUNDUP(AX148/3,0)</f>
        <v>0</v>
      </c>
      <c r="AX148" s="54">
        <f t="shared" ref="AX148:AX173" si="1056">RANDBETWEEN(0,4)</f>
        <v>0</v>
      </c>
      <c r="AY148" s="53">
        <f t="shared" ref="AY148:AY182" si="1057">ROUNDUP(AZ148/3,0)</f>
        <v>1</v>
      </c>
      <c r="AZ148" s="54">
        <f t="shared" ref="AZ148:AZ173" si="1058">RANDBETWEEN(0,4)</f>
        <v>3</v>
      </c>
      <c r="BA148" s="53">
        <f t="shared" ref="BA148:BA182" si="1059">ROUNDUP(BB148/3,0)</f>
        <v>1</v>
      </c>
      <c r="BB148" s="54">
        <f t="shared" ref="BB148:BB173" si="1060">RANDBETWEEN(0,4)</f>
        <v>1</v>
      </c>
      <c r="BC148" s="49">
        <f t="shared" ref="BC148:BD148" si="1012">SUM(AS148,AU148,AW148,AY148,BA148)</f>
        <v>5</v>
      </c>
      <c r="BD148" s="50">
        <f t="shared" si="1012"/>
        <v>9</v>
      </c>
      <c r="BE148" s="68">
        <f t="shared" ref="BE148:BF148" si="1013">SUM(E148,G148,I148,O148,Q148,AC148,AQ148,BC148)</f>
        <v>22</v>
      </c>
      <c r="BF148" s="69">
        <f t="shared" si="1013"/>
        <v>39</v>
      </c>
      <c r="BG148" s="46" t="str">
        <f>BF148*'ОВгП_РАО'!$B$2</f>
        <v>#REF!</v>
      </c>
      <c r="BH148" s="46" t="str">
        <f>'ОВгП_РАО'!$B$2</f>
        <v>#REF!</v>
      </c>
    </row>
    <row r="149" ht="15.75" customHeight="1">
      <c r="A149" s="71">
        <f t="shared" ref="A149:A182" si="1063">A148</f>
        <v>46265</v>
      </c>
      <c r="B149" s="45" t="s">
        <v>115</v>
      </c>
      <c r="C149" s="46" t="s">
        <v>96</v>
      </c>
      <c r="D149" s="47" t="s">
        <v>98</v>
      </c>
      <c r="E149" s="73">
        <f t="shared" si="1014"/>
        <v>1</v>
      </c>
      <c r="F149" s="50">
        <f t="shared" si="1015"/>
        <v>2</v>
      </c>
      <c r="G149" s="73">
        <f t="shared" si="1016"/>
        <v>2</v>
      </c>
      <c r="H149" s="50">
        <f t="shared" si="1017"/>
        <v>4</v>
      </c>
      <c r="I149" s="73">
        <f t="shared" si="1018"/>
        <v>1</v>
      </c>
      <c r="J149" s="50">
        <f t="shared" si="1019"/>
        <v>3</v>
      </c>
      <c r="K149" s="53">
        <f t="shared" si="1020"/>
        <v>2</v>
      </c>
      <c r="L149" s="54">
        <f t="shared" si="1021"/>
        <v>4</v>
      </c>
      <c r="M149" s="53">
        <f t="shared" si="1022"/>
        <v>2</v>
      </c>
      <c r="N149" s="54">
        <f t="shared" si="1023"/>
        <v>4</v>
      </c>
      <c r="O149" s="49">
        <f t="shared" ref="O149:P149" si="1024">SUM(K149,M149)</f>
        <v>4</v>
      </c>
      <c r="P149" s="50">
        <f t="shared" si="1024"/>
        <v>8</v>
      </c>
      <c r="Q149" s="73">
        <f t="shared" si="1025"/>
        <v>1</v>
      </c>
      <c r="R149" s="50">
        <f t="shared" si="1026"/>
        <v>3</v>
      </c>
      <c r="S149" s="53">
        <f t="shared" si="1027"/>
        <v>0</v>
      </c>
      <c r="T149" s="54">
        <f t="shared" si="1028"/>
        <v>0</v>
      </c>
      <c r="U149" s="53">
        <f t="shared" si="1029"/>
        <v>2</v>
      </c>
      <c r="V149" s="54">
        <f t="shared" si="1030"/>
        <v>4</v>
      </c>
      <c r="W149" s="53">
        <f t="shared" si="1031"/>
        <v>1</v>
      </c>
      <c r="X149" s="54">
        <f t="shared" si="1032"/>
        <v>1</v>
      </c>
      <c r="Y149" s="53">
        <f t="shared" si="1033"/>
        <v>1</v>
      </c>
      <c r="Z149" s="54">
        <f t="shared" si="1034"/>
        <v>3</v>
      </c>
      <c r="AA149" s="53">
        <f t="shared" si="1035"/>
        <v>1</v>
      </c>
      <c r="AB149" s="54">
        <f t="shared" si="1036"/>
        <v>3</v>
      </c>
      <c r="AC149" s="49">
        <f t="shared" ref="AC149:AD149" si="1037">SUM(S149,U149,W149,Y149,AA149)</f>
        <v>5</v>
      </c>
      <c r="AD149" s="50">
        <f t="shared" si="1037"/>
        <v>11</v>
      </c>
      <c r="AE149" s="53">
        <f t="shared" si="1038"/>
        <v>1</v>
      </c>
      <c r="AF149" s="54">
        <f t="shared" si="1039"/>
        <v>2</v>
      </c>
      <c r="AG149" s="53">
        <f t="shared" si="1040"/>
        <v>1</v>
      </c>
      <c r="AH149" s="54">
        <f t="shared" si="1041"/>
        <v>2</v>
      </c>
      <c r="AI149" s="53">
        <f t="shared" si="1042"/>
        <v>0</v>
      </c>
      <c r="AJ149" s="54">
        <f t="shared" si="1043"/>
        <v>0</v>
      </c>
      <c r="AK149" s="53">
        <f t="shared" si="1044"/>
        <v>2</v>
      </c>
      <c r="AL149" s="54">
        <f t="shared" si="1045"/>
        <v>4</v>
      </c>
      <c r="AM149" s="53">
        <f t="shared" si="1046"/>
        <v>1</v>
      </c>
      <c r="AN149" s="54">
        <f t="shared" si="1047"/>
        <v>2</v>
      </c>
      <c r="AO149" s="53">
        <f t="shared" si="1048"/>
        <v>2</v>
      </c>
      <c r="AP149" s="54">
        <f t="shared" si="1049"/>
        <v>4</v>
      </c>
      <c r="AQ149" s="49">
        <f t="shared" ref="AQ149:AR149" si="1050">SUM(AG149,AI149,AK149,AM149,AO149)</f>
        <v>6</v>
      </c>
      <c r="AR149" s="50">
        <f t="shared" si="1050"/>
        <v>12</v>
      </c>
      <c r="AS149" s="53">
        <f t="shared" si="1051"/>
        <v>1</v>
      </c>
      <c r="AT149" s="54">
        <f t="shared" si="1052"/>
        <v>1</v>
      </c>
      <c r="AU149" s="53">
        <f t="shared" si="1053"/>
        <v>2</v>
      </c>
      <c r="AV149" s="54">
        <f t="shared" si="1054"/>
        <v>4</v>
      </c>
      <c r="AW149" s="53">
        <f t="shared" si="1055"/>
        <v>1</v>
      </c>
      <c r="AX149" s="54">
        <f t="shared" si="1056"/>
        <v>1</v>
      </c>
      <c r="AY149" s="53">
        <f t="shared" si="1057"/>
        <v>1</v>
      </c>
      <c r="AZ149" s="54">
        <f t="shared" si="1058"/>
        <v>2</v>
      </c>
      <c r="BA149" s="53">
        <f t="shared" si="1059"/>
        <v>0</v>
      </c>
      <c r="BB149" s="54">
        <f t="shared" si="1060"/>
        <v>0</v>
      </c>
      <c r="BC149" s="49">
        <f t="shared" ref="BC149:BD149" si="1061">SUM(AS149,AU149,AW149,AY149,BA149)</f>
        <v>5</v>
      </c>
      <c r="BD149" s="50">
        <f t="shared" si="1061"/>
        <v>8</v>
      </c>
      <c r="BE149" s="68">
        <f t="shared" ref="BE149:BF149" si="1062">SUM(E149,G149,I149,O149,Q149,AC149,AQ149,BC149)</f>
        <v>25</v>
      </c>
      <c r="BF149" s="69">
        <f t="shared" si="1062"/>
        <v>51</v>
      </c>
      <c r="BG149" s="46" t="str">
        <f>BF149*'ОВгП_РАО'!$B$3</f>
        <v>#REF!</v>
      </c>
      <c r="BH149" s="46" t="str">
        <f>'ОВгП_РАО'!$B$3</f>
        <v>#REF!</v>
      </c>
    </row>
    <row r="150" ht="15.75" customHeight="1">
      <c r="A150" s="80">
        <f t="shared" si="1063"/>
        <v>46265</v>
      </c>
      <c r="B150" s="45" t="s">
        <v>116</v>
      </c>
      <c r="C150" s="46" t="s">
        <v>96</v>
      </c>
      <c r="D150" s="47" t="s">
        <v>98</v>
      </c>
      <c r="E150" s="73">
        <f t="shared" si="1014"/>
        <v>1</v>
      </c>
      <c r="F150" s="50">
        <f t="shared" si="1015"/>
        <v>2</v>
      </c>
      <c r="G150" s="73">
        <f t="shared" si="1016"/>
        <v>0</v>
      </c>
      <c r="H150" s="50">
        <f t="shared" si="1017"/>
        <v>0</v>
      </c>
      <c r="I150" s="73">
        <f t="shared" si="1018"/>
        <v>1</v>
      </c>
      <c r="J150" s="50">
        <f t="shared" si="1019"/>
        <v>3</v>
      </c>
      <c r="K150" s="53">
        <f t="shared" si="1020"/>
        <v>1</v>
      </c>
      <c r="L150" s="54">
        <f t="shared" si="1021"/>
        <v>1</v>
      </c>
      <c r="M150" s="53">
        <f t="shared" si="1022"/>
        <v>0</v>
      </c>
      <c r="N150" s="54">
        <f t="shared" si="1023"/>
        <v>0</v>
      </c>
      <c r="O150" s="49">
        <f t="shared" ref="O150:P150" si="1064">SUM(K150,M150)</f>
        <v>1</v>
      </c>
      <c r="P150" s="50">
        <f t="shared" si="1064"/>
        <v>1</v>
      </c>
      <c r="Q150" s="73">
        <f t="shared" si="1025"/>
        <v>1</v>
      </c>
      <c r="R150" s="50">
        <f t="shared" si="1026"/>
        <v>1</v>
      </c>
      <c r="S150" s="53">
        <f t="shared" si="1027"/>
        <v>1</v>
      </c>
      <c r="T150" s="54">
        <f t="shared" si="1028"/>
        <v>1</v>
      </c>
      <c r="U150" s="53">
        <f t="shared" si="1029"/>
        <v>2</v>
      </c>
      <c r="V150" s="54">
        <f t="shared" si="1030"/>
        <v>4</v>
      </c>
      <c r="W150" s="53">
        <f t="shared" si="1031"/>
        <v>2</v>
      </c>
      <c r="X150" s="54">
        <f t="shared" si="1032"/>
        <v>4</v>
      </c>
      <c r="Y150" s="53">
        <f t="shared" si="1033"/>
        <v>1</v>
      </c>
      <c r="Z150" s="54">
        <f t="shared" si="1034"/>
        <v>2</v>
      </c>
      <c r="AA150" s="53">
        <f t="shared" si="1035"/>
        <v>2</v>
      </c>
      <c r="AB150" s="54">
        <f t="shared" si="1036"/>
        <v>4</v>
      </c>
      <c r="AC150" s="49">
        <f t="shared" ref="AC150:AD150" si="1065">SUM(S150,U150,W150,Y150,AA150)</f>
        <v>8</v>
      </c>
      <c r="AD150" s="50">
        <f t="shared" si="1065"/>
        <v>15</v>
      </c>
      <c r="AE150" s="53">
        <f t="shared" si="1038"/>
        <v>2</v>
      </c>
      <c r="AF150" s="54">
        <f t="shared" si="1039"/>
        <v>4</v>
      </c>
      <c r="AG150" s="53">
        <f t="shared" si="1040"/>
        <v>0</v>
      </c>
      <c r="AH150" s="54">
        <f t="shared" si="1041"/>
        <v>0</v>
      </c>
      <c r="AI150" s="53">
        <f t="shared" si="1042"/>
        <v>0</v>
      </c>
      <c r="AJ150" s="54">
        <f t="shared" si="1043"/>
        <v>0</v>
      </c>
      <c r="AK150" s="53">
        <f t="shared" si="1044"/>
        <v>1</v>
      </c>
      <c r="AL150" s="54">
        <f t="shared" si="1045"/>
        <v>1</v>
      </c>
      <c r="AM150" s="53">
        <f t="shared" si="1046"/>
        <v>1</v>
      </c>
      <c r="AN150" s="54">
        <f t="shared" si="1047"/>
        <v>2</v>
      </c>
      <c r="AO150" s="53">
        <f t="shared" si="1048"/>
        <v>2</v>
      </c>
      <c r="AP150" s="54">
        <f t="shared" si="1049"/>
        <v>4</v>
      </c>
      <c r="AQ150" s="49">
        <f t="shared" ref="AQ150:AR150" si="1066">SUM(AG150,AI150,AK150,AM150,AO150)</f>
        <v>4</v>
      </c>
      <c r="AR150" s="50">
        <f t="shared" si="1066"/>
        <v>7</v>
      </c>
      <c r="AS150" s="53">
        <f t="shared" si="1051"/>
        <v>1</v>
      </c>
      <c r="AT150" s="54">
        <f t="shared" si="1052"/>
        <v>1</v>
      </c>
      <c r="AU150" s="53">
        <f t="shared" si="1053"/>
        <v>1</v>
      </c>
      <c r="AV150" s="54">
        <f t="shared" si="1054"/>
        <v>1</v>
      </c>
      <c r="AW150" s="53">
        <f t="shared" si="1055"/>
        <v>1</v>
      </c>
      <c r="AX150" s="54">
        <f t="shared" si="1056"/>
        <v>3</v>
      </c>
      <c r="AY150" s="53">
        <f t="shared" si="1057"/>
        <v>1</v>
      </c>
      <c r="AZ150" s="54">
        <f t="shared" si="1058"/>
        <v>1</v>
      </c>
      <c r="BA150" s="53">
        <f t="shared" si="1059"/>
        <v>0</v>
      </c>
      <c r="BB150" s="54">
        <f t="shared" si="1060"/>
        <v>0</v>
      </c>
      <c r="BC150" s="49">
        <f t="shared" ref="BC150:BD150" si="1067">SUM(AS150,AU150,AW150,AY150,BA150)</f>
        <v>4</v>
      </c>
      <c r="BD150" s="50">
        <f t="shared" si="1067"/>
        <v>6</v>
      </c>
      <c r="BE150" s="68">
        <f t="shared" ref="BE150:BF150" si="1068">SUM(E150,G150,I150,O150,Q150,AC150,AQ150,BC150)</f>
        <v>20</v>
      </c>
      <c r="BF150" s="69">
        <f t="shared" si="1068"/>
        <v>35</v>
      </c>
      <c r="BG150" s="46" t="str">
        <f>BF150*'ОВгП_РАО'!$B$4</f>
        <v>#REF!</v>
      </c>
      <c r="BH150" s="46" t="str">
        <f>'ОВгП_РАО'!$B$4</f>
        <v>#REF!</v>
      </c>
    </row>
    <row r="151" ht="15.75" customHeight="1">
      <c r="A151" s="80">
        <f t="shared" si="1063"/>
        <v>46265</v>
      </c>
      <c r="B151" s="45" t="s">
        <v>117</v>
      </c>
      <c r="C151" s="46" t="s">
        <v>96</v>
      </c>
      <c r="D151" s="47" t="s">
        <v>98</v>
      </c>
      <c r="E151" s="73">
        <f t="shared" si="1014"/>
        <v>2</v>
      </c>
      <c r="F151" s="50">
        <f t="shared" si="1015"/>
        <v>4</v>
      </c>
      <c r="G151" s="73">
        <f t="shared" si="1016"/>
        <v>2</v>
      </c>
      <c r="H151" s="50">
        <f t="shared" si="1017"/>
        <v>4</v>
      </c>
      <c r="I151" s="73">
        <f t="shared" si="1018"/>
        <v>2</v>
      </c>
      <c r="J151" s="50">
        <f t="shared" si="1019"/>
        <v>4</v>
      </c>
      <c r="K151" s="53">
        <f t="shared" si="1020"/>
        <v>2</v>
      </c>
      <c r="L151" s="54">
        <f t="shared" si="1021"/>
        <v>4</v>
      </c>
      <c r="M151" s="53">
        <f t="shared" si="1022"/>
        <v>1</v>
      </c>
      <c r="N151" s="54">
        <f t="shared" si="1023"/>
        <v>3</v>
      </c>
      <c r="O151" s="49">
        <f t="shared" ref="O151:P151" si="1069">SUM(K151,M151)</f>
        <v>3</v>
      </c>
      <c r="P151" s="50">
        <f t="shared" si="1069"/>
        <v>7</v>
      </c>
      <c r="Q151" s="73">
        <f t="shared" si="1025"/>
        <v>1</v>
      </c>
      <c r="R151" s="50">
        <f t="shared" si="1026"/>
        <v>1</v>
      </c>
      <c r="S151" s="53">
        <f t="shared" si="1027"/>
        <v>0</v>
      </c>
      <c r="T151" s="54">
        <f t="shared" si="1028"/>
        <v>0</v>
      </c>
      <c r="U151" s="53">
        <f t="shared" si="1029"/>
        <v>1</v>
      </c>
      <c r="V151" s="54">
        <f t="shared" si="1030"/>
        <v>1</v>
      </c>
      <c r="W151" s="53">
        <f t="shared" si="1031"/>
        <v>1</v>
      </c>
      <c r="X151" s="54">
        <f t="shared" si="1032"/>
        <v>2</v>
      </c>
      <c r="Y151" s="53">
        <f t="shared" si="1033"/>
        <v>1</v>
      </c>
      <c r="Z151" s="54">
        <f t="shared" si="1034"/>
        <v>2</v>
      </c>
      <c r="AA151" s="53">
        <f t="shared" si="1035"/>
        <v>1</v>
      </c>
      <c r="AB151" s="54">
        <f t="shared" si="1036"/>
        <v>2</v>
      </c>
      <c r="AC151" s="49">
        <f t="shared" ref="AC151:AD151" si="1070">SUM(S151,U151,W151,Y151,AA151)</f>
        <v>4</v>
      </c>
      <c r="AD151" s="50">
        <f t="shared" si="1070"/>
        <v>7</v>
      </c>
      <c r="AE151" s="53">
        <f t="shared" si="1038"/>
        <v>1</v>
      </c>
      <c r="AF151" s="54">
        <f t="shared" si="1039"/>
        <v>1</v>
      </c>
      <c r="AG151" s="53">
        <f t="shared" si="1040"/>
        <v>1</v>
      </c>
      <c r="AH151" s="54">
        <f t="shared" si="1041"/>
        <v>3</v>
      </c>
      <c r="AI151" s="53">
        <f t="shared" si="1042"/>
        <v>1</v>
      </c>
      <c r="AJ151" s="54">
        <f t="shared" si="1043"/>
        <v>1</v>
      </c>
      <c r="AK151" s="53">
        <f t="shared" si="1044"/>
        <v>1</v>
      </c>
      <c r="AL151" s="54">
        <f t="shared" si="1045"/>
        <v>1</v>
      </c>
      <c r="AM151" s="53">
        <f t="shared" si="1046"/>
        <v>1</v>
      </c>
      <c r="AN151" s="54">
        <f t="shared" si="1047"/>
        <v>1</v>
      </c>
      <c r="AO151" s="53">
        <f t="shared" si="1048"/>
        <v>1</v>
      </c>
      <c r="AP151" s="54">
        <f t="shared" si="1049"/>
        <v>1</v>
      </c>
      <c r="AQ151" s="49">
        <f t="shared" ref="AQ151:AR151" si="1071">SUM(AG151,AI151,AK151,AM151,AO151)</f>
        <v>5</v>
      </c>
      <c r="AR151" s="50">
        <f t="shared" si="1071"/>
        <v>7</v>
      </c>
      <c r="AS151" s="53">
        <f t="shared" si="1051"/>
        <v>0</v>
      </c>
      <c r="AT151" s="54">
        <f t="shared" si="1052"/>
        <v>0</v>
      </c>
      <c r="AU151" s="53">
        <f t="shared" si="1053"/>
        <v>2</v>
      </c>
      <c r="AV151" s="54">
        <f t="shared" si="1054"/>
        <v>4</v>
      </c>
      <c r="AW151" s="53">
        <f t="shared" si="1055"/>
        <v>2</v>
      </c>
      <c r="AX151" s="54">
        <f t="shared" si="1056"/>
        <v>4</v>
      </c>
      <c r="AY151" s="53">
        <f t="shared" si="1057"/>
        <v>0</v>
      </c>
      <c r="AZ151" s="54">
        <f t="shared" si="1058"/>
        <v>0</v>
      </c>
      <c r="BA151" s="53">
        <f t="shared" si="1059"/>
        <v>1</v>
      </c>
      <c r="BB151" s="54">
        <f t="shared" si="1060"/>
        <v>1</v>
      </c>
      <c r="BC151" s="49">
        <f t="shared" ref="BC151:BD151" si="1072">SUM(AS151,AU151,AW151,AY151,BA151)</f>
        <v>5</v>
      </c>
      <c r="BD151" s="50">
        <f t="shared" si="1072"/>
        <v>9</v>
      </c>
      <c r="BE151" s="68">
        <f t="shared" ref="BE151:BF151" si="1073">SUM(E151,G151,I151,O151,Q151,AC151,AQ151,BC151)</f>
        <v>24</v>
      </c>
      <c r="BF151" s="69">
        <f t="shared" si="1073"/>
        <v>43</v>
      </c>
      <c r="BG151" s="46" t="str">
        <f>BF151*'ОВгП_РАО'!$B$5</f>
        <v>#REF!</v>
      </c>
      <c r="BH151" s="46" t="str">
        <f>'ОВгП_РАО'!$B$5</f>
        <v>#REF!</v>
      </c>
    </row>
    <row r="152" ht="15.75" customHeight="1">
      <c r="A152" s="80">
        <f t="shared" si="1063"/>
        <v>46265</v>
      </c>
      <c r="B152" s="45" t="s">
        <v>118</v>
      </c>
      <c r="C152" s="45" t="s">
        <v>96</v>
      </c>
      <c r="D152" s="47" t="s">
        <v>98</v>
      </c>
      <c r="E152" s="73">
        <f t="shared" si="1014"/>
        <v>0</v>
      </c>
      <c r="F152" s="50">
        <f t="shared" si="1015"/>
        <v>0</v>
      </c>
      <c r="G152" s="73">
        <f t="shared" si="1016"/>
        <v>2</v>
      </c>
      <c r="H152" s="50">
        <f t="shared" si="1017"/>
        <v>4</v>
      </c>
      <c r="I152" s="73">
        <f t="shared" si="1018"/>
        <v>0</v>
      </c>
      <c r="J152" s="50">
        <f t="shared" si="1019"/>
        <v>0</v>
      </c>
      <c r="K152" s="53">
        <f t="shared" si="1020"/>
        <v>1</v>
      </c>
      <c r="L152" s="54">
        <f t="shared" si="1021"/>
        <v>1</v>
      </c>
      <c r="M152" s="53">
        <f t="shared" si="1022"/>
        <v>1</v>
      </c>
      <c r="N152" s="54">
        <f t="shared" si="1023"/>
        <v>3</v>
      </c>
      <c r="O152" s="49">
        <f t="shared" ref="O152:P152" si="1074">SUM(K152,M152)</f>
        <v>2</v>
      </c>
      <c r="P152" s="50">
        <f t="shared" si="1074"/>
        <v>4</v>
      </c>
      <c r="Q152" s="73">
        <f t="shared" si="1025"/>
        <v>1</v>
      </c>
      <c r="R152" s="50">
        <f t="shared" si="1026"/>
        <v>3</v>
      </c>
      <c r="S152" s="53">
        <f t="shared" si="1027"/>
        <v>1</v>
      </c>
      <c r="T152" s="54">
        <f t="shared" si="1028"/>
        <v>3</v>
      </c>
      <c r="U152" s="53">
        <f t="shared" si="1029"/>
        <v>2</v>
      </c>
      <c r="V152" s="54">
        <f t="shared" si="1030"/>
        <v>4</v>
      </c>
      <c r="W152" s="53">
        <f t="shared" si="1031"/>
        <v>1</v>
      </c>
      <c r="X152" s="54">
        <f t="shared" si="1032"/>
        <v>2</v>
      </c>
      <c r="Y152" s="53">
        <f t="shared" si="1033"/>
        <v>1</v>
      </c>
      <c r="Z152" s="54">
        <f t="shared" si="1034"/>
        <v>1</v>
      </c>
      <c r="AA152" s="53">
        <f t="shared" si="1035"/>
        <v>0</v>
      </c>
      <c r="AB152" s="54">
        <f t="shared" si="1036"/>
        <v>0</v>
      </c>
      <c r="AC152" s="49">
        <f t="shared" ref="AC152:AD152" si="1075">SUM(S152,U152,W152,Y152,AA152)</f>
        <v>5</v>
      </c>
      <c r="AD152" s="50">
        <f t="shared" si="1075"/>
        <v>10</v>
      </c>
      <c r="AE152" s="53">
        <f t="shared" si="1038"/>
        <v>1</v>
      </c>
      <c r="AF152" s="54">
        <f t="shared" si="1039"/>
        <v>1</v>
      </c>
      <c r="AG152" s="53">
        <f t="shared" si="1040"/>
        <v>1</v>
      </c>
      <c r="AH152" s="54">
        <f t="shared" si="1041"/>
        <v>1</v>
      </c>
      <c r="AI152" s="53">
        <f t="shared" si="1042"/>
        <v>1</v>
      </c>
      <c r="AJ152" s="54">
        <f t="shared" si="1043"/>
        <v>3</v>
      </c>
      <c r="AK152" s="53">
        <f t="shared" si="1044"/>
        <v>1</v>
      </c>
      <c r="AL152" s="54">
        <f t="shared" si="1045"/>
        <v>2</v>
      </c>
      <c r="AM152" s="53">
        <f t="shared" si="1046"/>
        <v>1</v>
      </c>
      <c r="AN152" s="54">
        <f t="shared" si="1047"/>
        <v>2</v>
      </c>
      <c r="AO152" s="53">
        <f t="shared" si="1048"/>
        <v>1</v>
      </c>
      <c r="AP152" s="54">
        <f t="shared" si="1049"/>
        <v>2</v>
      </c>
      <c r="AQ152" s="49">
        <f t="shared" ref="AQ152:AR152" si="1076">SUM(AG152,AI152,AK152,AM152,AO152)</f>
        <v>5</v>
      </c>
      <c r="AR152" s="50">
        <f t="shared" si="1076"/>
        <v>10</v>
      </c>
      <c r="AS152" s="53">
        <f t="shared" si="1051"/>
        <v>2</v>
      </c>
      <c r="AT152" s="54">
        <f t="shared" si="1052"/>
        <v>4</v>
      </c>
      <c r="AU152" s="53">
        <f t="shared" si="1053"/>
        <v>1</v>
      </c>
      <c r="AV152" s="54">
        <f t="shared" si="1054"/>
        <v>2</v>
      </c>
      <c r="AW152" s="53">
        <f t="shared" si="1055"/>
        <v>1</v>
      </c>
      <c r="AX152" s="54">
        <f t="shared" si="1056"/>
        <v>2</v>
      </c>
      <c r="AY152" s="53">
        <f t="shared" si="1057"/>
        <v>1</v>
      </c>
      <c r="AZ152" s="54">
        <f t="shared" si="1058"/>
        <v>3</v>
      </c>
      <c r="BA152" s="53">
        <f t="shared" si="1059"/>
        <v>1</v>
      </c>
      <c r="BB152" s="54">
        <f t="shared" si="1060"/>
        <v>2</v>
      </c>
      <c r="BC152" s="49">
        <f t="shared" ref="BC152:BD152" si="1077">SUM(AS152,AU152,AW152,AY152,BA152)</f>
        <v>6</v>
      </c>
      <c r="BD152" s="50">
        <f t="shared" si="1077"/>
        <v>13</v>
      </c>
      <c r="BE152" s="68">
        <f t="shared" ref="BE152:BF152" si="1078">SUM(E152,G152,I152,O152,Q152,AC152,AQ152,BC152)</f>
        <v>21</v>
      </c>
      <c r="BF152" s="69">
        <f t="shared" si="1078"/>
        <v>44</v>
      </c>
      <c r="BG152" s="46" t="str">
        <f>BF152*'ОВгП_РАО'!$B$6</f>
        <v>#REF!</v>
      </c>
      <c r="BH152" s="46" t="str">
        <f>'ОВгП_РАО'!$B$6</f>
        <v>#REF!</v>
      </c>
    </row>
    <row r="153" ht="15.75" customHeight="1">
      <c r="A153" s="80">
        <f t="shared" si="1063"/>
        <v>46265</v>
      </c>
      <c r="B153" s="46" t="s">
        <v>119</v>
      </c>
      <c r="C153" s="45" t="s">
        <v>96</v>
      </c>
      <c r="D153" s="47" t="s">
        <v>120</v>
      </c>
      <c r="E153" s="73">
        <f t="shared" si="1014"/>
        <v>2</v>
      </c>
      <c r="F153" s="50">
        <f t="shared" si="1015"/>
        <v>4</v>
      </c>
      <c r="G153" s="73">
        <f t="shared" si="1016"/>
        <v>1</v>
      </c>
      <c r="H153" s="50">
        <f t="shared" si="1017"/>
        <v>1</v>
      </c>
      <c r="I153" s="73">
        <f t="shared" si="1018"/>
        <v>1</v>
      </c>
      <c r="J153" s="50">
        <f t="shared" si="1019"/>
        <v>1</v>
      </c>
      <c r="K153" s="53">
        <f t="shared" si="1020"/>
        <v>0</v>
      </c>
      <c r="L153" s="54">
        <f t="shared" si="1021"/>
        <v>0</v>
      </c>
      <c r="M153" s="53">
        <f t="shared" si="1022"/>
        <v>1</v>
      </c>
      <c r="N153" s="54">
        <f t="shared" si="1023"/>
        <v>1</v>
      </c>
      <c r="O153" s="49">
        <f t="shared" ref="O153:P153" si="1079">SUM(K153,M153)</f>
        <v>1</v>
      </c>
      <c r="P153" s="50">
        <f t="shared" si="1079"/>
        <v>1</v>
      </c>
      <c r="Q153" s="73">
        <f t="shared" si="1025"/>
        <v>1</v>
      </c>
      <c r="R153" s="50">
        <f t="shared" si="1026"/>
        <v>2</v>
      </c>
      <c r="S153" s="53">
        <f t="shared" si="1027"/>
        <v>0</v>
      </c>
      <c r="T153" s="54">
        <f t="shared" si="1028"/>
        <v>0</v>
      </c>
      <c r="U153" s="53">
        <f t="shared" si="1029"/>
        <v>1</v>
      </c>
      <c r="V153" s="54">
        <f t="shared" si="1030"/>
        <v>2</v>
      </c>
      <c r="W153" s="53">
        <f t="shared" si="1031"/>
        <v>0</v>
      </c>
      <c r="X153" s="54">
        <f t="shared" si="1032"/>
        <v>0</v>
      </c>
      <c r="Y153" s="53">
        <f t="shared" si="1033"/>
        <v>2</v>
      </c>
      <c r="Z153" s="54">
        <f t="shared" si="1034"/>
        <v>4</v>
      </c>
      <c r="AA153" s="53">
        <f t="shared" si="1035"/>
        <v>1</v>
      </c>
      <c r="AB153" s="54">
        <f t="shared" si="1036"/>
        <v>2</v>
      </c>
      <c r="AC153" s="49">
        <f t="shared" ref="AC153:AD153" si="1080">SUM(S153,U153,W153,Y153,AA153)</f>
        <v>4</v>
      </c>
      <c r="AD153" s="50">
        <f t="shared" si="1080"/>
        <v>8</v>
      </c>
      <c r="AE153" s="53">
        <f t="shared" si="1038"/>
        <v>1</v>
      </c>
      <c r="AF153" s="54">
        <f t="shared" si="1039"/>
        <v>1</v>
      </c>
      <c r="AG153" s="53">
        <f t="shared" si="1040"/>
        <v>0</v>
      </c>
      <c r="AH153" s="54">
        <f t="shared" si="1041"/>
        <v>0</v>
      </c>
      <c r="AI153" s="53">
        <f t="shared" si="1042"/>
        <v>1</v>
      </c>
      <c r="AJ153" s="54">
        <f t="shared" si="1043"/>
        <v>1</v>
      </c>
      <c r="AK153" s="53">
        <f t="shared" si="1044"/>
        <v>1</v>
      </c>
      <c r="AL153" s="54">
        <f t="shared" si="1045"/>
        <v>1</v>
      </c>
      <c r="AM153" s="53">
        <f t="shared" si="1046"/>
        <v>0</v>
      </c>
      <c r="AN153" s="54">
        <f t="shared" si="1047"/>
        <v>0</v>
      </c>
      <c r="AO153" s="53">
        <f t="shared" si="1048"/>
        <v>2</v>
      </c>
      <c r="AP153" s="54">
        <f t="shared" si="1049"/>
        <v>4</v>
      </c>
      <c r="AQ153" s="49">
        <f t="shared" ref="AQ153:AR153" si="1081">SUM(AG153,AI153,AK153,AM153,AO153)</f>
        <v>4</v>
      </c>
      <c r="AR153" s="50">
        <f t="shared" si="1081"/>
        <v>6</v>
      </c>
      <c r="AS153" s="53">
        <f t="shared" si="1051"/>
        <v>0</v>
      </c>
      <c r="AT153" s="54">
        <f t="shared" si="1052"/>
        <v>0</v>
      </c>
      <c r="AU153" s="53">
        <f t="shared" si="1053"/>
        <v>0</v>
      </c>
      <c r="AV153" s="54">
        <f t="shared" si="1054"/>
        <v>0</v>
      </c>
      <c r="AW153" s="53">
        <f t="shared" si="1055"/>
        <v>0</v>
      </c>
      <c r="AX153" s="54">
        <f t="shared" si="1056"/>
        <v>0</v>
      </c>
      <c r="AY153" s="53">
        <f t="shared" si="1057"/>
        <v>1</v>
      </c>
      <c r="AZ153" s="54">
        <f t="shared" si="1058"/>
        <v>2</v>
      </c>
      <c r="BA153" s="53">
        <f t="shared" si="1059"/>
        <v>1</v>
      </c>
      <c r="BB153" s="54">
        <f t="shared" si="1060"/>
        <v>3</v>
      </c>
      <c r="BC153" s="49">
        <f t="shared" ref="BC153:BD153" si="1082">SUM(AS153,AU153,AW153,AY153,BA153)</f>
        <v>2</v>
      </c>
      <c r="BD153" s="50">
        <f t="shared" si="1082"/>
        <v>5</v>
      </c>
      <c r="BE153" s="68">
        <f t="shared" ref="BE153:BF153" si="1083">SUM(E153,G153,I153,O153,Q153,AC153,AQ153,BC153)</f>
        <v>16</v>
      </c>
      <c r="BF153" s="69">
        <f t="shared" si="1083"/>
        <v>28</v>
      </c>
      <c r="BG153" s="46" t="str">
        <f>BF153*'ОВгП_РАО'!$B$7</f>
        <v>#REF!</v>
      </c>
      <c r="BH153" s="46" t="str">
        <f>'ОВгП_РАО'!$B$7</f>
        <v>#REF!</v>
      </c>
    </row>
    <row r="154" ht="15.75" customHeight="1">
      <c r="A154" s="80">
        <f t="shared" si="1063"/>
        <v>46265</v>
      </c>
      <c r="B154" s="45" t="s">
        <v>121</v>
      </c>
      <c r="C154" s="47" t="s">
        <v>122</v>
      </c>
      <c r="D154" s="47" t="s">
        <v>123</v>
      </c>
      <c r="E154" s="73">
        <f t="shared" si="1014"/>
        <v>1</v>
      </c>
      <c r="F154" s="50">
        <f t="shared" si="1015"/>
        <v>2</v>
      </c>
      <c r="G154" s="73">
        <f t="shared" si="1016"/>
        <v>2</v>
      </c>
      <c r="H154" s="50">
        <f t="shared" si="1017"/>
        <v>4</v>
      </c>
      <c r="I154" s="73">
        <f t="shared" si="1018"/>
        <v>1</v>
      </c>
      <c r="J154" s="50">
        <f t="shared" si="1019"/>
        <v>1</v>
      </c>
      <c r="K154" s="53">
        <f t="shared" si="1020"/>
        <v>1</v>
      </c>
      <c r="L154" s="54">
        <f t="shared" si="1021"/>
        <v>2</v>
      </c>
      <c r="M154" s="53">
        <f t="shared" si="1022"/>
        <v>2</v>
      </c>
      <c r="N154" s="54">
        <f t="shared" si="1023"/>
        <v>4</v>
      </c>
      <c r="O154" s="49">
        <f t="shared" ref="O154:P154" si="1084">SUM(K154,M154)</f>
        <v>3</v>
      </c>
      <c r="P154" s="50">
        <f t="shared" si="1084"/>
        <v>6</v>
      </c>
      <c r="Q154" s="73">
        <f t="shared" si="1025"/>
        <v>1</v>
      </c>
      <c r="R154" s="50">
        <f t="shared" si="1026"/>
        <v>1</v>
      </c>
      <c r="S154" s="53">
        <f t="shared" si="1027"/>
        <v>2</v>
      </c>
      <c r="T154" s="54">
        <f t="shared" si="1028"/>
        <v>4</v>
      </c>
      <c r="U154" s="53">
        <f t="shared" si="1029"/>
        <v>2</v>
      </c>
      <c r="V154" s="54">
        <f t="shared" si="1030"/>
        <v>4</v>
      </c>
      <c r="W154" s="53">
        <f t="shared" si="1031"/>
        <v>1</v>
      </c>
      <c r="X154" s="54">
        <f t="shared" si="1032"/>
        <v>1</v>
      </c>
      <c r="Y154" s="53">
        <f t="shared" si="1033"/>
        <v>1</v>
      </c>
      <c r="Z154" s="54">
        <f t="shared" si="1034"/>
        <v>3</v>
      </c>
      <c r="AA154" s="53">
        <f t="shared" si="1035"/>
        <v>1</v>
      </c>
      <c r="AB154" s="54">
        <f t="shared" si="1036"/>
        <v>1</v>
      </c>
      <c r="AC154" s="49">
        <f t="shared" ref="AC154:AD154" si="1085">SUM(S154,U154,W154,Y154,AA154)</f>
        <v>7</v>
      </c>
      <c r="AD154" s="50">
        <f t="shared" si="1085"/>
        <v>13</v>
      </c>
      <c r="AE154" s="53">
        <f t="shared" si="1038"/>
        <v>1</v>
      </c>
      <c r="AF154" s="54">
        <f t="shared" si="1039"/>
        <v>1</v>
      </c>
      <c r="AG154" s="53">
        <f t="shared" si="1040"/>
        <v>2</v>
      </c>
      <c r="AH154" s="54">
        <f t="shared" si="1041"/>
        <v>4</v>
      </c>
      <c r="AI154" s="53">
        <f t="shared" si="1042"/>
        <v>1</v>
      </c>
      <c r="AJ154" s="54">
        <f t="shared" si="1043"/>
        <v>3</v>
      </c>
      <c r="AK154" s="53">
        <f t="shared" si="1044"/>
        <v>1</v>
      </c>
      <c r="AL154" s="54">
        <f t="shared" si="1045"/>
        <v>3</v>
      </c>
      <c r="AM154" s="53">
        <f t="shared" si="1046"/>
        <v>1</v>
      </c>
      <c r="AN154" s="54">
        <f t="shared" si="1047"/>
        <v>1</v>
      </c>
      <c r="AO154" s="53">
        <f t="shared" si="1048"/>
        <v>1</v>
      </c>
      <c r="AP154" s="54">
        <f t="shared" si="1049"/>
        <v>1</v>
      </c>
      <c r="AQ154" s="49">
        <f t="shared" ref="AQ154:AR154" si="1086">SUM(AG154,AI154,AK154,AM154,AO154)</f>
        <v>6</v>
      </c>
      <c r="AR154" s="50">
        <f t="shared" si="1086"/>
        <v>12</v>
      </c>
      <c r="AS154" s="53">
        <f t="shared" si="1051"/>
        <v>1</v>
      </c>
      <c r="AT154" s="54">
        <f t="shared" si="1052"/>
        <v>3</v>
      </c>
      <c r="AU154" s="53">
        <f t="shared" si="1053"/>
        <v>0</v>
      </c>
      <c r="AV154" s="54">
        <f t="shared" si="1054"/>
        <v>0</v>
      </c>
      <c r="AW154" s="53">
        <f t="shared" si="1055"/>
        <v>2</v>
      </c>
      <c r="AX154" s="54">
        <f t="shared" si="1056"/>
        <v>4</v>
      </c>
      <c r="AY154" s="53">
        <f t="shared" si="1057"/>
        <v>0</v>
      </c>
      <c r="AZ154" s="54">
        <f t="shared" si="1058"/>
        <v>0</v>
      </c>
      <c r="BA154" s="53">
        <f t="shared" si="1059"/>
        <v>1</v>
      </c>
      <c r="BB154" s="54">
        <f t="shared" si="1060"/>
        <v>3</v>
      </c>
      <c r="BC154" s="49">
        <f t="shared" ref="BC154:BD154" si="1087">SUM(AS154,AU154,AW154,AY154,BA154)</f>
        <v>4</v>
      </c>
      <c r="BD154" s="50">
        <f t="shared" si="1087"/>
        <v>10</v>
      </c>
      <c r="BE154" s="68">
        <f t="shared" ref="BE154:BF154" si="1088">SUM(E154,G154,I154,O154,Q154,AC154,AQ154,BC154)</f>
        <v>25</v>
      </c>
      <c r="BF154" s="69">
        <f t="shared" si="1088"/>
        <v>49</v>
      </c>
      <c r="BG154" s="46" t="str">
        <f>BF154*'ОВгП_РАО'!$B$8</f>
        <v>#REF!</v>
      </c>
      <c r="BH154" s="46" t="str">
        <f>'ОВгП_РАО'!$B$8</f>
        <v>#REF!</v>
      </c>
    </row>
    <row r="155" ht="15.75" customHeight="1">
      <c r="A155" s="80">
        <f t="shared" si="1063"/>
        <v>46265</v>
      </c>
      <c r="B155" s="46" t="s">
        <v>124</v>
      </c>
      <c r="C155" s="46" t="s">
        <v>125</v>
      </c>
      <c r="D155" s="46" t="s">
        <v>126</v>
      </c>
      <c r="E155" s="73">
        <f t="shared" si="1014"/>
        <v>1</v>
      </c>
      <c r="F155" s="50">
        <f t="shared" si="1015"/>
        <v>3</v>
      </c>
      <c r="G155" s="73">
        <f t="shared" si="1016"/>
        <v>2</v>
      </c>
      <c r="H155" s="50">
        <f t="shared" si="1017"/>
        <v>4</v>
      </c>
      <c r="I155" s="73">
        <f t="shared" si="1018"/>
        <v>1</v>
      </c>
      <c r="J155" s="50">
        <f t="shared" si="1019"/>
        <v>2</v>
      </c>
      <c r="K155" s="53">
        <f t="shared" si="1020"/>
        <v>2</v>
      </c>
      <c r="L155" s="54">
        <f t="shared" si="1021"/>
        <v>4</v>
      </c>
      <c r="M155" s="53">
        <f t="shared" si="1022"/>
        <v>1</v>
      </c>
      <c r="N155" s="54">
        <f t="shared" si="1023"/>
        <v>1</v>
      </c>
      <c r="O155" s="49">
        <f t="shared" ref="O155:P155" si="1089">SUM(K155,M155)</f>
        <v>3</v>
      </c>
      <c r="P155" s="50">
        <f t="shared" si="1089"/>
        <v>5</v>
      </c>
      <c r="Q155" s="73">
        <f t="shared" si="1025"/>
        <v>2</v>
      </c>
      <c r="R155" s="50">
        <f t="shared" si="1026"/>
        <v>4</v>
      </c>
      <c r="S155" s="53">
        <f t="shared" si="1027"/>
        <v>1</v>
      </c>
      <c r="T155" s="54">
        <f t="shared" si="1028"/>
        <v>1</v>
      </c>
      <c r="U155" s="53">
        <f t="shared" si="1029"/>
        <v>1</v>
      </c>
      <c r="V155" s="54">
        <f t="shared" si="1030"/>
        <v>3</v>
      </c>
      <c r="W155" s="53">
        <f t="shared" si="1031"/>
        <v>0</v>
      </c>
      <c r="X155" s="54">
        <f t="shared" si="1032"/>
        <v>0</v>
      </c>
      <c r="Y155" s="53">
        <f t="shared" si="1033"/>
        <v>0</v>
      </c>
      <c r="Z155" s="54">
        <f t="shared" si="1034"/>
        <v>0</v>
      </c>
      <c r="AA155" s="53">
        <f t="shared" si="1035"/>
        <v>1</v>
      </c>
      <c r="AB155" s="54">
        <f t="shared" si="1036"/>
        <v>2</v>
      </c>
      <c r="AC155" s="49">
        <f t="shared" ref="AC155:AD155" si="1090">SUM(S155,U155,W155,Y155,AA155)</f>
        <v>3</v>
      </c>
      <c r="AD155" s="50">
        <f t="shared" si="1090"/>
        <v>6</v>
      </c>
      <c r="AE155" s="53">
        <f t="shared" si="1038"/>
        <v>0</v>
      </c>
      <c r="AF155" s="54">
        <f t="shared" si="1039"/>
        <v>0</v>
      </c>
      <c r="AG155" s="53">
        <f t="shared" si="1040"/>
        <v>1</v>
      </c>
      <c r="AH155" s="54">
        <f t="shared" si="1041"/>
        <v>1</v>
      </c>
      <c r="AI155" s="53">
        <f t="shared" si="1042"/>
        <v>1</v>
      </c>
      <c r="AJ155" s="54">
        <f t="shared" si="1043"/>
        <v>1</v>
      </c>
      <c r="AK155" s="53">
        <f t="shared" si="1044"/>
        <v>1</v>
      </c>
      <c r="AL155" s="54">
        <f t="shared" si="1045"/>
        <v>1</v>
      </c>
      <c r="AM155" s="53">
        <f t="shared" si="1046"/>
        <v>1</v>
      </c>
      <c r="AN155" s="54">
        <f t="shared" si="1047"/>
        <v>3</v>
      </c>
      <c r="AO155" s="53">
        <f t="shared" si="1048"/>
        <v>1</v>
      </c>
      <c r="AP155" s="54">
        <f t="shared" si="1049"/>
        <v>2</v>
      </c>
      <c r="AQ155" s="49">
        <f t="shared" ref="AQ155:AR155" si="1091">SUM(AG155,AI155,AK155,AM155,AO155)</f>
        <v>5</v>
      </c>
      <c r="AR155" s="50">
        <f t="shared" si="1091"/>
        <v>8</v>
      </c>
      <c r="AS155" s="53">
        <f t="shared" si="1051"/>
        <v>2</v>
      </c>
      <c r="AT155" s="54">
        <f t="shared" si="1052"/>
        <v>4</v>
      </c>
      <c r="AU155" s="53">
        <f t="shared" si="1053"/>
        <v>0</v>
      </c>
      <c r="AV155" s="54">
        <f t="shared" si="1054"/>
        <v>0</v>
      </c>
      <c r="AW155" s="53">
        <f t="shared" si="1055"/>
        <v>1</v>
      </c>
      <c r="AX155" s="54">
        <f t="shared" si="1056"/>
        <v>3</v>
      </c>
      <c r="AY155" s="53">
        <f t="shared" si="1057"/>
        <v>1</v>
      </c>
      <c r="AZ155" s="54">
        <f t="shared" si="1058"/>
        <v>3</v>
      </c>
      <c r="BA155" s="53">
        <f t="shared" si="1059"/>
        <v>0</v>
      </c>
      <c r="BB155" s="54">
        <f t="shared" si="1060"/>
        <v>0</v>
      </c>
      <c r="BC155" s="49">
        <f t="shared" ref="BC155:BD155" si="1092">SUM(AS155,AU155,AW155,AY155,BA155)</f>
        <v>4</v>
      </c>
      <c r="BD155" s="50">
        <f t="shared" si="1092"/>
        <v>10</v>
      </c>
      <c r="BE155" s="68">
        <f t="shared" ref="BE155:BF155" si="1093">SUM(E155,G155,I155,O155,Q155,AC155,AQ155,BC155)</f>
        <v>21</v>
      </c>
      <c r="BF155" s="69">
        <f t="shared" si="1093"/>
        <v>42</v>
      </c>
      <c r="BG155" s="46" t="str">
        <f>BF155*'ОВгП_РАО'!$B$9</f>
        <v>#REF!</v>
      </c>
      <c r="BH155" s="46" t="str">
        <f>'ОВгП_РАО'!$B$9</f>
        <v>#REF!</v>
      </c>
    </row>
    <row r="156" ht="15.75" customHeight="1">
      <c r="A156" s="80">
        <f t="shared" si="1063"/>
        <v>46265</v>
      </c>
      <c r="B156" s="46" t="s">
        <v>127</v>
      </c>
      <c r="C156" s="46" t="s">
        <v>125</v>
      </c>
      <c r="D156" s="46" t="s">
        <v>126</v>
      </c>
      <c r="E156" s="73">
        <f t="shared" si="1014"/>
        <v>0</v>
      </c>
      <c r="F156" s="50">
        <f t="shared" si="1015"/>
        <v>0</v>
      </c>
      <c r="G156" s="73">
        <f t="shared" si="1016"/>
        <v>2</v>
      </c>
      <c r="H156" s="50">
        <f t="shared" si="1017"/>
        <v>4</v>
      </c>
      <c r="I156" s="73">
        <f t="shared" si="1018"/>
        <v>0</v>
      </c>
      <c r="J156" s="50">
        <f t="shared" si="1019"/>
        <v>0</v>
      </c>
      <c r="K156" s="53">
        <f t="shared" si="1020"/>
        <v>0</v>
      </c>
      <c r="L156" s="54">
        <f t="shared" si="1021"/>
        <v>0</v>
      </c>
      <c r="M156" s="53">
        <f t="shared" si="1022"/>
        <v>1</v>
      </c>
      <c r="N156" s="54">
        <f t="shared" si="1023"/>
        <v>3</v>
      </c>
      <c r="O156" s="49">
        <f t="shared" ref="O156:P156" si="1094">SUM(K156,M156)</f>
        <v>1</v>
      </c>
      <c r="P156" s="50">
        <f t="shared" si="1094"/>
        <v>3</v>
      </c>
      <c r="Q156" s="73">
        <f t="shared" si="1025"/>
        <v>1</v>
      </c>
      <c r="R156" s="50">
        <f t="shared" si="1026"/>
        <v>3</v>
      </c>
      <c r="S156" s="53">
        <f t="shared" si="1027"/>
        <v>0</v>
      </c>
      <c r="T156" s="54">
        <f t="shared" si="1028"/>
        <v>0</v>
      </c>
      <c r="U156" s="53">
        <f t="shared" si="1029"/>
        <v>1</v>
      </c>
      <c r="V156" s="54">
        <f t="shared" si="1030"/>
        <v>3</v>
      </c>
      <c r="W156" s="53">
        <f t="shared" si="1031"/>
        <v>2</v>
      </c>
      <c r="X156" s="54">
        <f t="shared" si="1032"/>
        <v>4</v>
      </c>
      <c r="Y156" s="53">
        <f t="shared" si="1033"/>
        <v>1</v>
      </c>
      <c r="Z156" s="54">
        <f t="shared" si="1034"/>
        <v>1</v>
      </c>
      <c r="AA156" s="53">
        <f t="shared" si="1035"/>
        <v>0</v>
      </c>
      <c r="AB156" s="54">
        <f t="shared" si="1036"/>
        <v>0</v>
      </c>
      <c r="AC156" s="49">
        <f t="shared" ref="AC156:AD156" si="1095">SUM(S156,U156,W156,Y156,AA156)</f>
        <v>4</v>
      </c>
      <c r="AD156" s="50">
        <f t="shared" si="1095"/>
        <v>8</v>
      </c>
      <c r="AE156" s="53">
        <f t="shared" si="1038"/>
        <v>0</v>
      </c>
      <c r="AF156" s="54">
        <f t="shared" si="1039"/>
        <v>0</v>
      </c>
      <c r="AG156" s="53">
        <f t="shared" si="1040"/>
        <v>1</v>
      </c>
      <c r="AH156" s="54">
        <f t="shared" si="1041"/>
        <v>1</v>
      </c>
      <c r="AI156" s="53">
        <f t="shared" si="1042"/>
        <v>1</v>
      </c>
      <c r="AJ156" s="54">
        <f t="shared" si="1043"/>
        <v>1</v>
      </c>
      <c r="AK156" s="53">
        <f t="shared" si="1044"/>
        <v>2</v>
      </c>
      <c r="AL156" s="54">
        <f t="shared" si="1045"/>
        <v>4</v>
      </c>
      <c r="AM156" s="53">
        <f t="shared" si="1046"/>
        <v>0</v>
      </c>
      <c r="AN156" s="54">
        <f t="shared" si="1047"/>
        <v>0</v>
      </c>
      <c r="AO156" s="53">
        <f t="shared" si="1048"/>
        <v>1</v>
      </c>
      <c r="AP156" s="54">
        <f t="shared" si="1049"/>
        <v>3</v>
      </c>
      <c r="AQ156" s="49">
        <f t="shared" ref="AQ156:AR156" si="1096">SUM(AG156,AI156,AK156,AM156,AO156)</f>
        <v>5</v>
      </c>
      <c r="AR156" s="50">
        <f t="shared" si="1096"/>
        <v>9</v>
      </c>
      <c r="AS156" s="53">
        <f t="shared" si="1051"/>
        <v>0</v>
      </c>
      <c r="AT156" s="54">
        <f t="shared" si="1052"/>
        <v>0</v>
      </c>
      <c r="AU156" s="53">
        <f t="shared" si="1053"/>
        <v>1</v>
      </c>
      <c r="AV156" s="54">
        <f t="shared" si="1054"/>
        <v>2</v>
      </c>
      <c r="AW156" s="53">
        <f t="shared" si="1055"/>
        <v>1</v>
      </c>
      <c r="AX156" s="54">
        <f t="shared" si="1056"/>
        <v>3</v>
      </c>
      <c r="AY156" s="53">
        <f t="shared" si="1057"/>
        <v>1</v>
      </c>
      <c r="AZ156" s="54">
        <f t="shared" si="1058"/>
        <v>3</v>
      </c>
      <c r="BA156" s="53">
        <f t="shared" si="1059"/>
        <v>1</v>
      </c>
      <c r="BB156" s="54">
        <f t="shared" si="1060"/>
        <v>1</v>
      </c>
      <c r="BC156" s="49">
        <f t="shared" ref="BC156:BD156" si="1097">SUM(AS156,AU156,AW156,AY156,BA156)</f>
        <v>4</v>
      </c>
      <c r="BD156" s="50">
        <f t="shared" si="1097"/>
        <v>9</v>
      </c>
      <c r="BE156" s="68">
        <f t="shared" ref="BE156:BF156" si="1098">SUM(E156,G156,I156,O156,Q156,AC156,AQ156,BC156)</f>
        <v>17</v>
      </c>
      <c r="BF156" s="69">
        <f t="shared" si="1098"/>
        <v>36</v>
      </c>
      <c r="BG156" s="46" t="str">
        <f>BF156*'ОВгП_РАО'!$B$10</f>
        <v>#REF!</v>
      </c>
      <c r="BH156" s="46" t="str">
        <f>'ОВгП_РАО'!$B$10</f>
        <v>#REF!</v>
      </c>
    </row>
    <row r="157" ht="15.75" customHeight="1">
      <c r="A157" s="80">
        <f t="shared" si="1063"/>
        <v>46265</v>
      </c>
      <c r="B157" s="46" t="s">
        <v>128</v>
      </c>
      <c r="C157" s="46" t="s">
        <v>125</v>
      </c>
      <c r="D157" s="46" t="s">
        <v>126</v>
      </c>
      <c r="E157" s="73">
        <f t="shared" si="1014"/>
        <v>2</v>
      </c>
      <c r="F157" s="50">
        <f t="shared" si="1015"/>
        <v>4</v>
      </c>
      <c r="G157" s="73">
        <f t="shared" si="1016"/>
        <v>2</v>
      </c>
      <c r="H157" s="50">
        <f t="shared" si="1017"/>
        <v>4</v>
      </c>
      <c r="I157" s="73">
        <f t="shared" si="1018"/>
        <v>1</v>
      </c>
      <c r="J157" s="50">
        <f t="shared" si="1019"/>
        <v>1</v>
      </c>
      <c r="K157" s="53">
        <f t="shared" si="1020"/>
        <v>2</v>
      </c>
      <c r="L157" s="54">
        <f t="shared" si="1021"/>
        <v>4</v>
      </c>
      <c r="M157" s="53">
        <f t="shared" si="1022"/>
        <v>1</v>
      </c>
      <c r="N157" s="54">
        <f t="shared" si="1023"/>
        <v>2</v>
      </c>
      <c r="O157" s="49">
        <f t="shared" ref="O157:P157" si="1099">SUM(K157,M157)</f>
        <v>3</v>
      </c>
      <c r="P157" s="50">
        <f t="shared" si="1099"/>
        <v>6</v>
      </c>
      <c r="Q157" s="73">
        <f t="shared" si="1025"/>
        <v>2</v>
      </c>
      <c r="R157" s="50">
        <f t="shared" si="1026"/>
        <v>4</v>
      </c>
      <c r="S157" s="53">
        <f t="shared" si="1027"/>
        <v>1</v>
      </c>
      <c r="T157" s="54">
        <f t="shared" si="1028"/>
        <v>2</v>
      </c>
      <c r="U157" s="53">
        <f t="shared" si="1029"/>
        <v>0</v>
      </c>
      <c r="V157" s="54">
        <f t="shared" si="1030"/>
        <v>0</v>
      </c>
      <c r="W157" s="53">
        <f t="shared" si="1031"/>
        <v>1</v>
      </c>
      <c r="X157" s="54">
        <f t="shared" si="1032"/>
        <v>2</v>
      </c>
      <c r="Y157" s="53">
        <f t="shared" si="1033"/>
        <v>0</v>
      </c>
      <c r="Z157" s="54">
        <f t="shared" si="1034"/>
        <v>0</v>
      </c>
      <c r="AA157" s="53">
        <f t="shared" si="1035"/>
        <v>2</v>
      </c>
      <c r="AB157" s="54">
        <f t="shared" si="1036"/>
        <v>4</v>
      </c>
      <c r="AC157" s="49">
        <f t="shared" ref="AC157:AD157" si="1100">SUM(S157,U157,W157,Y157,AA157)</f>
        <v>4</v>
      </c>
      <c r="AD157" s="50">
        <f t="shared" si="1100"/>
        <v>8</v>
      </c>
      <c r="AE157" s="53">
        <f t="shared" si="1038"/>
        <v>2</v>
      </c>
      <c r="AF157" s="54">
        <f t="shared" si="1039"/>
        <v>4</v>
      </c>
      <c r="AG157" s="53">
        <f t="shared" si="1040"/>
        <v>1</v>
      </c>
      <c r="AH157" s="54">
        <f t="shared" si="1041"/>
        <v>3</v>
      </c>
      <c r="AI157" s="53">
        <f t="shared" si="1042"/>
        <v>0</v>
      </c>
      <c r="AJ157" s="54">
        <f t="shared" si="1043"/>
        <v>0</v>
      </c>
      <c r="AK157" s="53">
        <f t="shared" si="1044"/>
        <v>1</v>
      </c>
      <c r="AL157" s="54">
        <f t="shared" si="1045"/>
        <v>2</v>
      </c>
      <c r="AM157" s="53">
        <f t="shared" si="1046"/>
        <v>0</v>
      </c>
      <c r="AN157" s="54">
        <f t="shared" si="1047"/>
        <v>0</v>
      </c>
      <c r="AO157" s="53">
        <f t="shared" si="1048"/>
        <v>1</v>
      </c>
      <c r="AP157" s="54">
        <f t="shared" si="1049"/>
        <v>2</v>
      </c>
      <c r="AQ157" s="49">
        <f t="shared" ref="AQ157:AR157" si="1101">SUM(AG157,AI157,AK157,AM157,AO157)</f>
        <v>3</v>
      </c>
      <c r="AR157" s="50">
        <f t="shared" si="1101"/>
        <v>7</v>
      </c>
      <c r="AS157" s="53">
        <f t="shared" si="1051"/>
        <v>2</v>
      </c>
      <c r="AT157" s="54">
        <f t="shared" si="1052"/>
        <v>4</v>
      </c>
      <c r="AU157" s="53">
        <f t="shared" si="1053"/>
        <v>2</v>
      </c>
      <c r="AV157" s="54">
        <f t="shared" si="1054"/>
        <v>4</v>
      </c>
      <c r="AW157" s="53">
        <f t="shared" si="1055"/>
        <v>2</v>
      </c>
      <c r="AX157" s="54">
        <f t="shared" si="1056"/>
        <v>4</v>
      </c>
      <c r="AY157" s="53">
        <f t="shared" si="1057"/>
        <v>2</v>
      </c>
      <c r="AZ157" s="54">
        <f t="shared" si="1058"/>
        <v>4</v>
      </c>
      <c r="BA157" s="53">
        <f t="shared" si="1059"/>
        <v>1</v>
      </c>
      <c r="BB157" s="54">
        <f t="shared" si="1060"/>
        <v>2</v>
      </c>
      <c r="BC157" s="49">
        <f t="shared" ref="BC157:BD157" si="1102">SUM(AS157,AU157,AW157,AY157,BA157)</f>
        <v>9</v>
      </c>
      <c r="BD157" s="50">
        <f t="shared" si="1102"/>
        <v>18</v>
      </c>
      <c r="BE157" s="68">
        <f t="shared" ref="BE157:BF157" si="1103">SUM(E157,G157,I157,O157,Q157,AC157,AQ157,BC157)</f>
        <v>26</v>
      </c>
      <c r="BF157" s="69">
        <f t="shared" si="1103"/>
        <v>52</v>
      </c>
      <c r="BG157" s="46" t="str">
        <f>BF157*'ОВгП_РАО'!$B$11</f>
        <v>#REF!</v>
      </c>
      <c r="BH157" s="46" t="str">
        <f>'ОВгП_РАО'!$B$11</f>
        <v>#REF!</v>
      </c>
    </row>
    <row r="158" ht="15.75" customHeight="1">
      <c r="A158" s="80">
        <f t="shared" si="1063"/>
        <v>46265</v>
      </c>
      <c r="B158" s="45" t="s">
        <v>129</v>
      </c>
      <c r="C158" s="46" t="s">
        <v>125</v>
      </c>
      <c r="D158" s="45" t="s">
        <v>130</v>
      </c>
      <c r="E158" s="73">
        <f t="shared" si="1014"/>
        <v>1</v>
      </c>
      <c r="F158" s="50">
        <f t="shared" si="1015"/>
        <v>2</v>
      </c>
      <c r="G158" s="73">
        <f t="shared" si="1016"/>
        <v>0</v>
      </c>
      <c r="H158" s="50">
        <f t="shared" si="1017"/>
        <v>0</v>
      </c>
      <c r="I158" s="73">
        <f t="shared" si="1018"/>
        <v>1</v>
      </c>
      <c r="J158" s="50">
        <f t="shared" si="1019"/>
        <v>2</v>
      </c>
      <c r="K158" s="53">
        <f t="shared" si="1020"/>
        <v>1</v>
      </c>
      <c r="L158" s="54">
        <f t="shared" si="1021"/>
        <v>1</v>
      </c>
      <c r="M158" s="53">
        <f t="shared" si="1022"/>
        <v>2</v>
      </c>
      <c r="N158" s="54">
        <f t="shared" si="1023"/>
        <v>4</v>
      </c>
      <c r="O158" s="49">
        <f t="shared" ref="O158:P158" si="1104">SUM(K158,M158)</f>
        <v>3</v>
      </c>
      <c r="P158" s="50">
        <f t="shared" si="1104"/>
        <v>5</v>
      </c>
      <c r="Q158" s="73">
        <f t="shared" si="1025"/>
        <v>1</v>
      </c>
      <c r="R158" s="50">
        <f t="shared" si="1026"/>
        <v>1</v>
      </c>
      <c r="S158" s="53">
        <f t="shared" si="1027"/>
        <v>1</v>
      </c>
      <c r="T158" s="54">
        <f t="shared" si="1028"/>
        <v>1</v>
      </c>
      <c r="U158" s="53">
        <f t="shared" si="1029"/>
        <v>1</v>
      </c>
      <c r="V158" s="54">
        <f t="shared" si="1030"/>
        <v>2</v>
      </c>
      <c r="W158" s="53">
        <f t="shared" si="1031"/>
        <v>1</v>
      </c>
      <c r="X158" s="54">
        <f t="shared" si="1032"/>
        <v>2</v>
      </c>
      <c r="Y158" s="53">
        <f t="shared" si="1033"/>
        <v>1</v>
      </c>
      <c r="Z158" s="54">
        <f t="shared" si="1034"/>
        <v>3</v>
      </c>
      <c r="AA158" s="53">
        <f t="shared" si="1035"/>
        <v>1</v>
      </c>
      <c r="AB158" s="54">
        <f t="shared" si="1036"/>
        <v>2</v>
      </c>
      <c r="AC158" s="49">
        <f t="shared" ref="AC158:AD158" si="1105">SUM(S158,U158,W158,Y158,AA158)</f>
        <v>5</v>
      </c>
      <c r="AD158" s="50">
        <f t="shared" si="1105"/>
        <v>10</v>
      </c>
      <c r="AE158" s="53">
        <f t="shared" si="1038"/>
        <v>0</v>
      </c>
      <c r="AF158" s="54">
        <f t="shared" si="1039"/>
        <v>0</v>
      </c>
      <c r="AG158" s="53">
        <f t="shared" si="1040"/>
        <v>1</v>
      </c>
      <c r="AH158" s="54">
        <f t="shared" si="1041"/>
        <v>3</v>
      </c>
      <c r="AI158" s="53">
        <f t="shared" si="1042"/>
        <v>0</v>
      </c>
      <c r="AJ158" s="54">
        <f t="shared" si="1043"/>
        <v>0</v>
      </c>
      <c r="AK158" s="53">
        <f t="shared" si="1044"/>
        <v>2</v>
      </c>
      <c r="AL158" s="54">
        <f t="shared" si="1045"/>
        <v>4</v>
      </c>
      <c r="AM158" s="53">
        <f t="shared" si="1046"/>
        <v>1</v>
      </c>
      <c r="AN158" s="54">
        <f t="shared" si="1047"/>
        <v>3</v>
      </c>
      <c r="AO158" s="53">
        <f t="shared" si="1048"/>
        <v>2</v>
      </c>
      <c r="AP158" s="54">
        <f t="shared" si="1049"/>
        <v>4</v>
      </c>
      <c r="AQ158" s="49">
        <f t="shared" ref="AQ158:AR158" si="1106">SUM(AG158,AI158,AK158,AM158,AO158)</f>
        <v>6</v>
      </c>
      <c r="AR158" s="50">
        <f t="shared" si="1106"/>
        <v>14</v>
      </c>
      <c r="AS158" s="53">
        <f t="shared" si="1051"/>
        <v>0</v>
      </c>
      <c r="AT158" s="54">
        <f t="shared" si="1052"/>
        <v>0</v>
      </c>
      <c r="AU158" s="53">
        <f t="shared" si="1053"/>
        <v>1</v>
      </c>
      <c r="AV158" s="54">
        <f t="shared" si="1054"/>
        <v>1</v>
      </c>
      <c r="AW158" s="53">
        <f t="shared" si="1055"/>
        <v>1</v>
      </c>
      <c r="AX158" s="54">
        <f t="shared" si="1056"/>
        <v>1</v>
      </c>
      <c r="AY158" s="53">
        <f t="shared" si="1057"/>
        <v>2</v>
      </c>
      <c r="AZ158" s="54">
        <f t="shared" si="1058"/>
        <v>4</v>
      </c>
      <c r="BA158" s="53">
        <f t="shared" si="1059"/>
        <v>1</v>
      </c>
      <c r="BB158" s="54">
        <f t="shared" si="1060"/>
        <v>1</v>
      </c>
      <c r="BC158" s="49">
        <f t="shared" ref="BC158:BD158" si="1107">SUM(AS158,AU158,AW158,AY158,BA158)</f>
        <v>5</v>
      </c>
      <c r="BD158" s="50">
        <f t="shared" si="1107"/>
        <v>7</v>
      </c>
      <c r="BE158" s="68">
        <f t="shared" ref="BE158:BF158" si="1108">SUM(E158,G158,I158,O158,Q158,AC158,AQ158,BC158)</f>
        <v>22</v>
      </c>
      <c r="BF158" s="69">
        <f t="shared" si="1108"/>
        <v>41</v>
      </c>
      <c r="BG158" s="46" t="str">
        <f>BF158*'ОВгП_РАО'!$B$12</f>
        <v>#REF!</v>
      </c>
      <c r="BH158" s="46" t="str">
        <f>'ОВгП_РАО'!$B$12</f>
        <v>#REF!</v>
      </c>
    </row>
    <row r="159" ht="15.75" customHeight="1">
      <c r="A159" s="80">
        <f t="shared" si="1063"/>
        <v>46265</v>
      </c>
      <c r="B159" s="47" t="s">
        <v>131</v>
      </c>
      <c r="C159" s="47" t="s">
        <v>122</v>
      </c>
      <c r="D159" s="47" t="s">
        <v>123</v>
      </c>
      <c r="E159" s="73">
        <f t="shared" si="1014"/>
        <v>0</v>
      </c>
      <c r="F159" s="50">
        <f t="shared" si="1015"/>
        <v>0</v>
      </c>
      <c r="G159" s="73">
        <f t="shared" si="1016"/>
        <v>1</v>
      </c>
      <c r="H159" s="50">
        <f t="shared" si="1017"/>
        <v>1</v>
      </c>
      <c r="I159" s="73">
        <f t="shared" si="1018"/>
        <v>1</v>
      </c>
      <c r="J159" s="50">
        <f t="shared" si="1019"/>
        <v>3</v>
      </c>
      <c r="K159" s="53">
        <f t="shared" si="1020"/>
        <v>1</v>
      </c>
      <c r="L159" s="54">
        <f t="shared" si="1021"/>
        <v>2</v>
      </c>
      <c r="M159" s="53">
        <f t="shared" si="1022"/>
        <v>2</v>
      </c>
      <c r="N159" s="54">
        <f t="shared" si="1023"/>
        <v>4</v>
      </c>
      <c r="O159" s="49">
        <f t="shared" ref="O159:P159" si="1109">SUM(K159,M159)</f>
        <v>3</v>
      </c>
      <c r="P159" s="50">
        <f t="shared" si="1109"/>
        <v>6</v>
      </c>
      <c r="Q159" s="73">
        <f t="shared" si="1025"/>
        <v>1</v>
      </c>
      <c r="R159" s="50">
        <f t="shared" si="1026"/>
        <v>3</v>
      </c>
      <c r="S159" s="53">
        <f t="shared" si="1027"/>
        <v>0</v>
      </c>
      <c r="T159" s="54">
        <f t="shared" si="1028"/>
        <v>0</v>
      </c>
      <c r="U159" s="53">
        <f t="shared" si="1029"/>
        <v>1</v>
      </c>
      <c r="V159" s="54">
        <f t="shared" si="1030"/>
        <v>2</v>
      </c>
      <c r="W159" s="53">
        <f t="shared" si="1031"/>
        <v>1</v>
      </c>
      <c r="X159" s="54">
        <f t="shared" si="1032"/>
        <v>3</v>
      </c>
      <c r="Y159" s="53">
        <f t="shared" si="1033"/>
        <v>0</v>
      </c>
      <c r="Z159" s="54">
        <f t="shared" si="1034"/>
        <v>0</v>
      </c>
      <c r="AA159" s="53">
        <f t="shared" si="1035"/>
        <v>1</v>
      </c>
      <c r="AB159" s="54">
        <f t="shared" si="1036"/>
        <v>1</v>
      </c>
      <c r="AC159" s="49">
        <f t="shared" ref="AC159:AD159" si="1110">SUM(S159,U159,W159,Y159,AA159)</f>
        <v>3</v>
      </c>
      <c r="AD159" s="50">
        <f t="shared" si="1110"/>
        <v>6</v>
      </c>
      <c r="AE159" s="53">
        <f t="shared" si="1038"/>
        <v>1</v>
      </c>
      <c r="AF159" s="54">
        <f t="shared" si="1039"/>
        <v>2</v>
      </c>
      <c r="AG159" s="53">
        <f t="shared" si="1040"/>
        <v>1</v>
      </c>
      <c r="AH159" s="54">
        <f t="shared" si="1041"/>
        <v>3</v>
      </c>
      <c r="AI159" s="53">
        <f t="shared" si="1042"/>
        <v>1</v>
      </c>
      <c r="AJ159" s="54">
        <f t="shared" si="1043"/>
        <v>3</v>
      </c>
      <c r="AK159" s="53">
        <f t="shared" si="1044"/>
        <v>1</v>
      </c>
      <c r="AL159" s="54">
        <f t="shared" si="1045"/>
        <v>1</v>
      </c>
      <c r="AM159" s="53">
        <f t="shared" si="1046"/>
        <v>1</v>
      </c>
      <c r="AN159" s="54">
        <f t="shared" si="1047"/>
        <v>1</v>
      </c>
      <c r="AO159" s="53">
        <f t="shared" si="1048"/>
        <v>1</v>
      </c>
      <c r="AP159" s="54">
        <f t="shared" si="1049"/>
        <v>2</v>
      </c>
      <c r="AQ159" s="49">
        <f t="shared" ref="AQ159:AR159" si="1111">SUM(AG159,AI159,AK159,AM159,AO159)</f>
        <v>5</v>
      </c>
      <c r="AR159" s="50">
        <f t="shared" si="1111"/>
        <v>10</v>
      </c>
      <c r="AS159" s="53">
        <f t="shared" si="1051"/>
        <v>2</v>
      </c>
      <c r="AT159" s="54">
        <f t="shared" si="1052"/>
        <v>4</v>
      </c>
      <c r="AU159" s="53">
        <f t="shared" si="1053"/>
        <v>0</v>
      </c>
      <c r="AV159" s="54">
        <f t="shared" si="1054"/>
        <v>0</v>
      </c>
      <c r="AW159" s="53">
        <f t="shared" si="1055"/>
        <v>0</v>
      </c>
      <c r="AX159" s="54">
        <f t="shared" si="1056"/>
        <v>0</v>
      </c>
      <c r="AY159" s="53">
        <f t="shared" si="1057"/>
        <v>1</v>
      </c>
      <c r="AZ159" s="54">
        <f t="shared" si="1058"/>
        <v>3</v>
      </c>
      <c r="BA159" s="53">
        <f t="shared" si="1059"/>
        <v>0</v>
      </c>
      <c r="BB159" s="54">
        <f t="shared" si="1060"/>
        <v>0</v>
      </c>
      <c r="BC159" s="49">
        <f t="shared" ref="BC159:BD159" si="1112">SUM(AS159,AU159,AW159,AY159,BA159)</f>
        <v>3</v>
      </c>
      <c r="BD159" s="50">
        <f t="shared" si="1112"/>
        <v>7</v>
      </c>
      <c r="BE159" s="68">
        <f t="shared" ref="BE159:BF159" si="1113">SUM(E159,G159,I159,O159,Q159,AC159,AQ159,BC159)</f>
        <v>17</v>
      </c>
      <c r="BF159" s="69">
        <f t="shared" si="1113"/>
        <v>36</v>
      </c>
      <c r="BG159" s="46" t="str">
        <f>BF159*'ОВгП_РАО'!$B$13</f>
        <v>#REF!</v>
      </c>
      <c r="BH159" s="46" t="str">
        <f>'ОВгП_РАО'!$B$13</f>
        <v>#REF!</v>
      </c>
    </row>
    <row r="160" ht="15.75" customHeight="1">
      <c r="A160" s="80">
        <f t="shared" si="1063"/>
        <v>46265</v>
      </c>
      <c r="B160" s="47" t="s">
        <v>132</v>
      </c>
      <c r="C160" s="47" t="s">
        <v>122</v>
      </c>
      <c r="D160" s="47" t="s">
        <v>123</v>
      </c>
      <c r="E160" s="73">
        <f t="shared" si="1014"/>
        <v>1</v>
      </c>
      <c r="F160" s="50">
        <f t="shared" si="1015"/>
        <v>2</v>
      </c>
      <c r="G160" s="73">
        <f t="shared" si="1016"/>
        <v>1</v>
      </c>
      <c r="H160" s="50">
        <f t="shared" si="1017"/>
        <v>1</v>
      </c>
      <c r="I160" s="73">
        <f t="shared" si="1018"/>
        <v>2</v>
      </c>
      <c r="J160" s="50">
        <f t="shared" si="1019"/>
        <v>4</v>
      </c>
      <c r="K160" s="53">
        <f t="shared" si="1020"/>
        <v>1</v>
      </c>
      <c r="L160" s="54">
        <f t="shared" si="1021"/>
        <v>2</v>
      </c>
      <c r="M160" s="53">
        <f t="shared" si="1022"/>
        <v>1</v>
      </c>
      <c r="N160" s="54">
        <f t="shared" si="1023"/>
        <v>2</v>
      </c>
      <c r="O160" s="49">
        <f t="shared" ref="O160:P160" si="1114">SUM(K160,M160)</f>
        <v>2</v>
      </c>
      <c r="P160" s="50">
        <f t="shared" si="1114"/>
        <v>4</v>
      </c>
      <c r="Q160" s="73">
        <f t="shared" si="1025"/>
        <v>0</v>
      </c>
      <c r="R160" s="50">
        <f t="shared" si="1026"/>
        <v>0</v>
      </c>
      <c r="S160" s="53">
        <f t="shared" si="1027"/>
        <v>1</v>
      </c>
      <c r="T160" s="54">
        <f t="shared" si="1028"/>
        <v>1</v>
      </c>
      <c r="U160" s="53">
        <f t="shared" si="1029"/>
        <v>1</v>
      </c>
      <c r="V160" s="54">
        <f t="shared" si="1030"/>
        <v>1</v>
      </c>
      <c r="W160" s="53">
        <f t="shared" si="1031"/>
        <v>1</v>
      </c>
      <c r="X160" s="54">
        <f t="shared" si="1032"/>
        <v>2</v>
      </c>
      <c r="Y160" s="53">
        <f t="shared" si="1033"/>
        <v>0</v>
      </c>
      <c r="Z160" s="54">
        <f t="shared" si="1034"/>
        <v>0</v>
      </c>
      <c r="AA160" s="53">
        <f t="shared" si="1035"/>
        <v>1</v>
      </c>
      <c r="AB160" s="54">
        <f t="shared" si="1036"/>
        <v>2</v>
      </c>
      <c r="AC160" s="49">
        <f t="shared" ref="AC160:AD160" si="1115">SUM(S160,U160,W160,Y160,AA160)</f>
        <v>4</v>
      </c>
      <c r="AD160" s="50">
        <f t="shared" si="1115"/>
        <v>6</v>
      </c>
      <c r="AE160" s="53">
        <f t="shared" si="1038"/>
        <v>1</v>
      </c>
      <c r="AF160" s="54">
        <f t="shared" si="1039"/>
        <v>3</v>
      </c>
      <c r="AG160" s="53">
        <f t="shared" si="1040"/>
        <v>1</v>
      </c>
      <c r="AH160" s="54">
        <f t="shared" si="1041"/>
        <v>3</v>
      </c>
      <c r="AI160" s="53">
        <f t="shared" si="1042"/>
        <v>1</v>
      </c>
      <c r="AJ160" s="54">
        <f t="shared" si="1043"/>
        <v>2</v>
      </c>
      <c r="AK160" s="53">
        <f t="shared" si="1044"/>
        <v>0</v>
      </c>
      <c r="AL160" s="54">
        <f t="shared" si="1045"/>
        <v>0</v>
      </c>
      <c r="AM160" s="53">
        <f t="shared" si="1046"/>
        <v>1</v>
      </c>
      <c r="AN160" s="54">
        <f t="shared" si="1047"/>
        <v>1</v>
      </c>
      <c r="AO160" s="53">
        <f t="shared" si="1048"/>
        <v>0</v>
      </c>
      <c r="AP160" s="54">
        <f t="shared" si="1049"/>
        <v>0</v>
      </c>
      <c r="AQ160" s="49">
        <f t="shared" ref="AQ160:AR160" si="1116">SUM(AG160,AI160,AK160,AM160,AO160)</f>
        <v>3</v>
      </c>
      <c r="AR160" s="50">
        <f t="shared" si="1116"/>
        <v>6</v>
      </c>
      <c r="AS160" s="53">
        <f t="shared" si="1051"/>
        <v>0</v>
      </c>
      <c r="AT160" s="54">
        <f t="shared" si="1052"/>
        <v>0</v>
      </c>
      <c r="AU160" s="53">
        <f t="shared" si="1053"/>
        <v>2</v>
      </c>
      <c r="AV160" s="54">
        <f t="shared" si="1054"/>
        <v>4</v>
      </c>
      <c r="AW160" s="53">
        <f t="shared" si="1055"/>
        <v>2</v>
      </c>
      <c r="AX160" s="54">
        <f t="shared" si="1056"/>
        <v>4</v>
      </c>
      <c r="AY160" s="53">
        <f t="shared" si="1057"/>
        <v>1</v>
      </c>
      <c r="AZ160" s="54">
        <f t="shared" si="1058"/>
        <v>3</v>
      </c>
      <c r="BA160" s="53">
        <f t="shared" si="1059"/>
        <v>1</v>
      </c>
      <c r="BB160" s="54">
        <f t="shared" si="1060"/>
        <v>2</v>
      </c>
      <c r="BC160" s="49">
        <f t="shared" ref="BC160:BD160" si="1117">SUM(AS160,AU160,AW160,AY160,BA160)</f>
        <v>6</v>
      </c>
      <c r="BD160" s="50">
        <f t="shared" si="1117"/>
        <v>13</v>
      </c>
      <c r="BE160" s="68">
        <f t="shared" ref="BE160:BF160" si="1118">SUM(E160,G160,I160,O160,Q160,AC160,AQ160,BC160)</f>
        <v>19</v>
      </c>
      <c r="BF160" s="69">
        <f t="shared" si="1118"/>
        <v>36</v>
      </c>
      <c r="BG160" s="46" t="str">
        <f>BF160*'ОВгП_РАО'!$B$14</f>
        <v>#REF!</v>
      </c>
      <c r="BH160" s="46" t="str">
        <f>'ОВгП_РАО'!$B$14</f>
        <v>#REF!</v>
      </c>
    </row>
    <row r="161" ht="15.75" customHeight="1">
      <c r="A161" s="80">
        <f t="shared" si="1063"/>
        <v>46265</v>
      </c>
      <c r="B161" s="47" t="s">
        <v>133</v>
      </c>
      <c r="C161" s="47" t="s">
        <v>122</v>
      </c>
      <c r="D161" s="47" t="s">
        <v>123</v>
      </c>
      <c r="E161" s="73">
        <f t="shared" si="1014"/>
        <v>1</v>
      </c>
      <c r="F161" s="50">
        <f t="shared" si="1015"/>
        <v>2</v>
      </c>
      <c r="G161" s="73">
        <f t="shared" si="1016"/>
        <v>2</v>
      </c>
      <c r="H161" s="50">
        <f t="shared" si="1017"/>
        <v>4</v>
      </c>
      <c r="I161" s="73">
        <f t="shared" si="1018"/>
        <v>1</v>
      </c>
      <c r="J161" s="50">
        <f t="shared" si="1019"/>
        <v>1</v>
      </c>
      <c r="K161" s="53">
        <f t="shared" si="1020"/>
        <v>1</v>
      </c>
      <c r="L161" s="54">
        <f t="shared" si="1021"/>
        <v>2</v>
      </c>
      <c r="M161" s="53">
        <f t="shared" si="1022"/>
        <v>1</v>
      </c>
      <c r="N161" s="54">
        <f t="shared" si="1023"/>
        <v>2</v>
      </c>
      <c r="O161" s="49">
        <f t="shared" ref="O161:P161" si="1119">SUM(K161,M161)</f>
        <v>2</v>
      </c>
      <c r="P161" s="50">
        <f t="shared" si="1119"/>
        <v>4</v>
      </c>
      <c r="Q161" s="73">
        <f t="shared" si="1025"/>
        <v>1</v>
      </c>
      <c r="R161" s="50">
        <f t="shared" si="1026"/>
        <v>1</v>
      </c>
      <c r="S161" s="53">
        <f t="shared" si="1027"/>
        <v>1</v>
      </c>
      <c r="T161" s="54">
        <f t="shared" si="1028"/>
        <v>2</v>
      </c>
      <c r="U161" s="53">
        <f t="shared" si="1029"/>
        <v>0</v>
      </c>
      <c r="V161" s="54">
        <f t="shared" si="1030"/>
        <v>0</v>
      </c>
      <c r="W161" s="53">
        <f t="shared" si="1031"/>
        <v>1</v>
      </c>
      <c r="X161" s="54">
        <f t="shared" si="1032"/>
        <v>2</v>
      </c>
      <c r="Y161" s="53">
        <f t="shared" si="1033"/>
        <v>1</v>
      </c>
      <c r="Z161" s="54">
        <f t="shared" si="1034"/>
        <v>3</v>
      </c>
      <c r="AA161" s="53">
        <f t="shared" si="1035"/>
        <v>1</v>
      </c>
      <c r="AB161" s="54">
        <f t="shared" si="1036"/>
        <v>3</v>
      </c>
      <c r="AC161" s="49">
        <f t="shared" ref="AC161:AD161" si="1120">SUM(S161,U161,W161,Y161,AA161)</f>
        <v>4</v>
      </c>
      <c r="AD161" s="50">
        <f t="shared" si="1120"/>
        <v>10</v>
      </c>
      <c r="AE161" s="53">
        <f t="shared" si="1038"/>
        <v>0</v>
      </c>
      <c r="AF161" s="54">
        <f t="shared" si="1039"/>
        <v>0</v>
      </c>
      <c r="AG161" s="53">
        <f t="shared" si="1040"/>
        <v>1</v>
      </c>
      <c r="AH161" s="54">
        <f t="shared" si="1041"/>
        <v>3</v>
      </c>
      <c r="AI161" s="53">
        <f t="shared" si="1042"/>
        <v>0</v>
      </c>
      <c r="AJ161" s="54">
        <f t="shared" si="1043"/>
        <v>0</v>
      </c>
      <c r="AK161" s="53">
        <f t="shared" si="1044"/>
        <v>1</v>
      </c>
      <c r="AL161" s="54">
        <f t="shared" si="1045"/>
        <v>2</v>
      </c>
      <c r="AM161" s="53">
        <f t="shared" si="1046"/>
        <v>1</v>
      </c>
      <c r="AN161" s="54">
        <f t="shared" si="1047"/>
        <v>3</v>
      </c>
      <c r="AO161" s="53">
        <f t="shared" si="1048"/>
        <v>1</v>
      </c>
      <c r="AP161" s="54">
        <f t="shared" si="1049"/>
        <v>1</v>
      </c>
      <c r="AQ161" s="49">
        <f t="shared" ref="AQ161:AR161" si="1121">SUM(AG161,AI161,AK161,AM161,AO161)</f>
        <v>4</v>
      </c>
      <c r="AR161" s="50">
        <f t="shared" si="1121"/>
        <v>9</v>
      </c>
      <c r="AS161" s="53">
        <f t="shared" si="1051"/>
        <v>1</v>
      </c>
      <c r="AT161" s="54">
        <f t="shared" si="1052"/>
        <v>3</v>
      </c>
      <c r="AU161" s="53">
        <f t="shared" si="1053"/>
        <v>2</v>
      </c>
      <c r="AV161" s="54">
        <f t="shared" si="1054"/>
        <v>4</v>
      </c>
      <c r="AW161" s="53">
        <f t="shared" si="1055"/>
        <v>1</v>
      </c>
      <c r="AX161" s="54">
        <f t="shared" si="1056"/>
        <v>3</v>
      </c>
      <c r="AY161" s="53">
        <f t="shared" si="1057"/>
        <v>1</v>
      </c>
      <c r="AZ161" s="54">
        <f t="shared" si="1058"/>
        <v>3</v>
      </c>
      <c r="BA161" s="53">
        <f t="shared" si="1059"/>
        <v>2</v>
      </c>
      <c r="BB161" s="54">
        <f t="shared" si="1060"/>
        <v>4</v>
      </c>
      <c r="BC161" s="49">
        <f t="shared" ref="BC161:BD161" si="1122">SUM(AS161,AU161,AW161,AY161,BA161)</f>
        <v>7</v>
      </c>
      <c r="BD161" s="50">
        <f t="shared" si="1122"/>
        <v>17</v>
      </c>
      <c r="BE161" s="68">
        <f t="shared" ref="BE161:BF161" si="1123">SUM(E161,G161,I161,O161,Q161,AC161,AQ161,BC161)</f>
        <v>22</v>
      </c>
      <c r="BF161" s="69">
        <f t="shared" si="1123"/>
        <v>48</v>
      </c>
      <c r="BG161" s="46" t="str">
        <f>BF161*'ОВгП_РАО'!$B$15</f>
        <v>#REF!</v>
      </c>
      <c r="BH161" s="46" t="str">
        <f>'ОВгП_РАО'!$B$15</f>
        <v>#REF!</v>
      </c>
    </row>
    <row r="162" ht="15.75" customHeight="1">
      <c r="A162" s="80">
        <f t="shared" si="1063"/>
        <v>46265</v>
      </c>
      <c r="B162" s="47" t="s">
        <v>134</v>
      </c>
      <c r="C162" s="47" t="s">
        <v>122</v>
      </c>
      <c r="D162" s="47" t="s">
        <v>123</v>
      </c>
      <c r="E162" s="73">
        <f t="shared" si="1014"/>
        <v>1</v>
      </c>
      <c r="F162" s="50">
        <f t="shared" si="1015"/>
        <v>1</v>
      </c>
      <c r="G162" s="73">
        <f t="shared" si="1016"/>
        <v>1</v>
      </c>
      <c r="H162" s="50">
        <f t="shared" si="1017"/>
        <v>2</v>
      </c>
      <c r="I162" s="73">
        <f t="shared" si="1018"/>
        <v>0</v>
      </c>
      <c r="J162" s="50">
        <f t="shared" si="1019"/>
        <v>0</v>
      </c>
      <c r="K162" s="53">
        <f t="shared" si="1020"/>
        <v>1</v>
      </c>
      <c r="L162" s="54">
        <f t="shared" si="1021"/>
        <v>3</v>
      </c>
      <c r="M162" s="53">
        <f t="shared" si="1022"/>
        <v>1</v>
      </c>
      <c r="N162" s="54">
        <f t="shared" si="1023"/>
        <v>3</v>
      </c>
      <c r="O162" s="49">
        <f t="shared" ref="O162:P162" si="1124">SUM(K162,M162)</f>
        <v>2</v>
      </c>
      <c r="P162" s="50">
        <f t="shared" si="1124"/>
        <v>6</v>
      </c>
      <c r="Q162" s="73">
        <f t="shared" si="1025"/>
        <v>1</v>
      </c>
      <c r="R162" s="50">
        <f t="shared" si="1026"/>
        <v>2</v>
      </c>
      <c r="S162" s="53">
        <f t="shared" si="1027"/>
        <v>1</v>
      </c>
      <c r="T162" s="54">
        <f t="shared" si="1028"/>
        <v>2</v>
      </c>
      <c r="U162" s="53">
        <f t="shared" si="1029"/>
        <v>1</v>
      </c>
      <c r="V162" s="54">
        <f t="shared" si="1030"/>
        <v>1</v>
      </c>
      <c r="W162" s="53">
        <f t="shared" si="1031"/>
        <v>2</v>
      </c>
      <c r="X162" s="54">
        <f t="shared" si="1032"/>
        <v>4</v>
      </c>
      <c r="Y162" s="53">
        <f t="shared" si="1033"/>
        <v>1</v>
      </c>
      <c r="Z162" s="54">
        <f t="shared" si="1034"/>
        <v>3</v>
      </c>
      <c r="AA162" s="53">
        <f t="shared" si="1035"/>
        <v>1</v>
      </c>
      <c r="AB162" s="54">
        <f t="shared" si="1036"/>
        <v>2</v>
      </c>
      <c r="AC162" s="49">
        <f t="shared" ref="AC162:AD162" si="1125">SUM(S162,U162,W162,Y162,AA162)</f>
        <v>6</v>
      </c>
      <c r="AD162" s="50">
        <f t="shared" si="1125"/>
        <v>12</v>
      </c>
      <c r="AE162" s="53">
        <f t="shared" si="1038"/>
        <v>0</v>
      </c>
      <c r="AF162" s="54">
        <f t="shared" si="1039"/>
        <v>0</v>
      </c>
      <c r="AG162" s="53">
        <f t="shared" si="1040"/>
        <v>1</v>
      </c>
      <c r="AH162" s="54">
        <f t="shared" si="1041"/>
        <v>2</v>
      </c>
      <c r="AI162" s="53">
        <f t="shared" si="1042"/>
        <v>1</v>
      </c>
      <c r="AJ162" s="54">
        <f t="shared" si="1043"/>
        <v>3</v>
      </c>
      <c r="AK162" s="53">
        <f t="shared" si="1044"/>
        <v>0</v>
      </c>
      <c r="AL162" s="54">
        <f t="shared" si="1045"/>
        <v>0</v>
      </c>
      <c r="AM162" s="53">
        <f t="shared" si="1046"/>
        <v>1</v>
      </c>
      <c r="AN162" s="54">
        <f t="shared" si="1047"/>
        <v>1</v>
      </c>
      <c r="AO162" s="53">
        <f t="shared" si="1048"/>
        <v>1</v>
      </c>
      <c r="AP162" s="54">
        <f t="shared" si="1049"/>
        <v>2</v>
      </c>
      <c r="AQ162" s="49">
        <f t="shared" ref="AQ162:AR162" si="1126">SUM(AG162,AI162,AK162,AM162,AO162)</f>
        <v>4</v>
      </c>
      <c r="AR162" s="50">
        <f t="shared" si="1126"/>
        <v>8</v>
      </c>
      <c r="AS162" s="53">
        <f t="shared" si="1051"/>
        <v>1</v>
      </c>
      <c r="AT162" s="54">
        <f t="shared" si="1052"/>
        <v>1</v>
      </c>
      <c r="AU162" s="53">
        <f t="shared" si="1053"/>
        <v>0</v>
      </c>
      <c r="AV162" s="54">
        <f t="shared" si="1054"/>
        <v>0</v>
      </c>
      <c r="AW162" s="53">
        <f t="shared" si="1055"/>
        <v>1</v>
      </c>
      <c r="AX162" s="54">
        <f t="shared" si="1056"/>
        <v>1</v>
      </c>
      <c r="AY162" s="53">
        <f t="shared" si="1057"/>
        <v>0</v>
      </c>
      <c r="AZ162" s="54">
        <f t="shared" si="1058"/>
        <v>0</v>
      </c>
      <c r="BA162" s="53">
        <f t="shared" si="1059"/>
        <v>0</v>
      </c>
      <c r="BB162" s="54">
        <f t="shared" si="1060"/>
        <v>0</v>
      </c>
      <c r="BC162" s="49">
        <f t="shared" ref="BC162:BD162" si="1127">SUM(AS162,AU162,AW162,AY162,BA162)</f>
        <v>2</v>
      </c>
      <c r="BD162" s="50">
        <f t="shared" si="1127"/>
        <v>2</v>
      </c>
      <c r="BE162" s="68">
        <f t="shared" ref="BE162:BF162" si="1128">SUM(E162,G162,I162,O162,Q162,AC162,AQ162,BC162)</f>
        <v>17</v>
      </c>
      <c r="BF162" s="69">
        <f t="shared" si="1128"/>
        <v>33</v>
      </c>
      <c r="BG162" s="46" t="str">
        <f>BF162*'ОВгП_РАО'!$B$16</f>
        <v>#REF!</v>
      </c>
      <c r="BH162" s="46" t="str">
        <f>'ОВгП_РАО'!$B$16</f>
        <v>#REF!</v>
      </c>
    </row>
    <row r="163" ht="15.75" customHeight="1">
      <c r="A163" s="80">
        <f t="shared" si="1063"/>
        <v>46265</v>
      </c>
      <c r="B163" s="129" t="s">
        <v>135</v>
      </c>
      <c r="C163" s="47" t="s">
        <v>122</v>
      </c>
      <c r="D163" s="47" t="s">
        <v>136</v>
      </c>
      <c r="E163" s="73">
        <f t="shared" si="1014"/>
        <v>0</v>
      </c>
      <c r="F163" s="50">
        <f t="shared" si="1015"/>
        <v>0</v>
      </c>
      <c r="G163" s="73">
        <f t="shared" si="1016"/>
        <v>1</v>
      </c>
      <c r="H163" s="50">
        <f t="shared" si="1017"/>
        <v>1</v>
      </c>
      <c r="I163" s="73">
        <f t="shared" si="1018"/>
        <v>2</v>
      </c>
      <c r="J163" s="50">
        <f t="shared" si="1019"/>
        <v>4</v>
      </c>
      <c r="K163" s="53">
        <f t="shared" si="1020"/>
        <v>2</v>
      </c>
      <c r="L163" s="54">
        <f t="shared" si="1021"/>
        <v>4</v>
      </c>
      <c r="M163" s="53">
        <f t="shared" si="1022"/>
        <v>0</v>
      </c>
      <c r="N163" s="54">
        <f t="shared" si="1023"/>
        <v>0</v>
      </c>
      <c r="O163" s="49">
        <f t="shared" ref="O163:P163" si="1129">SUM(K163,M163)</f>
        <v>2</v>
      </c>
      <c r="P163" s="50">
        <f t="shared" si="1129"/>
        <v>4</v>
      </c>
      <c r="Q163" s="73">
        <f t="shared" si="1025"/>
        <v>0</v>
      </c>
      <c r="R163" s="50">
        <f t="shared" si="1026"/>
        <v>0</v>
      </c>
      <c r="S163" s="53">
        <f t="shared" si="1027"/>
        <v>2</v>
      </c>
      <c r="T163" s="54">
        <f t="shared" si="1028"/>
        <v>4</v>
      </c>
      <c r="U163" s="53">
        <f t="shared" si="1029"/>
        <v>1</v>
      </c>
      <c r="V163" s="54">
        <f t="shared" si="1030"/>
        <v>1</v>
      </c>
      <c r="W163" s="53">
        <f t="shared" si="1031"/>
        <v>1</v>
      </c>
      <c r="X163" s="54">
        <f t="shared" si="1032"/>
        <v>3</v>
      </c>
      <c r="Y163" s="53">
        <f t="shared" si="1033"/>
        <v>1</v>
      </c>
      <c r="Z163" s="54">
        <f t="shared" si="1034"/>
        <v>2</v>
      </c>
      <c r="AA163" s="53">
        <f t="shared" si="1035"/>
        <v>1</v>
      </c>
      <c r="AB163" s="54">
        <f t="shared" si="1036"/>
        <v>2</v>
      </c>
      <c r="AC163" s="49">
        <f t="shared" ref="AC163:AD163" si="1130">SUM(S163,U163,W163,Y163,AA163)</f>
        <v>6</v>
      </c>
      <c r="AD163" s="50">
        <f t="shared" si="1130"/>
        <v>12</v>
      </c>
      <c r="AE163" s="53">
        <f t="shared" si="1038"/>
        <v>2</v>
      </c>
      <c r="AF163" s="54">
        <f t="shared" si="1039"/>
        <v>4</v>
      </c>
      <c r="AG163" s="53">
        <f t="shared" si="1040"/>
        <v>0</v>
      </c>
      <c r="AH163" s="54">
        <f t="shared" si="1041"/>
        <v>0</v>
      </c>
      <c r="AI163" s="53">
        <f t="shared" si="1042"/>
        <v>1</v>
      </c>
      <c r="AJ163" s="54">
        <f t="shared" si="1043"/>
        <v>1</v>
      </c>
      <c r="AK163" s="53">
        <f t="shared" si="1044"/>
        <v>1</v>
      </c>
      <c r="AL163" s="54">
        <f t="shared" si="1045"/>
        <v>1</v>
      </c>
      <c r="AM163" s="53">
        <f t="shared" si="1046"/>
        <v>1</v>
      </c>
      <c r="AN163" s="54">
        <f t="shared" si="1047"/>
        <v>1</v>
      </c>
      <c r="AO163" s="53">
        <f t="shared" si="1048"/>
        <v>1</v>
      </c>
      <c r="AP163" s="54">
        <f t="shared" si="1049"/>
        <v>1</v>
      </c>
      <c r="AQ163" s="49">
        <f t="shared" ref="AQ163:AR163" si="1131">SUM(AG163,AI163,AK163,AM163,AO163)</f>
        <v>4</v>
      </c>
      <c r="AR163" s="50">
        <f t="shared" si="1131"/>
        <v>4</v>
      </c>
      <c r="AS163" s="53">
        <f t="shared" si="1051"/>
        <v>1</v>
      </c>
      <c r="AT163" s="54">
        <f t="shared" si="1052"/>
        <v>1</v>
      </c>
      <c r="AU163" s="53">
        <f t="shared" si="1053"/>
        <v>2</v>
      </c>
      <c r="AV163" s="54">
        <f t="shared" si="1054"/>
        <v>4</v>
      </c>
      <c r="AW163" s="53">
        <f t="shared" si="1055"/>
        <v>2</v>
      </c>
      <c r="AX163" s="54">
        <f t="shared" si="1056"/>
        <v>4</v>
      </c>
      <c r="AY163" s="53">
        <f t="shared" si="1057"/>
        <v>1</v>
      </c>
      <c r="AZ163" s="54">
        <f t="shared" si="1058"/>
        <v>3</v>
      </c>
      <c r="BA163" s="53">
        <f t="shared" si="1059"/>
        <v>0</v>
      </c>
      <c r="BB163" s="54">
        <f t="shared" si="1060"/>
        <v>0</v>
      </c>
      <c r="BC163" s="49">
        <f t="shared" ref="BC163:BD163" si="1132">SUM(AS163,AU163,AW163,AY163,BA163)</f>
        <v>6</v>
      </c>
      <c r="BD163" s="50">
        <f t="shared" si="1132"/>
        <v>12</v>
      </c>
      <c r="BE163" s="68">
        <f t="shared" ref="BE163:BF163" si="1133">SUM(E163,G163,I163,O163,Q163,AC163,AQ163,BC163)</f>
        <v>21</v>
      </c>
      <c r="BF163" s="69">
        <f t="shared" si="1133"/>
        <v>37</v>
      </c>
      <c r="BG163" s="46" t="str">
        <f>BF163*'ОВгП_РАО'!$B$17</f>
        <v>#REF!</v>
      </c>
      <c r="BH163" s="46" t="str">
        <f>'ОВгП_РАО'!$B$17</f>
        <v>#REF!</v>
      </c>
    </row>
    <row r="164" ht="15.75" customHeight="1">
      <c r="A164" s="80">
        <f t="shared" si="1063"/>
        <v>46265</v>
      </c>
      <c r="B164" s="129" t="s">
        <v>137</v>
      </c>
      <c r="C164" s="47" t="s">
        <v>122</v>
      </c>
      <c r="D164" s="47" t="s">
        <v>136</v>
      </c>
      <c r="E164" s="73">
        <f t="shared" si="1014"/>
        <v>2</v>
      </c>
      <c r="F164" s="50">
        <f t="shared" si="1015"/>
        <v>4</v>
      </c>
      <c r="G164" s="73">
        <f t="shared" si="1016"/>
        <v>0</v>
      </c>
      <c r="H164" s="50">
        <f t="shared" si="1017"/>
        <v>0</v>
      </c>
      <c r="I164" s="73">
        <f t="shared" si="1018"/>
        <v>2</v>
      </c>
      <c r="J164" s="50">
        <f t="shared" si="1019"/>
        <v>4</v>
      </c>
      <c r="K164" s="53">
        <f t="shared" si="1020"/>
        <v>0</v>
      </c>
      <c r="L164" s="54">
        <f t="shared" si="1021"/>
        <v>0</v>
      </c>
      <c r="M164" s="53">
        <f t="shared" si="1022"/>
        <v>0</v>
      </c>
      <c r="N164" s="54">
        <f t="shared" si="1023"/>
        <v>0</v>
      </c>
      <c r="O164" s="49">
        <f t="shared" ref="O164:P164" si="1134">SUM(K164,M164)</f>
        <v>0</v>
      </c>
      <c r="P164" s="50">
        <f t="shared" si="1134"/>
        <v>0</v>
      </c>
      <c r="Q164" s="73">
        <f t="shared" si="1025"/>
        <v>0</v>
      </c>
      <c r="R164" s="50">
        <f t="shared" si="1026"/>
        <v>0</v>
      </c>
      <c r="S164" s="53">
        <f t="shared" si="1027"/>
        <v>2</v>
      </c>
      <c r="T164" s="54">
        <f t="shared" si="1028"/>
        <v>4</v>
      </c>
      <c r="U164" s="53">
        <f t="shared" si="1029"/>
        <v>1</v>
      </c>
      <c r="V164" s="54">
        <f t="shared" si="1030"/>
        <v>1</v>
      </c>
      <c r="W164" s="53">
        <f t="shared" si="1031"/>
        <v>1</v>
      </c>
      <c r="X164" s="54">
        <f t="shared" si="1032"/>
        <v>2</v>
      </c>
      <c r="Y164" s="53">
        <f t="shared" si="1033"/>
        <v>0</v>
      </c>
      <c r="Z164" s="54">
        <f t="shared" si="1034"/>
        <v>0</v>
      </c>
      <c r="AA164" s="53">
        <f t="shared" si="1035"/>
        <v>1</v>
      </c>
      <c r="AB164" s="54">
        <f t="shared" si="1036"/>
        <v>3</v>
      </c>
      <c r="AC164" s="49">
        <f t="shared" ref="AC164:AD164" si="1135">SUM(S164,U164,W164,Y164,AA164)</f>
        <v>5</v>
      </c>
      <c r="AD164" s="50">
        <f t="shared" si="1135"/>
        <v>10</v>
      </c>
      <c r="AE164" s="53">
        <f t="shared" si="1038"/>
        <v>1</v>
      </c>
      <c r="AF164" s="54">
        <f t="shared" si="1039"/>
        <v>2</v>
      </c>
      <c r="AG164" s="53">
        <f t="shared" si="1040"/>
        <v>1</v>
      </c>
      <c r="AH164" s="54">
        <f t="shared" si="1041"/>
        <v>2</v>
      </c>
      <c r="AI164" s="53">
        <f t="shared" si="1042"/>
        <v>0</v>
      </c>
      <c r="AJ164" s="54">
        <f t="shared" si="1043"/>
        <v>0</v>
      </c>
      <c r="AK164" s="53">
        <f t="shared" si="1044"/>
        <v>2</v>
      </c>
      <c r="AL164" s="54">
        <f t="shared" si="1045"/>
        <v>4</v>
      </c>
      <c r="AM164" s="53">
        <f t="shared" si="1046"/>
        <v>1</v>
      </c>
      <c r="AN164" s="54">
        <f t="shared" si="1047"/>
        <v>1</v>
      </c>
      <c r="AO164" s="53">
        <f t="shared" si="1048"/>
        <v>1</v>
      </c>
      <c r="AP164" s="54">
        <f t="shared" si="1049"/>
        <v>3</v>
      </c>
      <c r="AQ164" s="49">
        <f t="shared" ref="AQ164:AR164" si="1136">SUM(AG164,AI164,AK164,AM164,AO164)</f>
        <v>5</v>
      </c>
      <c r="AR164" s="50">
        <f t="shared" si="1136"/>
        <v>10</v>
      </c>
      <c r="AS164" s="53">
        <f t="shared" si="1051"/>
        <v>2</v>
      </c>
      <c r="AT164" s="54">
        <f t="shared" si="1052"/>
        <v>4</v>
      </c>
      <c r="AU164" s="53">
        <f t="shared" si="1053"/>
        <v>0</v>
      </c>
      <c r="AV164" s="54">
        <f t="shared" si="1054"/>
        <v>0</v>
      </c>
      <c r="AW164" s="53">
        <f t="shared" si="1055"/>
        <v>0</v>
      </c>
      <c r="AX164" s="54">
        <f t="shared" si="1056"/>
        <v>0</v>
      </c>
      <c r="AY164" s="53">
        <f t="shared" si="1057"/>
        <v>2</v>
      </c>
      <c r="AZ164" s="54">
        <f t="shared" si="1058"/>
        <v>4</v>
      </c>
      <c r="BA164" s="53">
        <f t="shared" si="1059"/>
        <v>1</v>
      </c>
      <c r="BB164" s="54">
        <f t="shared" si="1060"/>
        <v>1</v>
      </c>
      <c r="BC164" s="49">
        <f t="shared" ref="BC164:BD164" si="1137">SUM(AS164,AU164,AW164,AY164,BA164)</f>
        <v>5</v>
      </c>
      <c r="BD164" s="50">
        <f t="shared" si="1137"/>
        <v>9</v>
      </c>
      <c r="BE164" s="68">
        <f t="shared" ref="BE164:BF164" si="1138">SUM(E164,G164,I164,O164,Q164,AC164,AQ164,BC164)</f>
        <v>19</v>
      </c>
      <c r="BF164" s="69">
        <f t="shared" si="1138"/>
        <v>37</v>
      </c>
      <c r="BG164" s="46" t="str">
        <f>BF164*'ОВгП_РАО'!$B$18</f>
        <v>#REF!</v>
      </c>
      <c r="BH164" s="46" t="str">
        <f>'ОВгП_РАО'!$B$18</f>
        <v>#REF!</v>
      </c>
    </row>
    <row r="165" ht="15.75" customHeight="1">
      <c r="A165" s="80">
        <f t="shared" si="1063"/>
        <v>46265</v>
      </c>
      <c r="B165" s="129" t="s">
        <v>138</v>
      </c>
      <c r="C165" s="47" t="s">
        <v>122</v>
      </c>
      <c r="D165" s="47" t="s">
        <v>139</v>
      </c>
      <c r="E165" s="73">
        <f t="shared" si="1014"/>
        <v>1</v>
      </c>
      <c r="F165" s="50">
        <f t="shared" si="1015"/>
        <v>1</v>
      </c>
      <c r="G165" s="73">
        <f t="shared" si="1016"/>
        <v>0</v>
      </c>
      <c r="H165" s="50">
        <f t="shared" si="1017"/>
        <v>0</v>
      </c>
      <c r="I165" s="73">
        <f t="shared" si="1018"/>
        <v>2</v>
      </c>
      <c r="J165" s="50">
        <f t="shared" si="1019"/>
        <v>4</v>
      </c>
      <c r="K165" s="53">
        <f t="shared" si="1020"/>
        <v>1</v>
      </c>
      <c r="L165" s="54">
        <f t="shared" si="1021"/>
        <v>1</v>
      </c>
      <c r="M165" s="53">
        <f t="shared" si="1022"/>
        <v>2</v>
      </c>
      <c r="N165" s="54">
        <f t="shared" si="1023"/>
        <v>4</v>
      </c>
      <c r="O165" s="49">
        <f t="shared" ref="O165:P165" si="1139">SUM(K165,M165)</f>
        <v>3</v>
      </c>
      <c r="P165" s="50">
        <f t="shared" si="1139"/>
        <v>5</v>
      </c>
      <c r="Q165" s="73">
        <f t="shared" si="1025"/>
        <v>1</v>
      </c>
      <c r="R165" s="50">
        <f t="shared" si="1026"/>
        <v>2</v>
      </c>
      <c r="S165" s="53">
        <f t="shared" si="1027"/>
        <v>1</v>
      </c>
      <c r="T165" s="54">
        <f t="shared" si="1028"/>
        <v>2</v>
      </c>
      <c r="U165" s="53">
        <f t="shared" si="1029"/>
        <v>1</v>
      </c>
      <c r="V165" s="54">
        <f t="shared" si="1030"/>
        <v>3</v>
      </c>
      <c r="W165" s="53">
        <f t="shared" si="1031"/>
        <v>1</v>
      </c>
      <c r="X165" s="54">
        <f t="shared" si="1032"/>
        <v>1</v>
      </c>
      <c r="Y165" s="53">
        <f t="shared" si="1033"/>
        <v>1</v>
      </c>
      <c r="Z165" s="54">
        <f t="shared" si="1034"/>
        <v>3</v>
      </c>
      <c r="AA165" s="53">
        <f t="shared" si="1035"/>
        <v>1</v>
      </c>
      <c r="AB165" s="54">
        <f t="shared" si="1036"/>
        <v>3</v>
      </c>
      <c r="AC165" s="49">
        <f t="shared" ref="AC165:AD165" si="1140">SUM(S165,U165,W165,Y165,AA165)</f>
        <v>5</v>
      </c>
      <c r="AD165" s="50">
        <f t="shared" si="1140"/>
        <v>12</v>
      </c>
      <c r="AE165" s="53">
        <f t="shared" si="1038"/>
        <v>1</v>
      </c>
      <c r="AF165" s="54">
        <f t="shared" si="1039"/>
        <v>1</v>
      </c>
      <c r="AG165" s="53">
        <f t="shared" si="1040"/>
        <v>1</v>
      </c>
      <c r="AH165" s="54">
        <f t="shared" si="1041"/>
        <v>3</v>
      </c>
      <c r="AI165" s="53">
        <f t="shared" si="1042"/>
        <v>0</v>
      </c>
      <c r="AJ165" s="54">
        <f t="shared" si="1043"/>
        <v>0</v>
      </c>
      <c r="AK165" s="53">
        <f t="shared" si="1044"/>
        <v>0</v>
      </c>
      <c r="AL165" s="54">
        <f t="shared" si="1045"/>
        <v>0</v>
      </c>
      <c r="AM165" s="53">
        <f t="shared" si="1046"/>
        <v>2</v>
      </c>
      <c r="AN165" s="54">
        <f t="shared" si="1047"/>
        <v>4</v>
      </c>
      <c r="AO165" s="53">
        <f t="shared" si="1048"/>
        <v>1</v>
      </c>
      <c r="AP165" s="54">
        <f t="shared" si="1049"/>
        <v>3</v>
      </c>
      <c r="AQ165" s="49">
        <f t="shared" ref="AQ165:AR165" si="1141">SUM(AG165,AI165,AK165,AM165,AO165)</f>
        <v>4</v>
      </c>
      <c r="AR165" s="50">
        <f t="shared" si="1141"/>
        <v>10</v>
      </c>
      <c r="AS165" s="53">
        <f t="shared" si="1051"/>
        <v>1</v>
      </c>
      <c r="AT165" s="54">
        <f t="shared" si="1052"/>
        <v>2</v>
      </c>
      <c r="AU165" s="53">
        <f t="shared" si="1053"/>
        <v>0</v>
      </c>
      <c r="AV165" s="54">
        <f t="shared" si="1054"/>
        <v>0</v>
      </c>
      <c r="AW165" s="53">
        <f t="shared" si="1055"/>
        <v>1</v>
      </c>
      <c r="AX165" s="54">
        <f t="shared" si="1056"/>
        <v>2</v>
      </c>
      <c r="AY165" s="53">
        <f t="shared" si="1057"/>
        <v>1</v>
      </c>
      <c r="AZ165" s="54">
        <f t="shared" si="1058"/>
        <v>2</v>
      </c>
      <c r="BA165" s="53">
        <f t="shared" si="1059"/>
        <v>1</v>
      </c>
      <c r="BB165" s="54">
        <f t="shared" si="1060"/>
        <v>1</v>
      </c>
      <c r="BC165" s="49">
        <f t="shared" ref="BC165:BD165" si="1142">SUM(AS165,AU165,AW165,AY165,BA165)</f>
        <v>4</v>
      </c>
      <c r="BD165" s="50">
        <f t="shared" si="1142"/>
        <v>7</v>
      </c>
      <c r="BE165" s="68">
        <f t="shared" ref="BE165:BF165" si="1143">SUM(E165,G165,I165,O165,Q165,AC165,AQ165,BC165)</f>
        <v>20</v>
      </c>
      <c r="BF165" s="69">
        <f t="shared" si="1143"/>
        <v>41</v>
      </c>
      <c r="BG165" s="46" t="str">
        <f>BF165*'ОВгП_РАО'!$B$19</f>
        <v>#REF!</v>
      </c>
      <c r="BH165" s="46" t="str">
        <f>'ОВгП_РАО'!$B$19</f>
        <v>#REF!</v>
      </c>
    </row>
    <row r="166" ht="15.75" customHeight="1">
      <c r="A166" s="80">
        <f t="shared" si="1063"/>
        <v>46265</v>
      </c>
      <c r="B166" s="129" t="s">
        <v>140</v>
      </c>
      <c r="C166" s="47" t="s">
        <v>122</v>
      </c>
      <c r="D166" s="47" t="s">
        <v>139</v>
      </c>
      <c r="E166" s="73">
        <f t="shared" si="1014"/>
        <v>1</v>
      </c>
      <c r="F166" s="50">
        <f t="shared" si="1015"/>
        <v>3</v>
      </c>
      <c r="G166" s="73">
        <f t="shared" si="1016"/>
        <v>2</v>
      </c>
      <c r="H166" s="50">
        <f t="shared" si="1017"/>
        <v>4</v>
      </c>
      <c r="I166" s="73">
        <f t="shared" si="1018"/>
        <v>2</v>
      </c>
      <c r="J166" s="50">
        <f t="shared" si="1019"/>
        <v>4</v>
      </c>
      <c r="K166" s="53">
        <f t="shared" si="1020"/>
        <v>0</v>
      </c>
      <c r="L166" s="54">
        <f t="shared" si="1021"/>
        <v>0</v>
      </c>
      <c r="M166" s="53">
        <f t="shared" si="1022"/>
        <v>1</v>
      </c>
      <c r="N166" s="54">
        <f t="shared" si="1023"/>
        <v>3</v>
      </c>
      <c r="O166" s="49">
        <f t="shared" ref="O166:P166" si="1144">SUM(K166,M166)</f>
        <v>1</v>
      </c>
      <c r="P166" s="50">
        <f t="shared" si="1144"/>
        <v>3</v>
      </c>
      <c r="Q166" s="73">
        <f t="shared" si="1025"/>
        <v>1</v>
      </c>
      <c r="R166" s="50">
        <f t="shared" si="1026"/>
        <v>3</v>
      </c>
      <c r="S166" s="53">
        <f t="shared" si="1027"/>
        <v>1</v>
      </c>
      <c r="T166" s="54">
        <f t="shared" si="1028"/>
        <v>2</v>
      </c>
      <c r="U166" s="53">
        <f t="shared" si="1029"/>
        <v>0</v>
      </c>
      <c r="V166" s="54">
        <f t="shared" si="1030"/>
        <v>0</v>
      </c>
      <c r="W166" s="53">
        <f t="shared" si="1031"/>
        <v>1</v>
      </c>
      <c r="X166" s="54">
        <f t="shared" si="1032"/>
        <v>2</v>
      </c>
      <c r="Y166" s="53">
        <f t="shared" si="1033"/>
        <v>0</v>
      </c>
      <c r="Z166" s="54">
        <f t="shared" si="1034"/>
        <v>0</v>
      </c>
      <c r="AA166" s="53">
        <f t="shared" si="1035"/>
        <v>0</v>
      </c>
      <c r="AB166" s="54">
        <f t="shared" si="1036"/>
        <v>0</v>
      </c>
      <c r="AC166" s="49">
        <f t="shared" ref="AC166:AD166" si="1145">SUM(S166,U166,W166,Y166,AA166)</f>
        <v>2</v>
      </c>
      <c r="AD166" s="50">
        <f t="shared" si="1145"/>
        <v>4</v>
      </c>
      <c r="AE166" s="53">
        <f t="shared" si="1038"/>
        <v>2</v>
      </c>
      <c r="AF166" s="54">
        <f t="shared" si="1039"/>
        <v>4</v>
      </c>
      <c r="AG166" s="53">
        <f t="shared" si="1040"/>
        <v>1</v>
      </c>
      <c r="AH166" s="54">
        <f t="shared" si="1041"/>
        <v>1</v>
      </c>
      <c r="AI166" s="53">
        <f t="shared" si="1042"/>
        <v>2</v>
      </c>
      <c r="AJ166" s="54">
        <f t="shared" si="1043"/>
        <v>4</v>
      </c>
      <c r="AK166" s="53">
        <f t="shared" si="1044"/>
        <v>0</v>
      </c>
      <c r="AL166" s="54">
        <f t="shared" si="1045"/>
        <v>0</v>
      </c>
      <c r="AM166" s="53">
        <f t="shared" si="1046"/>
        <v>2</v>
      </c>
      <c r="AN166" s="54">
        <f t="shared" si="1047"/>
        <v>4</v>
      </c>
      <c r="AO166" s="53">
        <f t="shared" si="1048"/>
        <v>1</v>
      </c>
      <c r="AP166" s="54">
        <f t="shared" si="1049"/>
        <v>2</v>
      </c>
      <c r="AQ166" s="49">
        <f t="shared" ref="AQ166:AR166" si="1146">SUM(AG166,AI166,AK166,AM166,AO166)</f>
        <v>6</v>
      </c>
      <c r="AR166" s="50">
        <f t="shared" si="1146"/>
        <v>11</v>
      </c>
      <c r="AS166" s="53">
        <f t="shared" si="1051"/>
        <v>0</v>
      </c>
      <c r="AT166" s="54">
        <f t="shared" si="1052"/>
        <v>0</v>
      </c>
      <c r="AU166" s="53">
        <f t="shared" si="1053"/>
        <v>2</v>
      </c>
      <c r="AV166" s="54">
        <f t="shared" si="1054"/>
        <v>4</v>
      </c>
      <c r="AW166" s="53">
        <f t="shared" si="1055"/>
        <v>1</v>
      </c>
      <c r="AX166" s="54">
        <f t="shared" si="1056"/>
        <v>1</v>
      </c>
      <c r="AY166" s="53">
        <f t="shared" si="1057"/>
        <v>2</v>
      </c>
      <c r="AZ166" s="54">
        <f t="shared" si="1058"/>
        <v>4</v>
      </c>
      <c r="BA166" s="53">
        <f t="shared" si="1059"/>
        <v>0</v>
      </c>
      <c r="BB166" s="54">
        <f t="shared" si="1060"/>
        <v>0</v>
      </c>
      <c r="BC166" s="49">
        <f t="shared" ref="BC166:BD166" si="1147">SUM(AS166,AU166,AW166,AY166,BA166)</f>
        <v>5</v>
      </c>
      <c r="BD166" s="50">
        <f t="shared" si="1147"/>
        <v>9</v>
      </c>
      <c r="BE166" s="68">
        <f t="shared" ref="BE166:BF166" si="1148">SUM(E166,G166,I166,O166,Q166,AC166,AQ166,BC166)</f>
        <v>20</v>
      </c>
      <c r="BF166" s="69">
        <f t="shared" si="1148"/>
        <v>41</v>
      </c>
      <c r="BG166" s="46" t="str">
        <f>BF166*'ОВгП_РАО'!$B$20</f>
        <v>#REF!</v>
      </c>
      <c r="BH166" s="46" t="str">
        <f>'ОВгП_РАО'!$B$20</f>
        <v>#REF!</v>
      </c>
    </row>
    <row r="167" ht="15.75" customHeight="1">
      <c r="A167" s="80">
        <f t="shared" si="1063"/>
        <v>46265</v>
      </c>
      <c r="B167" s="129" t="s">
        <v>141</v>
      </c>
      <c r="C167" s="47" t="s">
        <v>122</v>
      </c>
      <c r="D167" s="47" t="s">
        <v>139</v>
      </c>
      <c r="E167" s="73">
        <f t="shared" si="1014"/>
        <v>2</v>
      </c>
      <c r="F167" s="50">
        <f t="shared" si="1015"/>
        <v>4</v>
      </c>
      <c r="G167" s="73">
        <f t="shared" si="1016"/>
        <v>1</v>
      </c>
      <c r="H167" s="50">
        <f t="shared" si="1017"/>
        <v>3</v>
      </c>
      <c r="I167" s="73">
        <f t="shared" si="1018"/>
        <v>1</v>
      </c>
      <c r="J167" s="50">
        <f t="shared" si="1019"/>
        <v>3</v>
      </c>
      <c r="K167" s="53">
        <f t="shared" si="1020"/>
        <v>1</v>
      </c>
      <c r="L167" s="54">
        <f t="shared" si="1021"/>
        <v>3</v>
      </c>
      <c r="M167" s="53">
        <f t="shared" si="1022"/>
        <v>2</v>
      </c>
      <c r="N167" s="54">
        <f t="shared" si="1023"/>
        <v>4</v>
      </c>
      <c r="O167" s="49">
        <f t="shared" ref="O167:P167" si="1149">SUM(K167,M167)</f>
        <v>3</v>
      </c>
      <c r="P167" s="50">
        <f t="shared" si="1149"/>
        <v>7</v>
      </c>
      <c r="Q167" s="73">
        <f t="shared" si="1025"/>
        <v>2</v>
      </c>
      <c r="R167" s="50">
        <f t="shared" si="1026"/>
        <v>4</v>
      </c>
      <c r="S167" s="53">
        <f t="shared" si="1027"/>
        <v>1</v>
      </c>
      <c r="T167" s="54">
        <f t="shared" si="1028"/>
        <v>2</v>
      </c>
      <c r="U167" s="53">
        <f t="shared" si="1029"/>
        <v>0</v>
      </c>
      <c r="V167" s="54">
        <f t="shared" si="1030"/>
        <v>0</v>
      </c>
      <c r="W167" s="53">
        <f t="shared" si="1031"/>
        <v>0</v>
      </c>
      <c r="X167" s="54">
        <f t="shared" si="1032"/>
        <v>0</v>
      </c>
      <c r="Y167" s="53">
        <f t="shared" si="1033"/>
        <v>1</v>
      </c>
      <c r="Z167" s="54">
        <f t="shared" si="1034"/>
        <v>2</v>
      </c>
      <c r="AA167" s="53">
        <f t="shared" si="1035"/>
        <v>1</v>
      </c>
      <c r="AB167" s="54">
        <f t="shared" si="1036"/>
        <v>2</v>
      </c>
      <c r="AC167" s="49">
        <f t="shared" ref="AC167:AD167" si="1150">SUM(S167,U167,W167,Y167,AA167)</f>
        <v>3</v>
      </c>
      <c r="AD167" s="50">
        <f t="shared" si="1150"/>
        <v>6</v>
      </c>
      <c r="AE167" s="53">
        <f t="shared" si="1038"/>
        <v>1</v>
      </c>
      <c r="AF167" s="54">
        <f t="shared" si="1039"/>
        <v>3</v>
      </c>
      <c r="AG167" s="53">
        <f t="shared" si="1040"/>
        <v>1</v>
      </c>
      <c r="AH167" s="54">
        <f t="shared" si="1041"/>
        <v>3</v>
      </c>
      <c r="AI167" s="53">
        <f t="shared" si="1042"/>
        <v>0</v>
      </c>
      <c r="AJ167" s="54">
        <f t="shared" si="1043"/>
        <v>0</v>
      </c>
      <c r="AK167" s="53">
        <f t="shared" si="1044"/>
        <v>1</v>
      </c>
      <c r="AL167" s="54">
        <f t="shared" si="1045"/>
        <v>3</v>
      </c>
      <c r="AM167" s="53">
        <f t="shared" si="1046"/>
        <v>1</v>
      </c>
      <c r="AN167" s="54">
        <f t="shared" si="1047"/>
        <v>2</v>
      </c>
      <c r="AO167" s="53">
        <f t="shared" si="1048"/>
        <v>2</v>
      </c>
      <c r="AP167" s="54">
        <f t="shared" si="1049"/>
        <v>4</v>
      </c>
      <c r="AQ167" s="49">
        <f t="shared" ref="AQ167:AR167" si="1151">SUM(AG167,AI167,AK167,AM167,AO167)</f>
        <v>5</v>
      </c>
      <c r="AR167" s="50">
        <f t="shared" si="1151"/>
        <v>12</v>
      </c>
      <c r="AS167" s="53">
        <f t="shared" si="1051"/>
        <v>1</v>
      </c>
      <c r="AT167" s="54">
        <f t="shared" si="1052"/>
        <v>1</v>
      </c>
      <c r="AU167" s="53">
        <f t="shared" si="1053"/>
        <v>1</v>
      </c>
      <c r="AV167" s="54">
        <f t="shared" si="1054"/>
        <v>1</v>
      </c>
      <c r="AW167" s="53">
        <f t="shared" si="1055"/>
        <v>2</v>
      </c>
      <c r="AX167" s="54">
        <f t="shared" si="1056"/>
        <v>4</v>
      </c>
      <c r="AY167" s="53">
        <f t="shared" si="1057"/>
        <v>0</v>
      </c>
      <c r="AZ167" s="54">
        <f t="shared" si="1058"/>
        <v>0</v>
      </c>
      <c r="BA167" s="53">
        <f t="shared" si="1059"/>
        <v>1</v>
      </c>
      <c r="BB167" s="54">
        <f t="shared" si="1060"/>
        <v>1</v>
      </c>
      <c r="BC167" s="49">
        <f t="shared" ref="BC167:BD167" si="1152">SUM(AS167,AU167,AW167,AY167,BA167)</f>
        <v>5</v>
      </c>
      <c r="BD167" s="50">
        <f t="shared" si="1152"/>
        <v>7</v>
      </c>
      <c r="BE167" s="68">
        <f t="shared" ref="BE167:BF167" si="1153">SUM(E167,G167,I167,O167,Q167,AC167,AQ167,BC167)</f>
        <v>22</v>
      </c>
      <c r="BF167" s="69">
        <f t="shared" si="1153"/>
        <v>46</v>
      </c>
      <c r="BG167" s="46" t="str">
        <f>BF167*'ОВгП_РАО'!$B$21</f>
        <v>#REF!</v>
      </c>
      <c r="BH167" s="46" t="str">
        <f>'ОВгП_РАО'!$B$21</f>
        <v>#REF!</v>
      </c>
    </row>
    <row r="168" ht="15.75" customHeight="1">
      <c r="A168" s="80">
        <f t="shared" si="1063"/>
        <v>46265</v>
      </c>
      <c r="B168" s="47" t="s">
        <v>142</v>
      </c>
      <c r="C168" s="46" t="s">
        <v>96</v>
      </c>
      <c r="D168" s="47" t="s">
        <v>98</v>
      </c>
      <c r="E168" s="73">
        <f t="shared" si="1014"/>
        <v>1</v>
      </c>
      <c r="F168" s="50">
        <f t="shared" si="1015"/>
        <v>1</v>
      </c>
      <c r="G168" s="73">
        <f t="shared" si="1016"/>
        <v>2</v>
      </c>
      <c r="H168" s="50">
        <f t="shared" si="1017"/>
        <v>4</v>
      </c>
      <c r="I168" s="73">
        <f t="shared" si="1018"/>
        <v>1</v>
      </c>
      <c r="J168" s="50">
        <f t="shared" si="1019"/>
        <v>1</v>
      </c>
      <c r="K168" s="53">
        <f t="shared" si="1020"/>
        <v>1</v>
      </c>
      <c r="L168" s="54">
        <f t="shared" si="1021"/>
        <v>3</v>
      </c>
      <c r="M168" s="53">
        <f t="shared" si="1022"/>
        <v>1</v>
      </c>
      <c r="N168" s="54">
        <f t="shared" si="1023"/>
        <v>3</v>
      </c>
      <c r="O168" s="49">
        <f t="shared" ref="O168:P168" si="1154">SUM(K168,M168)</f>
        <v>2</v>
      </c>
      <c r="P168" s="50">
        <f t="shared" si="1154"/>
        <v>6</v>
      </c>
      <c r="Q168" s="73">
        <f t="shared" si="1025"/>
        <v>2</v>
      </c>
      <c r="R168" s="50">
        <f t="shared" si="1026"/>
        <v>4</v>
      </c>
      <c r="S168" s="53">
        <f t="shared" si="1027"/>
        <v>1</v>
      </c>
      <c r="T168" s="54">
        <f t="shared" si="1028"/>
        <v>3</v>
      </c>
      <c r="U168" s="53">
        <f t="shared" si="1029"/>
        <v>1</v>
      </c>
      <c r="V168" s="54">
        <f t="shared" si="1030"/>
        <v>1</v>
      </c>
      <c r="W168" s="53">
        <f t="shared" si="1031"/>
        <v>2</v>
      </c>
      <c r="X168" s="54">
        <f t="shared" si="1032"/>
        <v>4</v>
      </c>
      <c r="Y168" s="53">
        <f t="shared" si="1033"/>
        <v>1</v>
      </c>
      <c r="Z168" s="54">
        <f t="shared" si="1034"/>
        <v>3</v>
      </c>
      <c r="AA168" s="53">
        <f t="shared" si="1035"/>
        <v>0</v>
      </c>
      <c r="AB168" s="54">
        <f t="shared" si="1036"/>
        <v>0</v>
      </c>
      <c r="AC168" s="49">
        <f t="shared" ref="AC168:AD168" si="1155">SUM(S168,U168,W168,Y168,AA168)</f>
        <v>5</v>
      </c>
      <c r="AD168" s="50">
        <f t="shared" si="1155"/>
        <v>11</v>
      </c>
      <c r="AE168" s="53">
        <f t="shared" si="1038"/>
        <v>1</v>
      </c>
      <c r="AF168" s="54">
        <f t="shared" si="1039"/>
        <v>2</v>
      </c>
      <c r="AG168" s="53">
        <f t="shared" si="1040"/>
        <v>0</v>
      </c>
      <c r="AH168" s="54">
        <f t="shared" si="1041"/>
        <v>0</v>
      </c>
      <c r="AI168" s="53">
        <f t="shared" si="1042"/>
        <v>2</v>
      </c>
      <c r="AJ168" s="54">
        <f t="shared" si="1043"/>
        <v>4</v>
      </c>
      <c r="AK168" s="53">
        <f t="shared" si="1044"/>
        <v>1</v>
      </c>
      <c r="AL168" s="54">
        <f t="shared" si="1045"/>
        <v>3</v>
      </c>
      <c r="AM168" s="53">
        <f t="shared" si="1046"/>
        <v>1</v>
      </c>
      <c r="AN168" s="54">
        <f t="shared" si="1047"/>
        <v>3</v>
      </c>
      <c r="AO168" s="53">
        <f t="shared" si="1048"/>
        <v>1</v>
      </c>
      <c r="AP168" s="54">
        <f t="shared" si="1049"/>
        <v>1</v>
      </c>
      <c r="AQ168" s="49">
        <f t="shared" ref="AQ168:AR168" si="1156">SUM(AG168,AI168,AK168,AM168,AO168)</f>
        <v>5</v>
      </c>
      <c r="AR168" s="50">
        <f t="shared" si="1156"/>
        <v>11</v>
      </c>
      <c r="AS168" s="53">
        <f t="shared" si="1051"/>
        <v>0</v>
      </c>
      <c r="AT168" s="54">
        <f t="shared" si="1052"/>
        <v>0</v>
      </c>
      <c r="AU168" s="53">
        <f t="shared" si="1053"/>
        <v>1</v>
      </c>
      <c r="AV168" s="54">
        <f t="shared" si="1054"/>
        <v>2</v>
      </c>
      <c r="AW168" s="53">
        <f t="shared" si="1055"/>
        <v>1</v>
      </c>
      <c r="AX168" s="54">
        <f t="shared" si="1056"/>
        <v>3</v>
      </c>
      <c r="AY168" s="53">
        <f t="shared" si="1057"/>
        <v>2</v>
      </c>
      <c r="AZ168" s="54">
        <f t="shared" si="1058"/>
        <v>4</v>
      </c>
      <c r="BA168" s="53">
        <f t="shared" si="1059"/>
        <v>2</v>
      </c>
      <c r="BB168" s="54">
        <f t="shared" si="1060"/>
        <v>4</v>
      </c>
      <c r="BC168" s="49">
        <f t="shared" ref="BC168:BD168" si="1157">SUM(AS168,AU168,AW168,AY168,BA168)</f>
        <v>6</v>
      </c>
      <c r="BD168" s="50">
        <f t="shared" si="1157"/>
        <v>13</v>
      </c>
      <c r="BE168" s="68">
        <f t="shared" ref="BE168:BF168" si="1158">SUM(E168,G168,I168,O168,Q168,AC168,AQ168,BC168)</f>
        <v>24</v>
      </c>
      <c r="BF168" s="69">
        <f t="shared" si="1158"/>
        <v>51</v>
      </c>
      <c r="BG168" s="46" t="str">
        <f>BF168*'ОВгП_РАО'!$B$22</f>
        <v>#REF!</v>
      </c>
      <c r="BH168" s="46" t="str">
        <f>'ОВгП_РАО'!$B$22</f>
        <v>#REF!</v>
      </c>
    </row>
    <row r="169" ht="15.75" customHeight="1">
      <c r="A169" s="80">
        <f t="shared" si="1063"/>
        <v>46265</v>
      </c>
      <c r="B169" s="47" t="s">
        <v>143</v>
      </c>
      <c r="C169" s="46" t="s">
        <v>96</v>
      </c>
      <c r="D169" s="47" t="s">
        <v>98</v>
      </c>
      <c r="E169" s="73">
        <f t="shared" si="1014"/>
        <v>0</v>
      </c>
      <c r="F169" s="50">
        <f t="shared" si="1015"/>
        <v>0</v>
      </c>
      <c r="G169" s="73">
        <f t="shared" si="1016"/>
        <v>2</v>
      </c>
      <c r="H169" s="50">
        <f t="shared" si="1017"/>
        <v>4</v>
      </c>
      <c r="I169" s="73">
        <f t="shared" si="1018"/>
        <v>1</v>
      </c>
      <c r="J169" s="50">
        <f t="shared" si="1019"/>
        <v>2</v>
      </c>
      <c r="K169" s="53">
        <f t="shared" si="1020"/>
        <v>1</v>
      </c>
      <c r="L169" s="54">
        <f t="shared" si="1021"/>
        <v>3</v>
      </c>
      <c r="M169" s="53">
        <f t="shared" si="1022"/>
        <v>1</v>
      </c>
      <c r="N169" s="54">
        <f t="shared" si="1023"/>
        <v>2</v>
      </c>
      <c r="O169" s="49">
        <f t="shared" ref="O169:P169" si="1159">SUM(K169,M169)</f>
        <v>2</v>
      </c>
      <c r="P169" s="50">
        <f t="shared" si="1159"/>
        <v>5</v>
      </c>
      <c r="Q169" s="73">
        <f t="shared" si="1025"/>
        <v>2</v>
      </c>
      <c r="R169" s="50">
        <f t="shared" si="1026"/>
        <v>4</v>
      </c>
      <c r="S169" s="53">
        <f t="shared" si="1027"/>
        <v>0</v>
      </c>
      <c r="T169" s="54">
        <f t="shared" si="1028"/>
        <v>0</v>
      </c>
      <c r="U169" s="53">
        <f t="shared" si="1029"/>
        <v>1</v>
      </c>
      <c r="V169" s="54">
        <f t="shared" si="1030"/>
        <v>3</v>
      </c>
      <c r="W169" s="53">
        <f t="shared" si="1031"/>
        <v>1</v>
      </c>
      <c r="X169" s="54">
        <f t="shared" si="1032"/>
        <v>3</v>
      </c>
      <c r="Y169" s="53">
        <f t="shared" si="1033"/>
        <v>1</v>
      </c>
      <c r="Z169" s="54">
        <f t="shared" si="1034"/>
        <v>2</v>
      </c>
      <c r="AA169" s="53">
        <f t="shared" si="1035"/>
        <v>2</v>
      </c>
      <c r="AB169" s="54">
        <f t="shared" si="1036"/>
        <v>4</v>
      </c>
      <c r="AC169" s="49">
        <f t="shared" ref="AC169:AD169" si="1160">SUM(S169,U169,W169,Y169,AA169)</f>
        <v>5</v>
      </c>
      <c r="AD169" s="50">
        <f t="shared" si="1160"/>
        <v>12</v>
      </c>
      <c r="AE169" s="53">
        <f t="shared" si="1038"/>
        <v>1</v>
      </c>
      <c r="AF169" s="54">
        <f t="shared" si="1039"/>
        <v>3</v>
      </c>
      <c r="AG169" s="53">
        <f t="shared" si="1040"/>
        <v>1</v>
      </c>
      <c r="AH169" s="54">
        <f t="shared" si="1041"/>
        <v>2</v>
      </c>
      <c r="AI169" s="53">
        <f t="shared" si="1042"/>
        <v>2</v>
      </c>
      <c r="AJ169" s="54">
        <f t="shared" si="1043"/>
        <v>4</v>
      </c>
      <c r="AK169" s="53">
        <f t="shared" si="1044"/>
        <v>2</v>
      </c>
      <c r="AL169" s="54">
        <f t="shared" si="1045"/>
        <v>4</v>
      </c>
      <c r="AM169" s="53">
        <f t="shared" si="1046"/>
        <v>2</v>
      </c>
      <c r="AN169" s="54">
        <f t="shared" si="1047"/>
        <v>4</v>
      </c>
      <c r="AO169" s="53">
        <f t="shared" si="1048"/>
        <v>0</v>
      </c>
      <c r="AP169" s="54">
        <f t="shared" si="1049"/>
        <v>0</v>
      </c>
      <c r="AQ169" s="49">
        <f t="shared" ref="AQ169:AR169" si="1161">SUM(AG169,AI169,AK169,AM169,AO169)</f>
        <v>7</v>
      </c>
      <c r="AR169" s="50">
        <f t="shared" si="1161"/>
        <v>14</v>
      </c>
      <c r="AS169" s="53">
        <f t="shared" si="1051"/>
        <v>1</v>
      </c>
      <c r="AT169" s="54">
        <f t="shared" si="1052"/>
        <v>2</v>
      </c>
      <c r="AU169" s="53">
        <f t="shared" si="1053"/>
        <v>1</v>
      </c>
      <c r="AV169" s="54">
        <f t="shared" si="1054"/>
        <v>1</v>
      </c>
      <c r="AW169" s="53">
        <f t="shared" si="1055"/>
        <v>1</v>
      </c>
      <c r="AX169" s="54">
        <f t="shared" si="1056"/>
        <v>1</v>
      </c>
      <c r="AY169" s="53">
        <f t="shared" si="1057"/>
        <v>1</v>
      </c>
      <c r="AZ169" s="54">
        <f t="shared" si="1058"/>
        <v>3</v>
      </c>
      <c r="BA169" s="53">
        <f t="shared" si="1059"/>
        <v>1</v>
      </c>
      <c r="BB169" s="54">
        <f t="shared" si="1060"/>
        <v>2</v>
      </c>
      <c r="BC169" s="49">
        <f t="shared" ref="BC169:BD169" si="1162">SUM(AS169,AU169,AW169,AY169,BA169)</f>
        <v>5</v>
      </c>
      <c r="BD169" s="50">
        <f t="shared" si="1162"/>
        <v>9</v>
      </c>
      <c r="BE169" s="68">
        <f t="shared" ref="BE169:BF169" si="1163">SUM(E169,G169,I169,O169,Q169,AC169,AQ169,BC169)</f>
        <v>24</v>
      </c>
      <c r="BF169" s="69">
        <f t="shared" si="1163"/>
        <v>50</v>
      </c>
      <c r="BG169" s="46" t="str">
        <f>BF169*'ОВгП_РАО'!$B$23</f>
        <v>#REF!</v>
      </c>
      <c r="BH169" s="46" t="str">
        <f>'ОВгП_РАО'!$B$23</f>
        <v>#REF!</v>
      </c>
    </row>
    <row r="170" ht="15.75" customHeight="1">
      <c r="A170" s="80">
        <f t="shared" si="1063"/>
        <v>46265</v>
      </c>
      <c r="B170" s="47" t="s">
        <v>144</v>
      </c>
      <c r="C170" s="46" t="s">
        <v>96</v>
      </c>
      <c r="D170" s="47" t="s">
        <v>145</v>
      </c>
      <c r="E170" s="73">
        <f t="shared" si="1014"/>
        <v>2</v>
      </c>
      <c r="F170" s="50">
        <f t="shared" si="1015"/>
        <v>4</v>
      </c>
      <c r="G170" s="73">
        <f t="shared" si="1016"/>
        <v>1</v>
      </c>
      <c r="H170" s="50">
        <f t="shared" si="1017"/>
        <v>3</v>
      </c>
      <c r="I170" s="73">
        <f t="shared" si="1018"/>
        <v>0</v>
      </c>
      <c r="J170" s="50">
        <f t="shared" si="1019"/>
        <v>0</v>
      </c>
      <c r="K170" s="53">
        <f t="shared" si="1020"/>
        <v>1</v>
      </c>
      <c r="L170" s="54">
        <f t="shared" si="1021"/>
        <v>1</v>
      </c>
      <c r="M170" s="53">
        <f t="shared" si="1022"/>
        <v>1</v>
      </c>
      <c r="N170" s="54">
        <f t="shared" si="1023"/>
        <v>1</v>
      </c>
      <c r="O170" s="49">
        <f t="shared" ref="O170:P170" si="1164">SUM(K170,M170)</f>
        <v>2</v>
      </c>
      <c r="P170" s="50">
        <f t="shared" si="1164"/>
        <v>2</v>
      </c>
      <c r="Q170" s="73">
        <f t="shared" si="1025"/>
        <v>1</v>
      </c>
      <c r="R170" s="50">
        <f t="shared" si="1026"/>
        <v>3</v>
      </c>
      <c r="S170" s="53">
        <f t="shared" si="1027"/>
        <v>1</v>
      </c>
      <c r="T170" s="54">
        <f t="shared" si="1028"/>
        <v>1</v>
      </c>
      <c r="U170" s="53">
        <f t="shared" si="1029"/>
        <v>1</v>
      </c>
      <c r="V170" s="54">
        <f t="shared" si="1030"/>
        <v>3</v>
      </c>
      <c r="W170" s="53">
        <f t="shared" si="1031"/>
        <v>2</v>
      </c>
      <c r="X170" s="54">
        <f t="shared" si="1032"/>
        <v>4</v>
      </c>
      <c r="Y170" s="53">
        <f t="shared" si="1033"/>
        <v>1</v>
      </c>
      <c r="Z170" s="54">
        <f t="shared" si="1034"/>
        <v>2</v>
      </c>
      <c r="AA170" s="53">
        <f t="shared" si="1035"/>
        <v>1</v>
      </c>
      <c r="AB170" s="54">
        <f t="shared" si="1036"/>
        <v>1</v>
      </c>
      <c r="AC170" s="49">
        <f t="shared" ref="AC170:AD170" si="1165">SUM(S170,U170,W170,Y170,AA170)</f>
        <v>6</v>
      </c>
      <c r="AD170" s="50">
        <f t="shared" si="1165"/>
        <v>11</v>
      </c>
      <c r="AE170" s="53">
        <f t="shared" si="1038"/>
        <v>2</v>
      </c>
      <c r="AF170" s="54">
        <f t="shared" si="1039"/>
        <v>4</v>
      </c>
      <c r="AG170" s="53">
        <f t="shared" si="1040"/>
        <v>1</v>
      </c>
      <c r="AH170" s="54">
        <f t="shared" si="1041"/>
        <v>3</v>
      </c>
      <c r="AI170" s="53">
        <f t="shared" si="1042"/>
        <v>1</v>
      </c>
      <c r="AJ170" s="54">
        <f t="shared" si="1043"/>
        <v>3</v>
      </c>
      <c r="AK170" s="53">
        <f t="shared" si="1044"/>
        <v>2</v>
      </c>
      <c r="AL170" s="54">
        <f t="shared" si="1045"/>
        <v>4</v>
      </c>
      <c r="AM170" s="53">
        <f t="shared" si="1046"/>
        <v>1</v>
      </c>
      <c r="AN170" s="54">
        <f t="shared" si="1047"/>
        <v>1</v>
      </c>
      <c r="AO170" s="53">
        <f t="shared" si="1048"/>
        <v>0</v>
      </c>
      <c r="AP170" s="54">
        <f t="shared" si="1049"/>
        <v>0</v>
      </c>
      <c r="AQ170" s="49">
        <f t="shared" ref="AQ170:AR170" si="1166">SUM(AG170,AI170,AK170,AM170,AO170)</f>
        <v>5</v>
      </c>
      <c r="AR170" s="50">
        <f t="shared" si="1166"/>
        <v>11</v>
      </c>
      <c r="AS170" s="53">
        <f t="shared" si="1051"/>
        <v>0</v>
      </c>
      <c r="AT170" s="54">
        <f t="shared" si="1052"/>
        <v>0</v>
      </c>
      <c r="AU170" s="53">
        <f t="shared" si="1053"/>
        <v>1</v>
      </c>
      <c r="AV170" s="54">
        <f t="shared" si="1054"/>
        <v>3</v>
      </c>
      <c r="AW170" s="53">
        <f t="shared" si="1055"/>
        <v>1</v>
      </c>
      <c r="AX170" s="54">
        <f t="shared" si="1056"/>
        <v>1</v>
      </c>
      <c r="AY170" s="53">
        <f t="shared" si="1057"/>
        <v>1</v>
      </c>
      <c r="AZ170" s="54">
        <f t="shared" si="1058"/>
        <v>3</v>
      </c>
      <c r="BA170" s="53">
        <f t="shared" si="1059"/>
        <v>2</v>
      </c>
      <c r="BB170" s="54">
        <f t="shared" si="1060"/>
        <v>4</v>
      </c>
      <c r="BC170" s="49">
        <f t="shared" ref="BC170:BD170" si="1167">SUM(AS170,AU170,AW170,AY170,BA170)</f>
        <v>5</v>
      </c>
      <c r="BD170" s="50">
        <f t="shared" si="1167"/>
        <v>11</v>
      </c>
      <c r="BE170" s="68">
        <f t="shared" ref="BE170:BF170" si="1168">SUM(E170,G170,I170,O170,Q170,AC170,AQ170,BC170)</f>
        <v>22</v>
      </c>
      <c r="BF170" s="69">
        <f t="shared" si="1168"/>
        <v>45</v>
      </c>
      <c r="BG170" s="46" t="str">
        <f>BF170*'ОВгП_РАО'!$B$24</f>
        <v>#REF!</v>
      </c>
      <c r="BH170" s="46" t="str">
        <f>'ОВгП_РАО'!$B$24</f>
        <v>#REF!</v>
      </c>
    </row>
    <row r="171" ht="15.75" customHeight="1">
      <c r="A171" s="80">
        <f t="shared" si="1063"/>
        <v>46265</v>
      </c>
      <c r="B171" s="47" t="s">
        <v>146</v>
      </c>
      <c r="C171" s="46" t="s">
        <v>96</v>
      </c>
      <c r="D171" s="47" t="s">
        <v>145</v>
      </c>
      <c r="E171" s="73">
        <f t="shared" si="1014"/>
        <v>0</v>
      </c>
      <c r="F171" s="50">
        <f t="shared" si="1015"/>
        <v>0</v>
      </c>
      <c r="G171" s="73">
        <f t="shared" si="1016"/>
        <v>0</v>
      </c>
      <c r="H171" s="50">
        <f t="shared" si="1017"/>
        <v>0</v>
      </c>
      <c r="I171" s="73">
        <f t="shared" si="1018"/>
        <v>2</v>
      </c>
      <c r="J171" s="50">
        <f t="shared" si="1019"/>
        <v>4</v>
      </c>
      <c r="K171" s="53">
        <f t="shared" si="1020"/>
        <v>1</v>
      </c>
      <c r="L171" s="54">
        <f t="shared" si="1021"/>
        <v>1</v>
      </c>
      <c r="M171" s="53">
        <f t="shared" si="1022"/>
        <v>1</v>
      </c>
      <c r="N171" s="54">
        <f t="shared" si="1023"/>
        <v>3</v>
      </c>
      <c r="O171" s="49">
        <f t="shared" ref="O171:P171" si="1169">SUM(K171,M171)</f>
        <v>2</v>
      </c>
      <c r="P171" s="50">
        <f t="shared" si="1169"/>
        <v>4</v>
      </c>
      <c r="Q171" s="73">
        <f t="shared" si="1025"/>
        <v>1</v>
      </c>
      <c r="R171" s="50">
        <f t="shared" si="1026"/>
        <v>3</v>
      </c>
      <c r="S171" s="53">
        <f t="shared" si="1027"/>
        <v>0</v>
      </c>
      <c r="T171" s="54">
        <f t="shared" si="1028"/>
        <v>0</v>
      </c>
      <c r="U171" s="53">
        <f t="shared" si="1029"/>
        <v>1</v>
      </c>
      <c r="V171" s="54">
        <f t="shared" si="1030"/>
        <v>3</v>
      </c>
      <c r="W171" s="53">
        <f t="shared" si="1031"/>
        <v>1</v>
      </c>
      <c r="X171" s="54">
        <f t="shared" si="1032"/>
        <v>1</v>
      </c>
      <c r="Y171" s="53">
        <f t="shared" si="1033"/>
        <v>0</v>
      </c>
      <c r="Z171" s="54">
        <f t="shared" si="1034"/>
        <v>0</v>
      </c>
      <c r="AA171" s="53">
        <f t="shared" si="1035"/>
        <v>1</v>
      </c>
      <c r="AB171" s="54">
        <f t="shared" si="1036"/>
        <v>2</v>
      </c>
      <c r="AC171" s="49">
        <f t="shared" ref="AC171:AD171" si="1170">SUM(S171,U171,W171,Y171,AA171)</f>
        <v>3</v>
      </c>
      <c r="AD171" s="50">
        <f t="shared" si="1170"/>
        <v>6</v>
      </c>
      <c r="AE171" s="53">
        <f t="shared" si="1038"/>
        <v>1</v>
      </c>
      <c r="AF171" s="54">
        <f t="shared" si="1039"/>
        <v>1</v>
      </c>
      <c r="AG171" s="53">
        <f t="shared" si="1040"/>
        <v>1</v>
      </c>
      <c r="AH171" s="54">
        <f t="shared" si="1041"/>
        <v>3</v>
      </c>
      <c r="AI171" s="53">
        <f t="shared" si="1042"/>
        <v>2</v>
      </c>
      <c r="AJ171" s="54">
        <f t="shared" si="1043"/>
        <v>4</v>
      </c>
      <c r="AK171" s="53">
        <f t="shared" si="1044"/>
        <v>1</v>
      </c>
      <c r="AL171" s="54">
        <f t="shared" si="1045"/>
        <v>1</v>
      </c>
      <c r="AM171" s="53">
        <f t="shared" si="1046"/>
        <v>1</v>
      </c>
      <c r="AN171" s="54">
        <f t="shared" si="1047"/>
        <v>3</v>
      </c>
      <c r="AO171" s="53">
        <f t="shared" si="1048"/>
        <v>2</v>
      </c>
      <c r="AP171" s="54">
        <f t="shared" si="1049"/>
        <v>4</v>
      </c>
      <c r="AQ171" s="49">
        <f t="shared" ref="AQ171:AR171" si="1171">SUM(AG171,AI171,AK171,AM171,AO171)</f>
        <v>7</v>
      </c>
      <c r="AR171" s="50">
        <f t="shared" si="1171"/>
        <v>15</v>
      </c>
      <c r="AS171" s="53">
        <f t="shared" si="1051"/>
        <v>1</v>
      </c>
      <c r="AT171" s="54">
        <f t="shared" si="1052"/>
        <v>2</v>
      </c>
      <c r="AU171" s="53">
        <f t="shared" si="1053"/>
        <v>1</v>
      </c>
      <c r="AV171" s="54">
        <f t="shared" si="1054"/>
        <v>3</v>
      </c>
      <c r="AW171" s="53">
        <f t="shared" si="1055"/>
        <v>0</v>
      </c>
      <c r="AX171" s="54">
        <f t="shared" si="1056"/>
        <v>0</v>
      </c>
      <c r="AY171" s="53">
        <f t="shared" si="1057"/>
        <v>0</v>
      </c>
      <c r="AZ171" s="54">
        <f t="shared" si="1058"/>
        <v>0</v>
      </c>
      <c r="BA171" s="53">
        <f t="shared" si="1059"/>
        <v>1</v>
      </c>
      <c r="BB171" s="54">
        <f t="shared" si="1060"/>
        <v>2</v>
      </c>
      <c r="BC171" s="49">
        <f t="shared" ref="BC171:BD171" si="1172">SUM(AS171,AU171,AW171,AY171,BA171)</f>
        <v>3</v>
      </c>
      <c r="BD171" s="50">
        <f t="shared" si="1172"/>
        <v>7</v>
      </c>
      <c r="BE171" s="68">
        <f t="shared" ref="BE171:BF171" si="1173">SUM(E171,G171,I171,O171,Q171,AC171,AQ171,BC171)</f>
        <v>18</v>
      </c>
      <c r="BF171" s="69">
        <f t="shared" si="1173"/>
        <v>39</v>
      </c>
      <c r="BG171" s="46" t="str">
        <f>BF171*'ОВгП_РАО'!$B$25</f>
        <v>#REF!</v>
      </c>
      <c r="BH171" s="46" t="str">
        <f>'ОВгП_РАО'!$B$25</f>
        <v>#REF!</v>
      </c>
    </row>
    <row r="172" ht="15.75" customHeight="1">
      <c r="A172" s="80">
        <f t="shared" si="1063"/>
        <v>46265</v>
      </c>
      <c r="B172" s="47" t="s">
        <v>147</v>
      </c>
      <c r="C172" s="46" t="s">
        <v>96</v>
      </c>
      <c r="D172" s="47" t="s">
        <v>148</v>
      </c>
      <c r="E172" s="73">
        <f t="shared" si="1014"/>
        <v>2</v>
      </c>
      <c r="F172" s="50">
        <f t="shared" si="1015"/>
        <v>4</v>
      </c>
      <c r="G172" s="73">
        <f t="shared" si="1016"/>
        <v>2</v>
      </c>
      <c r="H172" s="50">
        <f t="shared" si="1017"/>
        <v>4</v>
      </c>
      <c r="I172" s="73">
        <f t="shared" si="1018"/>
        <v>0</v>
      </c>
      <c r="J172" s="50">
        <f t="shared" si="1019"/>
        <v>0</v>
      </c>
      <c r="K172" s="53">
        <f t="shared" si="1020"/>
        <v>1</v>
      </c>
      <c r="L172" s="54">
        <f t="shared" si="1021"/>
        <v>2</v>
      </c>
      <c r="M172" s="53">
        <f t="shared" si="1022"/>
        <v>2</v>
      </c>
      <c r="N172" s="54">
        <f t="shared" si="1023"/>
        <v>4</v>
      </c>
      <c r="O172" s="49">
        <f t="shared" ref="O172:P172" si="1174">SUM(K172,M172)</f>
        <v>3</v>
      </c>
      <c r="P172" s="50">
        <f t="shared" si="1174"/>
        <v>6</v>
      </c>
      <c r="Q172" s="73">
        <f t="shared" si="1025"/>
        <v>0</v>
      </c>
      <c r="R172" s="50">
        <f t="shared" si="1026"/>
        <v>0</v>
      </c>
      <c r="S172" s="53">
        <f t="shared" si="1027"/>
        <v>1</v>
      </c>
      <c r="T172" s="54">
        <f t="shared" si="1028"/>
        <v>3</v>
      </c>
      <c r="U172" s="53">
        <f t="shared" si="1029"/>
        <v>1</v>
      </c>
      <c r="V172" s="54">
        <f t="shared" si="1030"/>
        <v>3</v>
      </c>
      <c r="W172" s="53">
        <f t="shared" si="1031"/>
        <v>1</v>
      </c>
      <c r="X172" s="54">
        <f t="shared" si="1032"/>
        <v>3</v>
      </c>
      <c r="Y172" s="53">
        <f t="shared" si="1033"/>
        <v>0</v>
      </c>
      <c r="Z172" s="54">
        <f t="shared" si="1034"/>
        <v>0</v>
      </c>
      <c r="AA172" s="53">
        <f t="shared" si="1035"/>
        <v>0</v>
      </c>
      <c r="AB172" s="54">
        <f t="shared" si="1036"/>
        <v>0</v>
      </c>
      <c r="AC172" s="49">
        <f t="shared" ref="AC172:AD172" si="1175">SUM(S172,U172,W172,Y172,AA172)</f>
        <v>3</v>
      </c>
      <c r="AD172" s="50">
        <f t="shared" si="1175"/>
        <v>9</v>
      </c>
      <c r="AE172" s="53">
        <f t="shared" si="1038"/>
        <v>1</v>
      </c>
      <c r="AF172" s="54">
        <f t="shared" si="1039"/>
        <v>3</v>
      </c>
      <c r="AG172" s="53">
        <f t="shared" si="1040"/>
        <v>1</v>
      </c>
      <c r="AH172" s="54">
        <f t="shared" si="1041"/>
        <v>1</v>
      </c>
      <c r="AI172" s="53">
        <f t="shared" si="1042"/>
        <v>0</v>
      </c>
      <c r="AJ172" s="54">
        <f t="shared" si="1043"/>
        <v>0</v>
      </c>
      <c r="AK172" s="53">
        <f t="shared" si="1044"/>
        <v>1</v>
      </c>
      <c r="AL172" s="54">
        <f t="shared" si="1045"/>
        <v>1</v>
      </c>
      <c r="AM172" s="53">
        <f t="shared" si="1046"/>
        <v>0</v>
      </c>
      <c r="AN172" s="54">
        <f t="shared" si="1047"/>
        <v>0</v>
      </c>
      <c r="AO172" s="53">
        <f t="shared" si="1048"/>
        <v>1</v>
      </c>
      <c r="AP172" s="54">
        <f t="shared" si="1049"/>
        <v>3</v>
      </c>
      <c r="AQ172" s="49">
        <f t="shared" ref="AQ172:AR172" si="1176">SUM(AG172,AI172,AK172,AM172,AO172)</f>
        <v>3</v>
      </c>
      <c r="AR172" s="50">
        <f t="shared" si="1176"/>
        <v>5</v>
      </c>
      <c r="AS172" s="53">
        <f t="shared" si="1051"/>
        <v>1</v>
      </c>
      <c r="AT172" s="54">
        <f t="shared" si="1052"/>
        <v>2</v>
      </c>
      <c r="AU172" s="53">
        <f t="shared" si="1053"/>
        <v>1</v>
      </c>
      <c r="AV172" s="54">
        <f t="shared" si="1054"/>
        <v>1</v>
      </c>
      <c r="AW172" s="53">
        <f t="shared" si="1055"/>
        <v>1</v>
      </c>
      <c r="AX172" s="54">
        <f t="shared" si="1056"/>
        <v>1</v>
      </c>
      <c r="AY172" s="53">
        <f t="shared" si="1057"/>
        <v>1</v>
      </c>
      <c r="AZ172" s="54">
        <f t="shared" si="1058"/>
        <v>3</v>
      </c>
      <c r="BA172" s="53">
        <f t="shared" si="1059"/>
        <v>1</v>
      </c>
      <c r="BB172" s="54">
        <f t="shared" si="1060"/>
        <v>3</v>
      </c>
      <c r="BC172" s="49">
        <f t="shared" ref="BC172:BD172" si="1177">SUM(AS172,AU172,AW172,AY172,BA172)</f>
        <v>5</v>
      </c>
      <c r="BD172" s="50">
        <f t="shared" si="1177"/>
        <v>10</v>
      </c>
      <c r="BE172" s="68">
        <f t="shared" ref="BE172:BF172" si="1178">SUM(E172,G172,I172,O172,Q172,AC172,AQ172,BC172)</f>
        <v>18</v>
      </c>
      <c r="BF172" s="69">
        <f t="shared" si="1178"/>
        <v>38</v>
      </c>
      <c r="BG172" s="46" t="str">
        <f>BF172*'ОВгП_РАО'!$B$26</f>
        <v>#REF!</v>
      </c>
      <c r="BH172" s="46" t="str">
        <f>'ОВгП_РАО'!$B$26</f>
        <v>#REF!</v>
      </c>
    </row>
    <row r="173" ht="15.75" customHeight="1">
      <c r="A173" s="80">
        <f t="shared" si="1063"/>
        <v>46265</v>
      </c>
      <c r="B173" s="47" t="s">
        <v>149</v>
      </c>
      <c r="C173" s="47" t="s">
        <v>122</v>
      </c>
      <c r="D173" s="47" t="s">
        <v>150</v>
      </c>
      <c r="E173" s="73">
        <f t="shared" si="1014"/>
        <v>1</v>
      </c>
      <c r="F173" s="50">
        <f t="shared" si="1015"/>
        <v>2</v>
      </c>
      <c r="G173" s="73">
        <f t="shared" si="1016"/>
        <v>2</v>
      </c>
      <c r="H173" s="50">
        <f t="shared" si="1017"/>
        <v>4</v>
      </c>
      <c r="I173" s="73">
        <f t="shared" si="1018"/>
        <v>1</v>
      </c>
      <c r="J173" s="50">
        <f t="shared" si="1019"/>
        <v>2</v>
      </c>
      <c r="K173" s="53">
        <f t="shared" si="1020"/>
        <v>0</v>
      </c>
      <c r="L173" s="54">
        <f t="shared" si="1021"/>
        <v>0</v>
      </c>
      <c r="M173" s="53">
        <f t="shared" si="1022"/>
        <v>1</v>
      </c>
      <c r="N173" s="54">
        <f t="shared" si="1023"/>
        <v>1</v>
      </c>
      <c r="O173" s="49">
        <f t="shared" ref="O173:P173" si="1179">SUM(K173,M173)</f>
        <v>1</v>
      </c>
      <c r="P173" s="50">
        <f t="shared" si="1179"/>
        <v>1</v>
      </c>
      <c r="Q173" s="73">
        <f t="shared" si="1025"/>
        <v>0</v>
      </c>
      <c r="R173" s="50">
        <f t="shared" si="1026"/>
        <v>0</v>
      </c>
      <c r="S173" s="53">
        <f t="shared" si="1027"/>
        <v>1</v>
      </c>
      <c r="T173" s="54">
        <f t="shared" si="1028"/>
        <v>1</v>
      </c>
      <c r="U173" s="53">
        <f t="shared" si="1029"/>
        <v>0</v>
      </c>
      <c r="V173" s="54">
        <f t="shared" si="1030"/>
        <v>0</v>
      </c>
      <c r="W173" s="53">
        <f t="shared" si="1031"/>
        <v>0</v>
      </c>
      <c r="X173" s="54">
        <f t="shared" si="1032"/>
        <v>0</v>
      </c>
      <c r="Y173" s="53">
        <f t="shared" si="1033"/>
        <v>1</v>
      </c>
      <c r="Z173" s="54">
        <f t="shared" si="1034"/>
        <v>1</v>
      </c>
      <c r="AA173" s="53">
        <f t="shared" si="1035"/>
        <v>1</v>
      </c>
      <c r="AB173" s="54">
        <f t="shared" si="1036"/>
        <v>3</v>
      </c>
      <c r="AC173" s="49">
        <f t="shared" ref="AC173:AD173" si="1180">SUM(S173,U173,W173,Y173,AA173)</f>
        <v>3</v>
      </c>
      <c r="AD173" s="50">
        <f t="shared" si="1180"/>
        <v>5</v>
      </c>
      <c r="AE173" s="53">
        <f t="shared" si="1038"/>
        <v>1</v>
      </c>
      <c r="AF173" s="54">
        <f t="shared" si="1039"/>
        <v>3</v>
      </c>
      <c r="AG173" s="53">
        <f t="shared" si="1040"/>
        <v>0</v>
      </c>
      <c r="AH173" s="54">
        <f t="shared" si="1041"/>
        <v>0</v>
      </c>
      <c r="AI173" s="53">
        <f t="shared" si="1042"/>
        <v>2</v>
      </c>
      <c r="AJ173" s="54">
        <f t="shared" si="1043"/>
        <v>4</v>
      </c>
      <c r="AK173" s="53">
        <f t="shared" si="1044"/>
        <v>1</v>
      </c>
      <c r="AL173" s="54">
        <f t="shared" si="1045"/>
        <v>3</v>
      </c>
      <c r="AM173" s="53">
        <f t="shared" si="1046"/>
        <v>1</v>
      </c>
      <c r="AN173" s="54">
        <f t="shared" si="1047"/>
        <v>2</v>
      </c>
      <c r="AO173" s="53">
        <f t="shared" si="1048"/>
        <v>1</v>
      </c>
      <c r="AP173" s="54">
        <f t="shared" si="1049"/>
        <v>1</v>
      </c>
      <c r="AQ173" s="49">
        <f t="shared" ref="AQ173:AR173" si="1181">SUM(AG173,AI173,AK173,AM173,AO173)</f>
        <v>5</v>
      </c>
      <c r="AR173" s="50">
        <f t="shared" si="1181"/>
        <v>10</v>
      </c>
      <c r="AS173" s="53">
        <f t="shared" si="1051"/>
        <v>1</v>
      </c>
      <c r="AT173" s="54">
        <f t="shared" si="1052"/>
        <v>2</v>
      </c>
      <c r="AU173" s="53">
        <f t="shared" si="1053"/>
        <v>1</v>
      </c>
      <c r="AV173" s="54">
        <f t="shared" si="1054"/>
        <v>3</v>
      </c>
      <c r="AW173" s="53">
        <f t="shared" si="1055"/>
        <v>0</v>
      </c>
      <c r="AX173" s="54">
        <f t="shared" si="1056"/>
        <v>0</v>
      </c>
      <c r="AY173" s="53">
        <f t="shared" si="1057"/>
        <v>1</v>
      </c>
      <c r="AZ173" s="54">
        <f t="shared" si="1058"/>
        <v>3</v>
      </c>
      <c r="BA173" s="53">
        <f t="shared" si="1059"/>
        <v>1</v>
      </c>
      <c r="BB173" s="54">
        <f t="shared" si="1060"/>
        <v>2</v>
      </c>
      <c r="BC173" s="49">
        <f t="shared" ref="BC173:BD173" si="1182">SUM(AS173,AU173,AW173,AY173,BA173)</f>
        <v>4</v>
      </c>
      <c r="BD173" s="50">
        <f t="shared" si="1182"/>
        <v>10</v>
      </c>
      <c r="BE173" s="68">
        <f t="shared" ref="BE173:BF173" si="1183">SUM(E173,G173,I173,O173,Q173,AC173,AQ173,BC173)</f>
        <v>17</v>
      </c>
      <c r="BF173" s="69">
        <f t="shared" si="1183"/>
        <v>34</v>
      </c>
      <c r="BG173" s="46" t="str">
        <f>BF173*'ОВгП_РАО'!$B$27</f>
        <v>#REF!</v>
      </c>
      <c r="BH173" s="46" t="str">
        <f>'ОВгП_РАО'!$B$27</f>
        <v>#REF!</v>
      </c>
    </row>
    <row r="174" ht="15.75" customHeight="1">
      <c r="A174" s="80">
        <f t="shared" si="1063"/>
        <v>46265</v>
      </c>
      <c r="B174" s="47" t="s">
        <v>151</v>
      </c>
      <c r="C174" s="47" t="s">
        <v>122</v>
      </c>
      <c r="D174" s="47" t="s">
        <v>152</v>
      </c>
      <c r="E174" s="73">
        <f t="shared" si="1014"/>
        <v>18</v>
      </c>
      <c r="F174" s="50">
        <f t="shared" ref="F174:F182" si="1189">RANDBETWEEN(0,100)</f>
        <v>54</v>
      </c>
      <c r="G174" s="73">
        <f t="shared" si="1016"/>
        <v>26</v>
      </c>
      <c r="H174" s="50">
        <f t="shared" ref="H174:H182" si="1190">RANDBETWEEN(0,100)</f>
        <v>76</v>
      </c>
      <c r="I174" s="73">
        <f t="shared" si="1018"/>
        <v>19</v>
      </c>
      <c r="J174" s="50">
        <f t="shared" ref="J174:J182" si="1191">RANDBETWEEN(0,100)</f>
        <v>57</v>
      </c>
      <c r="K174" s="53">
        <f t="shared" si="1020"/>
        <v>13</v>
      </c>
      <c r="L174" s="54">
        <f t="shared" ref="L174:L182" si="1192">RANDBETWEEN(0,100)</f>
        <v>37</v>
      </c>
      <c r="M174" s="53">
        <f t="shared" si="1022"/>
        <v>13</v>
      </c>
      <c r="N174" s="54">
        <f t="shared" ref="N174:N182" si="1193">RANDBETWEEN(0,100)</f>
        <v>39</v>
      </c>
      <c r="O174" s="49">
        <f t="shared" ref="O174:P174" si="1184">SUM(K174,M174)</f>
        <v>26</v>
      </c>
      <c r="P174" s="50">
        <f t="shared" si="1184"/>
        <v>76</v>
      </c>
      <c r="Q174" s="73">
        <f t="shared" si="1025"/>
        <v>14</v>
      </c>
      <c r="R174" s="50">
        <f t="shared" ref="R174:R182" si="1195">RANDBETWEEN(0,100)</f>
        <v>41</v>
      </c>
      <c r="S174" s="53">
        <f t="shared" si="1027"/>
        <v>67</v>
      </c>
      <c r="T174" s="54">
        <f t="shared" ref="T174:T182" si="1196">RANDBETWEEN(0,300)</f>
        <v>200</v>
      </c>
      <c r="U174" s="53">
        <f t="shared" si="1029"/>
        <v>12</v>
      </c>
      <c r="V174" s="54">
        <f t="shared" ref="V174:V182" si="1197">RANDBETWEEN(0,300)</f>
        <v>34</v>
      </c>
      <c r="W174" s="53">
        <f t="shared" si="1031"/>
        <v>78</v>
      </c>
      <c r="X174" s="54">
        <f t="shared" ref="X174:X182" si="1198">RANDBETWEEN(0,300)</f>
        <v>234</v>
      </c>
      <c r="Y174" s="53">
        <f t="shared" si="1033"/>
        <v>19</v>
      </c>
      <c r="Z174" s="54">
        <f t="shared" ref="Z174:Z182" si="1199">RANDBETWEEN(0,300)</f>
        <v>55</v>
      </c>
      <c r="AA174" s="53">
        <f t="shared" si="1035"/>
        <v>79</v>
      </c>
      <c r="AB174" s="54">
        <f t="shared" ref="AB174:AB182" si="1200">RANDBETWEEN(0,300)</f>
        <v>235</v>
      </c>
      <c r="AC174" s="49">
        <f t="shared" ref="AC174:AD174" si="1185">SUM(S174,U174,W174,Y174,AA174)</f>
        <v>255</v>
      </c>
      <c r="AD174" s="50">
        <f t="shared" si="1185"/>
        <v>758</v>
      </c>
      <c r="AE174" s="53">
        <f t="shared" si="1038"/>
        <v>98</v>
      </c>
      <c r="AF174" s="54">
        <f>RANDBETWEEN(100,500)</f>
        <v>293</v>
      </c>
      <c r="AG174" s="53">
        <f t="shared" si="1040"/>
        <v>43</v>
      </c>
      <c r="AH174" s="54">
        <f>RANDBETWEEN(100,500)</f>
        <v>128</v>
      </c>
      <c r="AI174" s="53">
        <f t="shared" si="1042"/>
        <v>145</v>
      </c>
      <c r="AJ174" s="54">
        <f>RANDBETWEEN(100,500)</f>
        <v>434</v>
      </c>
      <c r="AK174" s="53">
        <f t="shared" si="1044"/>
        <v>72</v>
      </c>
      <c r="AL174" s="54">
        <f>RANDBETWEEN(100,500)</f>
        <v>215</v>
      </c>
      <c r="AM174" s="53">
        <f t="shared" si="1046"/>
        <v>129</v>
      </c>
      <c r="AN174" s="54">
        <f>RANDBETWEEN(100,500)</f>
        <v>386</v>
      </c>
      <c r="AO174" s="53">
        <f t="shared" si="1048"/>
        <v>127</v>
      </c>
      <c r="AP174" s="54">
        <f>RANDBETWEEN(100,500)</f>
        <v>379</v>
      </c>
      <c r="AQ174" s="49">
        <f t="shared" ref="AQ174:AR174" si="1186">SUM(AG174,AI174,AK174,AM174,AO174)</f>
        <v>516</v>
      </c>
      <c r="AR174" s="50">
        <f t="shared" si="1186"/>
        <v>1542</v>
      </c>
      <c r="AS174" s="53">
        <f t="shared" si="1051"/>
        <v>109</v>
      </c>
      <c r="AT174" s="54">
        <f>RANDBETWEEN(100,500)</f>
        <v>325</v>
      </c>
      <c r="AU174" s="53">
        <f t="shared" si="1053"/>
        <v>38</v>
      </c>
      <c r="AV174" s="54">
        <f>RANDBETWEEN(100,500)</f>
        <v>112</v>
      </c>
      <c r="AW174" s="53">
        <f t="shared" si="1055"/>
        <v>104</v>
      </c>
      <c r="AX174" s="54">
        <f>RANDBETWEEN(100,500)</f>
        <v>311</v>
      </c>
      <c r="AY174" s="53">
        <f t="shared" si="1057"/>
        <v>37</v>
      </c>
      <c r="AZ174" s="54">
        <f>RANDBETWEEN(100,500)</f>
        <v>109</v>
      </c>
      <c r="BA174" s="53">
        <f t="shared" si="1059"/>
        <v>135</v>
      </c>
      <c r="BB174" s="54">
        <f>RANDBETWEEN(100,500)</f>
        <v>404</v>
      </c>
      <c r="BC174" s="49">
        <f t="shared" ref="BC174:BD174" si="1187">SUM(AS174,AU174,AW174,AY174,BA174)</f>
        <v>423</v>
      </c>
      <c r="BD174" s="50">
        <f t="shared" si="1187"/>
        <v>1261</v>
      </c>
      <c r="BE174" s="68">
        <f t="shared" ref="BE174:BF174" si="1188">SUM(E174,G174,I174,O174,Q174,AC174,AQ174,BC174)</f>
        <v>1297</v>
      </c>
      <c r="BF174" s="69">
        <f t="shared" si="1188"/>
        <v>3865</v>
      </c>
      <c r="BG174" s="46" t="str">
        <f>BF174*'ОВгП_РАО'!$B$28</f>
        <v>#REF!</v>
      </c>
      <c r="BH174" s="46" t="str">
        <f>'ОВгП_РАО'!$B$28</f>
        <v>#REF!</v>
      </c>
    </row>
    <row r="175" ht="15.75" customHeight="1">
      <c r="A175" s="80">
        <f t="shared" si="1063"/>
        <v>46265</v>
      </c>
      <c r="B175" s="47" t="s">
        <v>153</v>
      </c>
      <c r="C175" s="47" t="s">
        <v>122</v>
      </c>
      <c r="D175" s="47" t="s">
        <v>152</v>
      </c>
      <c r="E175" s="73">
        <f t="shared" si="1014"/>
        <v>20</v>
      </c>
      <c r="F175" s="50">
        <f t="shared" si="1189"/>
        <v>58</v>
      </c>
      <c r="G175" s="73">
        <f t="shared" si="1016"/>
        <v>31</v>
      </c>
      <c r="H175" s="50">
        <f t="shared" si="1190"/>
        <v>93</v>
      </c>
      <c r="I175" s="73">
        <f t="shared" si="1018"/>
        <v>28</v>
      </c>
      <c r="J175" s="50">
        <f t="shared" si="1191"/>
        <v>84</v>
      </c>
      <c r="K175" s="53">
        <f t="shared" si="1020"/>
        <v>7</v>
      </c>
      <c r="L175" s="54">
        <f t="shared" si="1192"/>
        <v>21</v>
      </c>
      <c r="M175" s="53">
        <f t="shared" si="1022"/>
        <v>9</v>
      </c>
      <c r="N175" s="54">
        <f t="shared" si="1193"/>
        <v>27</v>
      </c>
      <c r="O175" s="49">
        <f t="shared" ref="O175:P175" si="1194">SUM(K175,M175)</f>
        <v>16</v>
      </c>
      <c r="P175" s="50">
        <f t="shared" si="1194"/>
        <v>48</v>
      </c>
      <c r="Q175" s="73">
        <f t="shared" si="1025"/>
        <v>28</v>
      </c>
      <c r="R175" s="50">
        <f t="shared" si="1195"/>
        <v>84</v>
      </c>
      <c r="S175" s="53">
        <f t="shared" si="1027"/>
        <v>73</v>
      </c>
      <c r="T175" s="54">
        <f t="shared" si="1196"/>
        <v>217</v>
      </c>
      <c r="U175" s="53">
        <f t="shared" si="1029"/>
        <v>19</v>
      </c>
      <c r="V175" s="54">
        <f t="shared" si="1197"/>
        <v>55</v>
      </c>
      <c r="W175" s="53">
        <f t="shared" si="1031"/>
        <v>89</v>
      </c>
      <c r="X175" s="54">
        <f t="shared" si="1198"/>
        <v>265</v>
      </c>
      <c r="Y175" s="53">
        <f t="shared" si="1033"/>
        <v>12</v>
      </c>
      <c r="Z175" s="54">
        <f t="shared" si="1199"/>
        <v>35</v>
      </c>
      <c r="AA175" s="53">
        <f t="shared" si="1035"/>
        <v>34</v>
      </c>
      <c r="AB175" s="54">
        <f t="shared" si="1200"/>
        <v>102</v>
      </c>
      <c r="AC175" s="49">
        <f t="shared" ref="AC175:AD175" si="1201">SUM(S175,U175,W175,Y175,AA175)</f>
        <v>227</v>
      </c>
      <c r="AD175" s="50">
        <f t="shared" si="1201"/>
        <v>674</v>
      </c>
      <c r="AE175" s="53">
        <f t="shared" si="1038"/>
        <v>27</v>
      </c>
      <c r="AF175" s="54">
        <f t="shared" ref="AF175:AF182" si="1207">RANDBETWEEN(0,300)</f>
        <v>81</v>
      </c>
      <c r="AG175" s="53">
        <f t="shared" si="1040"/>
        <v>53</v>
      </c>
      <c r="AH175" s="54">
        <f t="shared" ref="AH175:AH182" si="1208">RANDBETWEEN(0,300)</f>
        <v>157</v>
      </c>
      <c r="AI175" s="53">
        <f t="shared" si="1042"/>
        <v>96</v>
      </c>
      <c r="AJ175" s="54">
        <f t="shared" ref="AJ175:AJ182" si="1209">RANDBETWEEN(0,300)</f>
        <v>287</v>
      </c>
      <c r="AK175" s="53">
        <f t="shared" si="1044"/>
        <v>80</v>
      </c>
      <c r="AL175" s="54">
        <f t="shared" ref="AL175:AL182" si="1210">RANDBETWEEN(0,300)</f>
        <v>240</v>
      </c>
      <c r="AM175" s="53">
        <f t="shared" si="1046"/>
        <v>35</v>
      </c>
      <c r="AN175" s="54">
        <f t="shared" ref="AN175:AN182" si="1211">RANDBETWEEN(0,300)</f>
        <v>104</v>
      </c>
      <c r="AO175" s="53">
        <f t="shared" si="1048"/>
        <v>48</v>
      </c>
      <c r="AP175" s="54">
        <f t="shared" ref="AP175:AP182" si="1212">RANDBETWEEN(0,300)</f>
        <v>142</v>
      </c>
      <c r="AQ175" s="49">
        <f t="shared" ref="AQ175:AR175" si="1202">SUM(AG175,AI175,AK175,AM175,AO175)</f>
        <v>312</v>
      </c>
      <c r="AR175" s="50">
        <f t="shared" si="1202"/>
        <v>930</v>
      </c>
      <c r="AS175" s="53">
        <f t="shared" si="1051"/>
        <v>84</v>
      </c>
      <c r="AT175" s="54">
        <f t="shared" ref="AT175:AT176" si="1214">RANDBETWEEN(0,300)</f>
        <v>252</v>
      </c>
      <c r="AU175" s="53">
        <f t="shared" si="1053"/>
        <v>57</v>
      </c>
      <c r="AV175" s="54">
        <f t="shared" ref="AV175:AV176" si="1215">RANDBETWEEN(0,300)</f>
        <v>171</v>
      </c>
      <c r="AW175" s="53">
        <f t="shared" si="1055"/>
        <v>84</v>
      </c>
      <c r="AX175" s="54">
        <f t="shared" ref="AX175:AX176" si="1216">RANDBETWEEN(0,300)</f>
        <v>251</v>
      </c>
      <c r="AY175" s="53">
        <f t="shared" si="1057"/>
        <v>48</v>
      </c>
      <c r="AZ175" s="54">
        <f t="shared" ref="AZ175:AZ176" si="1217">RANDBETWEEN(0,300)</f>
        <v>143</v>
      </c>
      <c r="BA175" s="53">
        <f t="shared" si="1059"/>
        <v>70</v>
      </c>
      <c r="BB175" s="54">
        <f t="shared" ref="BB175:BB176" si="1218">RANDBETWEEN(0,300)</f>
        <v>208</v>
      </c>
      <c r="BC175" s="49">
        <f t="shared" ref="BC175:BD175" si="1203">SUM(AS175,AU175,AW175,AY175,BA175)</f>
        <v>343</v>
      </c>
      <c r="BD175" s="50">
        <f t="shared" si="1203"/>
        <v>1025</v>
      </c>
      <c r="BE175" s="68">
        <f t="shared" ref="BE175:BF175" si="1204">SUM(E175,G175,I175,O175,Q175,AC175,AQ175,BC175)</f>
        <v>1005</v>
      </c>
      <c r="BF175" s="69">
        <f t="shared" si="1204"/>
        <v>2996</v>
      </c>
      <c r="BG175" s="46" t="str">
        <f>BF175*'ОВгП_РАО'!$B$29</f>
        <v>#REF!</v>
      </c>
      <c r="BH175" s="46" t="str">
        <f>'ОВгП_РАО'!$B$29</f>
        <v>#REF!</v>
      </c>
    </row>
    <row r="176" ht="15.75" customHeight="1">
      <c r="A176" s="80">
        <f t="shared" si="1063"/>
        <v>46265</v>
      </c>
      <c r="B176" s="47" t="s">
        <v>154</v>
      </c>
      <c r="C176" s="47" t="s">
        <v>122</v>
      </c>
      <c r="D176" s="47" t="s">
        <v>152</v>
      </c>
      <c r="E176" s="73">
        <f t="shared" si="1014"/>
        <v>9</v>
      </c>
      <c r="F176" s="50">
        <f t="shared" si="1189"/>
        <v>25</v>
      </c>
      <c r="G176" s="73">
        <f t="shared" si="1016"/>
        <v>22</v>
      </c>
      <c r="H176" s="50">
        <f t="shared" si="1190"/>
        <v>65</v>
      </c>
      <c r="I176" s="73">
        <f t="shared" si="1018"/>
        <v>15</v>
      </c>
      <c r="J176" s="50">
        <f t="shared" si="1191"/>
        <v>44</v>
      </c>
      <c r="K176" s="53">
        <f t="shared" si="1020"/>
        <v>7</v>
      </c>
      <c r="L176" s="54">
        <f t="shared" si="1192"/>
        <v>21</v>
      </c>
      <c r="M176" s="53">
        <f t="shared" si="1022"/>
        <v>31</v>
      </c>
      <c r="N176" s="54">
        <f t="shared" si="1193"/>
        <v>92</v>
      </c>
      <c r="O176" s="49">
        <f t="shared" ref="O176:P176" si="1205">SUM(K176,M176)</f>
        <v>38</v>
      </c>
      <c r="P176" s="50">
        <f t="shared" si="1205"/>
        <v>113</v>
      </c>
      <c r="Q176" s="73">
        <f t="shared" si="1025"/>
        <v>16</v>
      </c>
      <c r="R176" s="50">
        <f t="shared" si="1195"/>
        <v>47</v>
      </c>
      <c r="S176" s="53">
        <f t="shared" si="1027"/>
        <v>64</v>
      </c>
      <c r="T176" s="54">
        <f t="shared" si="1196"/>
        <v>191</v>
      </c>
      <c r="U176" s="53">
        <f t="shared" si="1029"/>
        <v>2</v>
      </c>
      <c r="V176" s="54">
        <f t="shared" si="1197"/>
        <v>4</v>
      </c>
      <c r="W176" s="53">
        <f t="shared" si="1031"/>
        <v>39</v>
      </c>
      <c r="X176" s="54">
        <f t="shared" si="1198"/>
        <v>115</v>
      </c>
      <c r="Y176" s="53">
        <f t="shared" si="1033"/>
        <v>18</v>
      </c>
      <c r="Z176" s="54">
        <f t="shared" si="1199"/>
        <v>54</v>
      </c>
      <c r="AA176" s="53">
        <f t="shared" si="1035"/>
        <v>62</v>
      </c>
      <c r="AB176" s="54">
        <f t="shared" si="1200"/>
        <v>185</v>
      </c>
      <c r="AC176" s="49">
        <f t="shared" ref="AC176:AD176" si="1206">SUM(S176,U176,W176,Y176,AA176)</f>
        <v>185</v>
      </c>
      <c r="AD176" s="50">
        <f t="shared" si="1206"/>
        <v>549</v>
      </c>
      <c r="AE176" s="53">
        <f t="shared" si="1038"/>
        <v>73</v>
      </c>
      <c r="AF176" s="54">
        <f t="shared" si="1207"/>
        <v>217</v>
      </c>
      <c r="AG176" s="53">
        <f t="shared" si="1040"/>
        <v>48</v>
      </c>
      <c r="AH176" s="54">
        <f t="shared" si="1208"/>
        <v>143</v>
      </c>
      <c r="AI176" s="53">
        <f t="shared" si="1042"/>
        <v>35</v>
      </c>
      <c r="AJ176" s="54">
        <f t="shared" si="1209"/>
        <v>103</v>
      </c>
      <c r="AK176" s="53">
        <f t="shared" si="1044"/>
        <v>2</v>
      </c>
      <c r="AL176" s="54">
        <f t="shared" si="1210"/>
        <v>4</v>
      </c>
      <c r="AM176" s="53">
        <f t="shared" si="1046"/>
        <v>69</v>
      </c>
      <c r="AN176" s="54">
        <f t="shared" si="1211"/>
        <v>206</v>
      </c>
      <c r="AO176" s="53">
        <f t="shared" si="1048"/>
        <v>2</v>
      </c>
      <c r="AP176" s="54">
        <f t="shared" si="1212"/>
        <v>6</v>
      </c>
      <c r="AQ176" s="49">
        <f t="shared" ref="AQ176:AR176" si="1213">SUM(AG176,AI176,AK176,AM176,AO176)</f>
        <v>156</v>
      </c>
      <c r="AR176" s="50">
        <f t="shared" si="1213"/>
        <v>462</v>
      </c>
      <c r="AS176" s="53">
        <f t="shared" si="1051"/>
        <v>2</v>
      </c>
      <c r="AT176" s="54">
        <f t="shared" si="1214"/>
        <v>5</v>
      </c>
      <c r="AU176" s="53">
        <f t="shared" si="1053"/>
        <v>58</v>
      </c>
      <c r="AV176" s="54">
        <f t="shared" si="1215"/>
        <v>173</v>
      </c>
      <c r="AW176" s="53">
        <f t="shared" si="1055"/>
        <v>61</v>
      </c>
      <c r="AX176" s="54">
        <f t="shared" si="1216"/>
        <v>182</v>
      </c>
      <c r="AY176" s="53">
        <f t="shared" si="1057"/>
        <v>45</v>
      </c>
      <c r="AZ176" s="54">
        <f t="shared" si="1217"/>
        <v>133</v>
      </c>
      <c r="BA176" s="53">
        <f t="shared" si="1059"/>
        <v>58</v>
      </c>
      <c r="BB176" s="54">
        <f t="shared" si="1218"/>
        <v>173</v>
      </c>
      <c r="BC176" s="49">
        <f t="shared" ref="BC176:BD176" si="1219">SUM(AS176,AU176,AW176,AY176,BA176)</f>
        <v>224</v>
      </c>
      <c r="BD176" s="50">
        <f t="shared" si="1219"/>
        <v>666</v>
      </c>
      <c r="BE176" s="68">
        <f t="shared" ref="BE176:BF176" si="1220">SUM(E176,G176,I176,O176,Q176,AC176,AQ176,BC176)</f>
        <v>665</v>
      </c>
      <c r="BF176" s="69">
        <f t="shared" si="1220"/>
        <v>1971</v>
      </c>
      <c r="BG176" s="46" t="str">
        <f>BF176*'ОВгП_РАО'!$B$30</f>
        <v>#REF!</v>
      </c>
      <c r="BH176" s="46" t="str">
        <f>'ОВгП_РАО'!$B$30</f>
        <v>#REF!</v>
      </c>
    </row>
    <row r="177" ht="15.75" customHeight="1">
      <c r="A177" s="80">
        <f t="shared" si="1063"/>
        <v>46265</v>
      </c>
      <c r="B177" s="47" t="s">
        <v>155</v>
      </c>
      <c r="C177" s="47" t="s">
        <v>122</v>
      </c>
      <c r="D177" s="47" t="s">
        <v>156</v>
      </c>
      <c r="E177" s="73">
        <f t="shared" si="1014"/>
        <v>13</v>
      </c>
      <c r="F177" s="50">
        <f t="shared" si="1189"/>
        <v>39</v>
      </c>
      <c r="G177" s="73">
        <f t="shared" si="1016"/>
        <v>2</v>
      </c>
      <c r="H177" s="50">
        <f t="shared" si="1190"/>
        <v>4</v>
      </c>
      <c r="I177" s="73">
        <f t="shared" si="1018"/>
        <v>12</v>
      </c>
      <c r="J177" s="50">
        <f t="shared" si="1191"/>
        <v>35</v>
      </c>
      <c r="K177" s="53">
        <f t="shared" si="1020"/>
        <v>26</v>
      </c>
      <c r="L177" s="54">
        <f t="shared" si="1192"/>
        <v>78</v>
      </c>
      <c r="M177" s="53">
        <f t="shared" si="1022"/>
        <v>22</v>
      </c>
      <c r="N177" s="54">
        <f t="shared" si="1193"/>
        <v>66</v>
      </c>
      <c r="O177" s="49">
        <f t="shared" ref="O177:P177" si="1221">SUM(K177,M177)</f>
        <v>48</v>
      </c>
      <c r="P177" s="50">
        <f t="shared" si="1221"/>
        <v>144</v>
      </c>
      <c r="Q177" s="73">
        <f t="shared" si="1025"/>
        <v>23</v>
      </c>
      <c r="R177" s="50">
        <f t="shared" si="1195"/>
        <v>68</v>
      </c>
      <c r="S177" s="53">
        <f t="shared" si="1027"/>
        <v>29</v>
      </c>
      <c r="T177" s="54">
        <f t="shared" si="1196"/>
        <v>87</v>
      </c>
      <c r="U177" s="53">
        <f t="shared" si="1029"/>
        <v>58</v>
      </c>
      <c r="V177" s="54">
        <f t="shared" si="1197"/>
        <v>173</v>
      </c>
      <c r="W177" s="53">
        <f t="shared" si="1031"/>
        <v>79</v>
      </c>
      <c r="X177" s="54">
        <f t="shared" si="1198"/>
        <v>236</v>
      </c>
      <c r="Y177" s="53">
        <f t="shared" si="1033"/>
        <v>18</v>
      </c>
      <c r="Z177" s="54">
        <f t="shared" si="1199"/>
        <v>54</v>
      </c>
      <c r="AA177" s="53">
        <f t="shared" si="1035"/>
        <v>50</v>
      </c>
      <c r="AB177" s="54">
        <f t="shared" si="1200"/>
        <v>148</v>
      </c>
      <c r="AC177" s="49">
        <f t="shared" ref="AC177:AD177" si="1222">SUM(S177,U177,W177,Y177,AA177)</f>
        <v>234</v>
      </c>
      <c r="AD177" s="50">
        <f t="shared" si="1222"/>
        <v>698</v>
      </c>
      <c r="AE177" s="53">
        <f t="shared" si="1038"/>
        <v>66</v>
      </c>
      <c r="AF177" s="54">
        <f t="shared" si="1207"/>
        <v>197</v>
      </c>
      <c r="AG177" s="53">
        <f t="shared" si="1040"/>
        <v>78</v>
      </c>
      <c r="AH177" s="54">
        <f t="shared" si="1208"/>
        <v>234</v>
      </c>
      <c r="AI177" s="53">
        <f t="shared" si="1042"/>
        <v>9</v>
      </c>
      <c r="AJ177" s="54">
        <f t="shared" si="1209"/>
        <v>25</v>
      </c>
      <c r="AK177" s="53">
        <f t="shared" si="1044"/>
        <v>9</v>
      </c>
      <c r="AL177" s="54">
        <f t="shared" si="1210"/>
        <v>26</v>
      </c>
      <c r="AM177" s="53">
        <f t="shared" si="1046"/>
        <v>68</v>
      </c>
      <c r="AN177" s="54">
        <f t="shared" si="1211"/>
        <v>204</v>
      </c>
      <c r="AO177" s="53">
        <f t="shared" si="1048"/>
        <v>95</v>
      </c>
      <c r="AP177" s="54">
        <f t="shared" si="1212"/>
        <v>283</v>
      </c>
      <c r="AQ177" s="49">
        <f t="shared" ref="AQ177:AR177" si="1223">SUM(AG177,AI177,AK177,AM177,AO177)</f>
        <v>259</v>
      </c>
      <c r="AR177" s="50">
        <f t="shared" si="1223"/>
        <v>772</v>
      </c>
      <c r="AS177" s="53">
        <f t="shared" si="1051"/>
        <v>10</v>
      </c>
      <c r="AT177" s="54">
        <f t="shared" ref="AT177:AT179" si="1229">RANDBETWEEN(0,100)</f>
        <v>28</v>
      </c>
      <c r="AU177" s="53">
        <f t="shared" si="1053"/>
        <v>14</v>
      </c>
      <c r="AV177" s="54">
        <f t="shared" ref="AV177:AV179" si="1230">RANDBETWEEN(0,100)</f>
        <v>41</v>
      </c>
      <c r="AW177" s="53">
        <f t="shared" si="1055"/>
        <v>1</v>
      </c>
      <c r="AX177" s="54">
        <f t="shared" ref="AX177:AX179" si="1231">RANDBETWEEN(0,100)</f>
        <v>3</v>
      </c>
      <c r="AY177" s="53">
        <f t="shared" si="1057"/>
        <v>22</v>
      </c>
      <c r="AZ177" s="54">
        <f t="shared" ref="AZ177:AZ179" si="1232">RANDBETWEEN(0,100)</f>
        <v>65</v>
      </c>
      <c r="BA177" s="53">
        <f t="shared" si="1059"/>
        <v>19</v>
      </c>
      <c r="BB177" s="54">
        <f t="shared" ref="BB177:BB179" si="1233">RANDBETWEEN(0,100)</f>
        <v>57</v>
      </c>
      <c r="BC177" s="49">
        <f t="shared" ref="BC177:BD177" si="1224">SUM(AS177,AU177,AW177,AY177,BA177)</f>
        <v>66</v>
      </c>
      <c r="BD177" s="50">
        <f t="shared" si="1224"/>
        <v>194</v>
      </c>
      <c r="BE177" s="68">
        <f t="shared" ref="BE177:BF177" si="1225">SUM(E177,G177,I177,O177,Q177,AC177,AQ177,BC177)</f>
        <v>657</v>
      </c>
      <c r="BF177" s="69">
        <f t="shared" si="1225"/>
        <v>1954</v>
      </c>
      <c r="BG177" s="46" t="str">
        <f>BF177*'ОВгП_РАО'!$B$31</f>
        <v>#REF!</v>
      </c>
      <c r="BH177" s="46" t="str">
        <f>'ОВгП_РАО'!$B$31</f>
        <v>#REF!</v>
      </c>
    </row>
    <row r="178" ht="15.75" customHeight="1">
      <c r="A178" s="80">
        <f t="shared" si="1063"/>
        <v>46265</v>
      </c>
      <c r="B178" s="47" t="s">
        <v>158</v>
      </c>
      <c r="C178" s="47" t="s">
        <v>122</v>
      </c>
      <c r="D178" s="47" t="s">
        <v>156</v>
      </c>
      <c r="E178" s="73">
        <f t="shared" si="1014"/>
        <v>1</v>
      </c>
      <c r="F178" s="50">
        <f t="shared" si="1189"/>
        <v>1</v>
      </c>
      <c r="G178" s="73">
        <f t="shared" si="1016"/>
        <v>29</v>
      </c>
      <c r="H178" s="50">
        <f t="shared" si="1190"/>
        <v>87</v>
      </c>
      <c r="I178" s="73">
        <f t="shared" si="1018"/>
        <v>26</v>
      </c>
      <c r="J178" s="50">
        <f t="shared" si="1191"/>
        <v>77</v>
      </c>
      <c r="K178" s="53">
        <f t="shared" si="1020"/>
        <v>32</v>
      </c>
      <c r="L178" s="54">
        <f t="shared" si="1192"/>
        <v>95</v>
      </c>
      <c r="M178" s="53">
        <f t="shared" si="1022"/>
        <v>6</v>
      </c>
      <c r="N178" s="54">
        <f t="shared" si="1193"/>
        <v>18</v>
      </c>
      <c r="O178" s="49">
        <f t="shared" ref="O178:P178" si="1226">SUM(K178,M178)</f>
        <v>38</v>
      </c>
      <c r="P178" s="50">
        <f t="shared" si="1226"/>
        <v>113</v>
      </c>
      <c r="Q178" s="73">
        <f t="shared" si="1025"/>
        <v>6</v>
      </c>
      <c r="R178" s="50">
        <f t="shared" si="1195"/>
        <v>17</v>
      </c>
      <c r="S178" s="53">
        <f t="shared" si="1027"/>
        <v>43</v>
      </c>
      <c r="T178" s="54">
        <f t="shared" si="1196"/>
        <v>129</v>
      </c>
      <c r="U178" s="53">
        <f t="shared" si="1029"/>
        <v>45</v>
      </c>
      <c r="V178" s="54">
        <f t="shared" si="1197"/>
        <v>133</v>
      </c>
      <c r="W178" s="53">
        <f t="shared" si="1031"/>
        <v>13</v>
      </c>
      <c r="X178" s="54">
        <f t="shared" si="1198"/>
        <v>38</v>
      </c>
      <c r="Y178" s="53">
        <f t="shared" si="1033"/>
        <v>57</v>
      </c>
      <c r="Z178" s="54">
        <f t="shared" si="1199"/>
        <v>170</v>
      </c>
      <c r="AA178" s="53">
        <f t="shared" si="1035"/>
        <v>8</v>
      </c>
      <c r="AB178" s="54">
        <f t="shared" si="1200"/>
        <v>22</v>
      </c>
      <c r="AC178" s="49">
        <f t="shared" ref="AC178:AD178" si="1227">SUM(S178,U178,W178,Y178,AA178)</f>
        <v>166</v>
      </c>
      <c r="AD178" s="50">
        <f t="shared" si="1227"/>
        <v>492</v>
      </c>
      <c r="AE178" s="53">
        <f t="shared" si="1038"/>
        <v>1</v>
      </c>
      <c r="AF178" s="54">
        <f t="shared" si="1207"/>
        <v>1</v>
      </c>
      <c r="AG178" s="53">
        <f t="shared" si="1040"/>
        <v>51</v>
      </c>
      <c r="AH178" s="54">
        <f t="shared" si="1208"/>
        <v>153</v>
      </c>
      <c r="AI178" s="53">
        <f t="shared" si="1042"/>
        <v>37</v>
      </c>
      <c r="AJ178" s="54">
        <f t="shared" si="1209"/>
        <v>111</v>
      </c>
      <c r="AK178" s="53">
        <f t="shared" si="1044"/>
        <v>42</v>
      </c>
      <c r="AL178" s="54">
        <f t="shared" si="1210"/>
        <v>125</v>
      </c>
      <c r="AM178" s="53">
        <f t="shared" si="1046"/>
        <v>16</v>
      </c>
      <c r="AN178" s="54">
        <f t="shared" si="1211"/>
        <v>48</v>
      </c>
      <c r="AO178" s="53">
        <f t="shared" si="1048"/>
        <v>83</v>
      </c>
      <c r="AP178" s="54">
        <f t="shared" si="1212"/>
        <v>248</v>
      </c>
      <c r="AQ178" s="49">
        <f t="shared" ref="AQ178:AR178" si="1228">SUM(AG178,AI178,AK178,AM178,AO178)</f>
        <v>229</v>
      </c>
      <c r="AR178" s="50">
        <f t="shared" si="1228"/>
        <v>685</v>
      </c>
      <c r="AS178" s="53">
        <f t="shared" si="1051"/>
        <v>23</v>
      </c>
      <c r="AT178" s="54">
        <f t="shared" si="1229"/>
        <v>69</v>
      </c>
      <c r="AU178" s="53">
        <f t="shared" si="1053"/>
        <v>2</v>
      </c>
      <c r="AV178" s="54">
        <f t="shared" si="1230"/>
        <v>4</v>
      </c>
      <c r="AW178" s="53">
        <f t="shared" si="1055"/>
        <v>19</v>
      </c>
      <c r="AX178" s="54">
        <f t="shared" si="1231"/>
        <v>57</v>
      </c>
      <c r="AY178" s="53">
        <f t="shared" si="1057"/>
        <v>17</v>
      </c>
      <c r="AZ178" s="54">
        <f t="shared" si="1232"/>
        <v>49</v>
      </c>
      <c r="BA178" s="53">
        <f t="shared" si="1059"/>
        <v>1</v>
      </c>
      <c r="BB178" s="54">
        <f t="shared" si="1233"/>
        <v>3</v>
      </c>
      <c r="BC178" s="49">
        <f t="shared" ref="BC178:BD178" si="1234">SUM(AS178,AU178,AW178,AY178,BA178)</f>
        <v>62</v>
      </c>
      <c r="BD178" s="50">
        <f t="shared" si="1234"/>
        <v>182</v>
      </c>
      <c r="BE178" s="68">
        <f t="shared" ref="BE178:BF178" si="1235">SUM(E178,G178,I178,O178,Q178,AC178,AQ178,BC178)</f>
        <v>557</v>
      </c>
      <c r="BF178" s="69">
        <f t="shared" si="1235"/>
        <v>1654</v>
      </c>
      <c r="BG178" s="46" t="str">
        <f>BF178*'ОВгП_РАО'!$B$32</f>
        <v>#REF!</v>
      </c>
      <c r="BH178" s="46" t="str">
        <f>'ОВгП_РАО'!$B$32</f>
        <v>#REF!</v>
      </c>
    </row>
    <row r="179" ht="15.75" customHeight="1">
      <c r="A179" s="80">
        <f t="shared" si="1063"/>
        <v>46265</v>
      </c>
      <c r="B179" s="47" t="s">
        <v>159</v>
      </c>
      <c r="C179" s="47" t="s">
        <v>122</v>
      </c>
      <c r="D179" s="47" t="s">
        <v>156</v>
      </c>
      <c r="E179" s="73">
        <f t="shared" si="1014"/>
        <v>25</v>
      </c>
      <c r="F179" s="50">
        <f t="shared" si="1189"/>
        <v>74</v>
      </c>
      <c r="G179" s="73">
        <f t="shared" si="1016"/>
        <v>11</v>
      </c>
      <c r="H179" s="50">
        <f t="shared" si="1190"/>
        <v>31</v>
      </c>
      <c r="I179" s="73">
        <f t="shared" si="1018"/>
        <v>22</v>
      </c>
      <c r="J179" s="50">
        <f t="shared" si="1191"/>
        <v>65</v>
      </c>
      <c r="K179" s="53">
        <f t="shared" si="1020"/>
        <v>6</v>
      </c>
      <c r="L179" s="54">
        <f t="shared" si="1192"/>
        <v>16</v>
      </c>
      <c r="M179" s="53">
        <f t="shared" si="1022"/>
        <v>33</v>
      </c>
      <c r="N179" s="54">
        <f t="shared" si="1193"/>
        <v>97</v>
      </c>
      <c r="O179" s="49">
        <f t="shared" ref="O179:P179" si="1236">SUM(K179,M179)</f>
        <v>39</v>
      </c>
      <c r="P179" s="50">
        <f t="shared" si="1236"/>
        <v>113</v>
      </c>
      <c r="Q179" s="73">
        <f t="shared" si="1025"/>
        <v>13</v>
      </c>
      <c r="R179" s="50">
        <f t="shared" si="1195"/>
        <v>39</v>
      </c>
      <c r="S179" s="53">
        <f t="shared" si="1027"/>
        <v>18</v>
      </c>
      <c r="T179" s="54">
        <f t="shared" si="1196"/>
        <v>54</v>
      </c>
      <c r="U179" s="53">
        <f t="shared" si="1029"/>
        <v>7</v>
      </c>
      <c r="V179" s="54">
        <f t="shared" si="1197"/>
        <v>19</v>
      </c>
      <c r="W179" s="53">
        <f t="shared" si="1031"/>
        <v>58</v>
      </c>
      <c r="X179" s="54">
        <f t="shared" si="1198"/>
        <v>172</v>
      </c>
      <c r="Y179" s="53">
        <f t="shared" si="1033"/>
        <v>27</v>
      </c>
      <c r="Z179" s="54">
        <f t="shared" si="1199"/>
        <v>79</v>
      </c>
      <c r="AA179" s="53">
        <f t="shared" si="1035"/>
        <v>100</v>
      </c>
      <c r="AB179" s="54">
        <f t="shared" si="1200"/>
        <v>299</v>
      </c>
      <c r="AC179" s="49">
        <f t="shared" ref="AC179:AD179" si="1237">SUM(S179,U179,W179,Y179,AA179)</f>
        <v>210</v>
      </c>
      <c r="AD179" s="50">
        <f t="shared" si="1237"/>
        <v>623</v>
      </c>
      <c r="AE179" s="53">
        <f t="shared" si="1038"/>
        <v>24</v>
      </c>
      <c r="AF179" s="54">
        <f t="shared" si="1207"/>
        <v>70</v>
      </c>
      <c r="AG179" s="53">
        <f t="shared" si="1040"/>
        <v>84</v>
      </c>
      <c r="AH179" s="54">
        <f t="shared" si="1208"/>
        <v>252</v>
      </c>
      <c r="AI179" s="53">
        <f t="shared" si="1042"/>
        <v>17</v>
      </c>
      <c r="AJ179" s="54">
        <f t="shared" si="1209"/>
        <v>49</v>
      </c>
      <c r="AK179" s="53">
        <f t="shared" si="1044"/>
        <v>56</v>
      </c>
      <c r="AL179" s="54">
        <f t="shared" si="1210"/>
        <v>168</v>
      </c>
      <c r="AM179" s="53">
        <f t="shared" si="1046"/>
        <v>37</v>
      </c>
      <c r="AN179" s="54">
        <f t="shared" si="1211"/>
        <v>110</v>
      </c>
      <c r="AO179" s="53">
        <f t="shared" si="1048"/>
        <v>77</v>
      </c>
      <c r="AP179" s="54">
        <f t="shared" si="1212"/>
        <v>229</v>
      </c>
      <c r="AQ179" s="49">
        <f t="shared" ref="AQ179:AR179" si="1238">SUM(AG179,AI179,AK179,AM179,AO179)</f>
        <v>271</v>
      </c>
      <c r="AR179" s="50">
        <f t="shared" si="1238"/>
        <v>808</v>
      </c>
      <c r="AS179" s="53">
        <f t="shared" si="1051"/>
        <v>21</v>
      </c>
      <c r="AT179" s="54">
        <f t="shared" si="1229"/>
        <v>61</v>
      </c>
      <c r="AU179" s="53">
        <f t="shared" si="1053"/>
        <v>3</v>
      </c>
      <c r="AV179" s="54">
        <f t="shared" si="1230"/>
        <v>8</v>
      </c>
      <c r="AW179" s="53">
        <f t="shared" si="1055"/>
        <v>20</v>
      </c>
      <c r="AX179" s="54">
        <f t="shared" si="1231"/>
        <v>60</v>
      </c>
      <c r="AY179" s="53">
        <f t="shared" si="1057"/>
        <v>11</v>
      </c>
      <c r="AZ179" s="54">
        <f t="shared" si="1232"/>
        <v>33</v>
      </c>
      <c r="BA179" s="53">
        <f t="shared" si="1059"/>
        <v>6</v>
      </c>
      <c r="BB179" s="54">
        <f t="shared" si="1233"/>
        <v>16</v>
      </c>
      <c r="BC179" s="49">
        <f t="shared" ref="BC179:BD179" si="1239">SUM(AS179,AU179,AW179,AY179,BA179)</f>
        <v>61</v>
      </c>
      <c r="BD179" s="50">
        <f t="shared" si="1239"/>
        <v>178</v>
      </c>
      <c r="BE179" s="68">
        <f t="shared" ref="BE179:BF179" si="1240">SUM(E179,G179,I179,O179,Q179,AC179,AQ179,BC179)</f>
        <v>652</v>
      </c>
      <c r="BF179" s="69">
        <f t="shared" si="1240"/>
        <v>1931</v>
      </c>
      <c r="BG179" s="46" t="str">
        <f>BF179*'ОВгП_РАО'!$B$33</f>
        <v>#REF!</v>
      </c>
      <c r="BH179" s="46" t="str">
        <f>'ОВгП_РАО'!$B$33</f>
        <v>#REF!</v>
      </c>
    </row>
    <row r="180" ht="15.75" customHeight="1">
      <c r="A180" s="80">
        <f t="shared" si="1063"/>
        <v>46265</v>
      </c>
      <c r="B180" s="47" t="s">
        <v>160</v>
      </c>
      <c r="C180" s="47" t="s">
        <v>161</v>
      </c>
      <c r="D180" s="47" t="s">
        <v>98</v>
      </c>
      <c r="E180" s="73">
        <f t="shared" si="1014"/>
        <v>28</v>
      </c>
      <c r="F180" s="50">
        <f t="shared" si="1189"/>
        <v>84</v>
      </c>
      <c r="G180" s="73">
        <f t="shared" si="1016"/>
        <v>12</v>
      </c>
      <c r="H180" s="50">
        <f t="shared" si="1190"/>
        <v>34</v>
      </c>
      <c r="I180" s="73">
        <f t="shared" si="1018"/>
        <v>20</v>
      </c>
      <c r="J180" s="50">
        <f t="shared" si="1191"/>
        <v>59</v>
      </c>
      <c r="K180" s="53">
        <f t="shared" si="1020"/>
        <v>12</v>
      </c>
      <c r="L180" s="54">
        <f t="shared" si="1192"/>
        <v>35</v>
      </c>
      <c r="M180" s="53">
        <f t="shared" si="1022"/>
        <v>14</v>
      </c>
      <c r="N180" s="54">
        <f t="shared" si="1193"/>
        <v>42</v>
      </c>
      <c r="O180" s="49">
        <f t="shared" ref="O180:P180" si="1241">SUM(K180,M180)</f>
        <v>26</v>
      </c>
      <c r="P180" s="50">
        <f t="shared" si="1241"/>
        <v>77</v>
      </c>
      <c r="Q180" s="73">
        <f t="shared" si="1025"/>
        <v>31</v>
      </c>
      <c r="R180" s="50">
        <f t="shared" si="1195"/>
        <v>93</v>
      </c>
      <c r="S180" s="53">
        <f t="shared" si="1027"/>
        <v>59</v>
      </c>
      <c r="T180" s="54">
        <f t="shared" si="1196"/>
        <v>175</v>
      </c>
      <c r="U180" s="53">
        <f t="shared" si="1029"/>
        <v>25</v>
      </c>
      <c r="V180" s="54">
        <f t="shared" si="1197"/>
        <v>75</v>
      </c>
      <c r="W180" s="53">
        <f t="shared" si="1031"/>
        <v>16</v>
      </c>
      <c r="X180" s="54">
        <f t="shared" si="1198"/>
        <v>46</v>
      </c>
      <c r="Y180" s="53">
        <f t="shared" si="1033"/>
        <v>23</v>
      </c>
      <c r="Z180" s="54">
        <f t="shared" si="1199"/>
        <v>69</v>
      </c>
      <c r="AA180" s="53">
        <f t="shared" si="1035"/>
        <v>23</v>
      </c>
      <c r="AB180" s="54">
        <f t="shared" si="1200"/>
        <v>69</v>
      </c>
      <c r="AC180" s="49">
        <f t="shared" ref="AC180:AD180" si="1242">SUM(S180,U180,W180,Y180,AA180)</f>
        <v>146</v>
      </c>
      <c r="AD180" s="50">
        <f t="shared" si="1242"/>
        <v>434</v>
      </c>
      <c r="AE180" s="53">
        <f t="shared" si="1038"/>
        <v>39</v>
      </c>
      <c r="AF180" s="54">
        <f t="shared" si="1207"/>
        <v>116</v>
      </c>
      <c r="AG180" s="53">
        <f t="shared" si="1040"/>
        <v>70</v>
      </c>
      <c r="AH180" s="54">
        <f t="shared" si="1208"/>
        <v>210</v>
      </c>
      <c r="AI180" s="53">
        <f t="shared" si="1042"/>
        <v>75</v>
      </c>
      <c r="AJ180" s="54">
        <f t="shared" si="1209"/>
        <v>225</v>
      </c>
      <c r="AK180" s="53">
        <f t="shared" si="1044"/>
        <v>0</v>
      </c>
      <c r="AL180" s="54">
        <f t="shared" si="1210"/>
        <v>0</v>
      </c>
      <c r="AM180" s="53">
        <f t="shared" si="1046"/>
        <v>19</v>
      </c>
      <c r="AN180" s="54">
        <f t="shared" si="1211"/>
        <v>55</v>
      </c>
      <c r="AO180" s="53">
        <f t="shared" si="1048"/>
        <v>32</v>
      </c>
      <c r="AP180" s="54">
        <f t="shared" si="1212"/>
        <v>96</v>
      </c>
      <c r="AQ180" s="49">
        <f t="shared" ref="AQ180:AR180" si="1243">SUM(AG180,AI180,AK180,AM180,AO180)</f>
        <v>196</v>
      </c>
      <c r="AR180" s="50">
        <f t="shared" si="1243"/>
        <v>586</v>
      </c>
      <c r="AS180" s="53">
        <f t="shared" si="1051"/>
        <v>1</v>
      </c>
      <c r="AT180" s="54">
        <f t="shared" ref="AT180:AT182" si="1249">RANDBETWEEN(0,300)</f>
        <v>1</v>
      </c>
      <c r="AU180" s="53">
        <f t="shared" si="1053"/>
        <v>43</v>
      </c>
      <c r="AV180" s="54">
        <f t="shared" ref="AV180:AV182" si="1250">RANDBETWEEN(0,300)</f>
        <v>127</v>
      </c>
      <c r="AW180" s="53">
        <f t="shared" si="1055"/>
        <v>68</v>
      </c>
      <c r="AX180" s="54">
        <f t="shared" ref="AX180:AX182" si="1251">RANDBETWEEN(0,300)</f>
        <v>204</v>
      </c>
      <c r="AY180" s="53">
        <f t="shared" si="1057"/>
        <v>64</v>
      </c>
      <c r="AZ180" s="54">
        <f t="shared" ref="AZ180:AZ182" si="1252">RANDBETWEEN(0,300)</f>
        <v>191</v>
      </c>
      <c r="BA180" s="53">
        <f t="shared" si="1059"/>
        <v>43</v>
      </c>
      <c r="BB180" s="54">
        <f t="shared" ref="BB180:BB182" si="1253">RANDBETWEEN(0,300)</f>
        <v>127</v>
      </c>
      <c r="BC180" s="49">
        <f t="shared" ref="BC180:BD180" si="1244">SUM(AS180,AU180,AW180,AY180,BA180)</f>
        <v>219</v>
      </c>
      <c r="BD180" s="50">
        <f t="shared" si="1244"/>
        <v>650</v>
      </c>
      <c r="BE180" s="68">
        <f t="shared" ref="BE180:BF180" si="1245">SUM(E180,G180,I180,O180,Q180,AC180,AQ180,BC180)</f>
        <v>678</v>
      </c>
      <c r="BF180" s="69">
        <f t="shared" si="1245"/>
        <v>2017</v>
      </c>
      <c r="BG180" s="46" t="str">
        <f>BF180*'ОВгП_РАО'!$B$34</f>
        <v>#REF!</v>
      </c>
      <c r="BH180" s="46" t="str">
        <f>'ОВгП_РАО'!$B$34</f>
        <v>#REF!</v>
      </c>
    </row>
    <row r="181" ht="15.75" customHeight="1">
      <c r="A181" s="80">
        <f t="shared" si="1063"/>
        <v>46265</v>
      </c>
      <c r="B181" s="47" t="s">
        <v>163</v>
      </c>
      <c r="C181" s="47" t="s">
        <v>161</v>
      </c>
      <c r="D181" s="47" t="s">
        <v>145</v>
      </c>
      <c r="E181" s="73">
        <f t="shared" si="1014"/>
        <v>33</v>
      </c>
      <c r="F181" s="50">
        <f t="shared" si="1189"/>
        <v>99</v>
      </c>
      <c r="G181" s="73">
        <f t="shared" si="1016"/>
        <v>2</v>
      </c>
      <c r="H181" s="50">
        <f t="shared" si="1190"/>
        <v>4</v>
      </c>
      <c r="I181" s="73">
        <f t="shared" si="1018"/>
        <v>31</v>
      </c>
      <c r="J181" s="50">
        <f t="shared" si="1191"/>
        <v>93</v>
      </c>
      <c r="K181" s="53">
        <f t="shared" si="1020"/>
        <v>33</v>
      </c>
      <c r="L181" s="54">
        <f t="shared" si="1192"/>
        <v>97</v>
      </c>
      <c r="M181" s="53">
        <f t="shared" si="1022"/>
        <v>2</v>
      </c>
      <c r="N181" s="54">
        <f t="shared" si="1193"/>
        <v>4</v>
      </c>
      <c r="O181" s="49">
        <f t="shared" ref="O181:P181" si="1246">SUM(K181,M181)</f>
        <v>35</v>
      </c>
      <c r="P181" s="50">
        <f t="shared" si="1246"/>
        <v>101</v>
      </c>
      <c r="Q181" s="73">
        <f t="shared" si="1025"/>
        <v>29</v>
      </c>
      <c r="R181" s="50">
        <f t="shared" si="1195"/>
        <v>86</v>
      </c>
      <c r="S181" s="53">
        <f t="shared" si="1027"/>
        <v>56</v>
      </c>
      <c r="T181" s="54">
        <f t="shared" si="1196"/>
        <v>168</v>
      </c>
      <c r="U181" s="53">
        <f t="shared" si="1029"/>
        <v>66</v>
      </c>
      <c r="V181" s="54">
        <f t="shared" si="1197"/>
        <v>197</v>
      </c>
      <c r="W181" s="53">
        <f t="shared" si="1031"/>
        <v>31</v>
      </c>
      <c r="X181" s="54">
        <f t="shared" si="1198"/>
        <v>91</v>
      </c>
      <c r="Y181" s="53">
        <f t="shared" si="1033"/>
        <v>32</v>
      </c>
      <c r="Z181" s="54">
        <f t="shared" si="1199"/>
        <v>94</v>
      </c>
      <c r="AA181" s="53">
        <f t="shared" si="1035"/>
        <v>74</v>
      </c>
      <c r="AB181" s="54">
        <f t="shared" si="1200"/>
        <v>220</v>
      </c>
      <c r="AC181" s="49">
        <f t="shared" ref="AC181:AD181" si="1247">SUM(S181,U181,W181,Y181,AA181)</f>
        <v>259</v>
      </c>
      <c r="AD181" s="50">
        <f t="shared" si="1247"/>
        <v>770</v>
      </c>
      <c r="AE181" s="53">
        <f t="shared" si="1038"/>
        <v>92</v>
      </c>
      <c r="AF181" s="54">
        <f t="shared" si="1207"/>
        <v>274</v>
      </c>
      <c r="AG181" s="53">
        <f t="shared" si="1040"/>
        <v>11</v>
      </c>
      <c r="AH181" s="54">
        <f t="shared" si="1208"/>
        <v>32</v>
      </c>
      <c r="AI181" s="53">
        <f t="shared" si="1042"/>
        <v>84</v>
      </c>
      <c r="AJ181" s="54">
        <f t="shared" si="1209"/>
        <v>252</v>
      </c>
      <c r="AK181" s="53">
        <f t="shared" si="1044"/>
        <v>49</v>
      </c>
      <c r="AL181" s="54">
        <f t="shared" si="1210"/>
        <v>145</v>
      </c>
      <c r="AM181" s="53">
        <f t="shared" si="1046"/>
        <v>73</v>
      </c>
      <c r="AN181" s="54">
        <f t="shared" si="1211"/>
        <v>217</v>
      </c>
      <c r="AO181" s="53">
        <f t="shared" si="1048"/>
        <v>14</v>
      </c>
      <c r="AP181" s="54">
        <f t="shared" si="1212"/>
        <v>41</v>
      </c>
      <c r="AQ181" s="49">
        <f t="shared" ref="AQ181:AR181" si="1248">SUM(AG181,AI181,AK181,AM181,AO181)</f>
        <v>231</v>
      </c>
      <c r="AR181" s="50">
        <f t="shared" si="1248"/>
        <v>687</v>
      </c>
      <c r="AS181" s="53">
        <f t="shared" si="1051"/>
        <v>55</v>
      </c>
      <c r="AT181" s="54">
        <f t="shared" si="1249"/>
        <v>163</v>
      </c>
      <c r="AU181" s="53">
        <f t="shared" si="1053"/>
        <v>26</v>
      </c>
      <c r="AV181" s="54">
        <f t="shared" si="1250"/>
        <v>77</v>
      </c>
      <c r="AW181" s="53">
        <f t="shared" si="1055"/>
        <v>65</v>
      </c>
      <c r="AX181" s="54">
        <f t="shared" si="1251"/>
        <v>195</v>
      </c>
      <c r="AY181" s="53">
        <f t="shared" si="1057"/>
        <v>77</v>
      </c>
      <c r="AZ181" s="54">
        <f t="shared" si="1252"/>
        <v>231</v>
      </c>
      <c r="BA181" s="53">
        <f t="shared" si="1059"/>
        <v>26</v>
      </c>
      <c r="BB181" s="54">
        <f t="shared" si="1253"/>
        <v>76</v>
      </c>
      <c r="BC181" s="49">
        <f t="shared" ref="BC181:BD181" si="1254">SUM(AS181,AU181,AW181,AY181,BA181)</f>
        <v>249</v>
      </c>
      <c r="BD181" s="50">
        <f t="shared" si="1254"/>
        <v>742</v>
      </c>
      <c r="BE181" s="68">
        <f t="shared" ref="BE181:BF181" si="1255">SUM(E181,G181,I181,O181,Q181,AC181,AQ181,BC181)</f>
        <v>869</v>
      </c>
      <c r="BF181" s="69">
        <f t="shared" si="1255"/>
        <v>2582</v>
      </c>
      <c r="BG181" s="46" t="str">
        <f>BF181*'ОВгП_РАО'!$B$35</f>
        <v>#REF!</v>
      </c>
      <c r="BH181" s="46" t="str">
        <f>'ОВгП_РАО'!$B$35</f>
        <v>#REF!</v>
      </c>
    </row>
    <row r="182" ht="15.75" customHeight="1">
      <c r="A182" s="80">
        <f t="shared" si="1063"/>
        <v>46265</v>
      </c>
      <c r="B182" s="47" t="s">
        <v>164</v>
      </c>
      <c r="C182" s="47" t="s">
        <v>161</v>
      </c>
      <c r="D182" s="47" t="s">
        <v>148</v>
      </c>
      <c r="E182" s="73">
        <f t="shared" si="1014"/>
        <v>9</v>
      </c>
      <c r="F182" s="50">
        <f t="shared" si="1189"/>
        <v>25</v>
      </c>
      <c r="G182" s="73">
        <f t="shared" si="1016"/>
        <v>3</v>
      </c>
      <c r="H182" s="50">
        <f t="shared" si="1190"/>
        <v>8</v>
      </c>
      <c r="I182" s="73">
        <f t="shared" si="1018"/>
        <v>13</v>
      </c>
      <c r="J182" s="50">
        <f t="shared" si="1191"/>
        <v>38</v>
      </c>
      <c r="K182" s="53">
        <f t="shared" si="1020"/>
        <v>16</v>
      </c>
      <c r="L182" s="54">
        <f t="shared" si="1192"/>
        <v>46</v>
      </c>
      <c r="M182" s="53">
        <f t="shared" si="1022"/>
        <v>25</v>
      </c>
      <c r="N182" s="54">
        <f t="shared" si="1193"/>
        <v>74</v>
      </c>
      <c r="O182" s="49">
        <f t="shared" ref="O182:P182" si="1256">SUM(K182,M182)</f>
        <v>41</v>
      </c>
      <c r="P182" s="50">
        <f t="shared" si="1256"/>
        <v>120</v>
      </c>
      <c r="Q182" s="73">
        <f t="shared" si="1025"/>
        <v>5</v>
      </c>
      <c r="R182" s="50">
        <f t="shared" si="1195"/>
        <v>15</v>
      </c>
      <c r="S182" s="53">
        <f t="shared" si="1027"/>
        <v>33</v>
      </c>
      <c r="T182" s="54">
        <f t="shared" si="1196"/>
        <v>99</v>
      </c>
      <c r="U182" s="53">
        <f t="shared" si="1029"/>
        <v>93</v>
      </c>
      <c r="V182" s="54">
        <f t="shared" si="1197"/>
        <v>279</v>
      </c>
      <c r="W182" s="53">
        <f t="shared" si="1031"/>
        <v>71</v>
      </c>
      <c r="X182" s="54">
        <f t="shared" si="1198"/>
        <v>212</v>
      </c>
      <c r="Y182" s="53">
        <f t="shared" si="1033"/>
        <v>9</v>
      </c>
      <c r="Z182" s="54">
        <f t="shared" si="1199"/>
        <v>27</v>
      </c>
      <c r="AA182" s="53">
        <f t="shared" si="1035"/>
        <v>41</v>
      </c>
      <c r="AB182" s="54">
        <f t="shared" si="1200"/>
        <v>122</v>
      </c>
      <c r="AC182" s="49">
        <f t="shared" ref="AC182:AD182" si="1257">SUM(S182,U182,W182,Y182,AA182)</f>
        <v>247</v>
      </c>
      <c r="AD182" s="50">
        <f t="shared" si="1257"/>
        <v>739</v>
      </c>
      <c r="AE182" s="53">
        <f t="shared" si="1038"/>
        <v>22</v>
      </c>
      <c r="AF182" s="54">
        <f t="shared" si="1207"/>
        <v>64</v>
      </c>
      <c r="AG182" s="53">
        <f t="shared" si="1040"/>
        <v>40</v>
      </c>
      <c r="AH182" s="54">
        <f t="shared" si="1208"/>
        <v>120</v>
      </c>
      <c r="AI182" s="53">
        <f t="shared" si="1042"/>
        <v>85</v>
      </c>
      <c r="AJ182" s="54">
        <f t="shared" si="1209"/>
        <v>255</v>
      </c>
      <c r="AK182" s="53">
        <f t="shared" si="1044"/>
        <v>36</v>
      </c>
      <c r="AL182" s="54">
        <f t="shared" si="1210"/>
        <v>106</v>
      </c>
      <c r="AM182" s="53">
        <f t="shared" si="1046"/>
        <v>94</v>
      </c>
      <c r="AN182" s="54">
        <f t="shared" si="1211"/>
        <v>282</v>
      </c>
      <c r="AO182" s="53">
        <f t="shared" si="1048"/>
        <v>34</v>
      </c>
      <c r="AP182" s="54">
        <f t="shared" si="1212"/>
        <v>102</v>
      </c>
      <c r="AQ182" s="49">
        <f t="shared" ref="AQ182:AR182" si="1258">SUM(AG182,AI182,AK182,AM182,AO182)</f>
        <v>289</v>
      </c>
      <c r="AR182" s="50">
        <f t="shared" si="1258"/>
        <v>865</v>
      </c>
      <c r="AS182" s="53">
        <f t="shared" si="1051"/>
        <v>86</v>
      </c>
      <c r="AT182" s="54">
        <f t="shared" si="1249"/>
        <v>257</v>
      </c>
      <c r="AU182" s="53">
        <f t="shared" si="1053"/>
        <v>14</v>
      </c>
      <c r="AV182" s="54">
        <f t="shared" si="1250"/>
        <v>42</v>
      </c>
      <c r="AW182" s="53">
        <f t="shared" si="1055"/>
        <v>38</v>
      </c>
      <c r="AX182" s="54">
        <f t="shared" si="1251"/>
        <v>113</v>
      </c>
      <c r="AY182" s="53">
        <f t="shared" si="1057"/>
        <v>59</v>
      </c>
      <c r="AZ182" s="54">
        <f t="shared" si="1252"/>
        <v>175</v>
      </c>
      <c r="BA182" s="53">
        <f t="shared" si="1059"/>
        <v>63</v>
      </c>
      <c r="BB182" s="54">
        <f t="shared" si="1253"/>
        <v>187</v>
      </c>
      <c r="BC182" s="49">
        <f t="shared" ref="BC182:BD182" si="1259">SUM(AS182,AU182,AW182,AY182,BA182)</f>
        <v>260</v>
      </c>
      <c r="BD182" s="50">
        <f t="shared" si="1259"/>
        <v>774</v>
      </c>
      <c r="BE182" s="68">
        <f t="shared" ref="BE182:BF182" si="1260">SUM(E182,G182,I182,O182,Q182,AC182,AQ182,BC182)</f>
        <v>867</v>
      </c>
      <c r="BF182" s="69">
        <f t="shared" si="1260"/>
        <v>2584</v>
      </c>
      <c r="BG182" s="46" t="str">
        <f>BF182*'ОВгП_РАО'!$B$36</f>
        <v>#REF!</v>
      </c>
      <c r="BH182" s="46" t="str">
        <f>'ОВгП_РАО'!B180</f>
        <v>#REF!</v>
      </c>
    </row>
    <row r="183" ht="15.75" customHeight="1">
      <c r="A183" s="161"/>
      <c r="B183" s="162"/>
      <c r="C183" s="162"/>
      <c r="D183" s="162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  <c r="BC183" s="40"/>
      <c r="BD183" s="40"/>
      <c r="BE183" s="40"/>
      <c r="BF183" s="42"/>
    </row>
    <row r="184" ht="15.75" customHeight="1">
      <c r="A184" s="44">
        <f>A182+1</f>
        <v>46266</v>
      </c>
      <c r="B184" s="163" t="s">
        <v>95</v>
      </c>
      <c r="C184" s="46" t="s">
        <v>96</v>
      </c>
      <c r="D184" s="47" t="s">
        <v>98</v>
      </c>
      <c r="E184" s="49">
        <f t="shared" ref="E184:E218" si="1266">ROUNDUP(F184/3,0)</f>
        <v>2</v>
      </c>
      <c r="F184" s="50">
        <f t="shared" ref="F184:F209" si="1267">RANDBETWEEN(0,4)</f>
        <v>4</v>
      </c>
      <c r="G184" s="49">
        <f t="shared" ref="G184:G218" si="1268">ROUNDUP(H184/3,0)</f>
        <v>1</v>
      </c>
      <c r="H184" s="50">
        <f t="shared" ref="H184:H209" si="1269">RANDBETWEEN(0,4)</f>
        <v>2</v>
      </c>
      <c r="I184" s="49">
        <f t="shared" ref="I184:I218" si="1270">ROUNDUP(J184/3,0)</f>
        <v>1</v>
      </c>
      <c r="J184" s="50">
        <f t="shared" ref="J184:J209" si="1271">RANDBETWEEN(0,4)</f>
        <v>3</v>
      </c>
      <c r="K184" s="53">
        <f t="shared" ref="K184:K218" si="1272">ROUNDUP(L184/3,0)</f>
        <v>1</v>
      </c>
      <c r="L184" s="54">
        <f t="shared" ref="L184:L209" si="1273">RANDBETWEEN(0,4)</f>
        <v>1</v>
      </c>
      <c r="M184" s="53">
        <f t="shared" ref="M184:M218" si="1274">ROUNDUP(N184/3,0)</f>
        <v>0</v>
      </c>
      <c r="N184" s="54">
        <f t="shared" ref="N184:N209" si="1275">RANDBETWEEN(0,4)</f>
        <v>0</v>
      </c>
      <c r="O184" s="49">
        <f t="shared" ref="O184:P184" si="1261">SUM(K184,M184)</f>
        <v>1</v>
      </c>
      <c r="P184" s="50">
        <f t="shared" si="1261"/>
        <v>1</v>
      </c>
      <c r="Q184" s="49">
        <f t="shared" ref="Q184:Q218" si="1277">ROUNDUP(R184/3,0)</f>
        <v>2</v>
      </c>
      <c r="R184" s="50">
        <f t="shared" ref="R184:R209" si="1278">RANDBETWEEN(0,4)</f>
        <v>4</v>
      </c>
      <c r="S184" s="53">
        <f t="shared" ref="S184:S218" si="1279">ROUNDUP(T184/3,0)</f>
        <v>2</v>
      </c>
      <c r="T184" s="54">
        <f t="shared" ref="T184:T209" si="1280">RANDBETWEEN(0,4)</f>
        <v>4</v>
      </c>
      <c r="U184" s="53">
        <f t="shared" ref="U184:U218" si="1281">ROUNDUP(V184/3,0)</f>
        <v>1</v>
      </c>
      <c r="V184" s="54">
        <f t="shared" ref="V184:V209" si="1282">RANDBETWEEN(0,4)</f>
        <v>3</v>
      </c>
      <c r="W184" s="53">
        <f t="shared" ref="W184:W218" si="1283">ROUNDUP(X184/3,0)</f>
        <v>1</v>
      </c>
      <c r="X184" s="54">
        <f t="shared" ref="X184:X209" si="1284">RANDBETWEEN(0,4)</f>
        <v>3</v>
      </c>
      <c r="Y184" s="53">
        <f t="shared" ref="Y184:Y218" si="1285">ROUNDUP(Z184/3,0)</f>
        <v>2</v>
      </c>
      <c r="Z184" s="54">
        <f t="shared" ref="Z184:Z209" si="1286">RANDBETWEEN(0,4)</f>
        <v>4</v>
      </c>
      <c r="AA184" s="53">
        <f t="shared" ref="AA184:AA218" si="1287">ROUNDUP(AB184/3,0)</f>
        <v>1</v>
      </c>
      <c r="AB184" s="54">
        <f t="shared" ref="AB184:AB209" si="1288">RANDBETWEEN(0,4)</f>
        <v>3</v>
      </c>
      <c r="AC184" s="49">
        <f t="shared" ref="AC184:AD184" si="1262">SUM(S184,U184,W184,Y184,AA184)</f>
        <v>7</v>
      </c>
      <c r="AD184" s="50">
        <f t="shared" si="1262"/>
        <v>17</v>
      </c>
      <c r="AE184" s="53">
        <f t="shared" ref="AE184:AE218" si="1290">ROUNDUP(AF184/3,0)</f>
        <v>1</v>
      </c>
      <c r="AF184" s="54">
        <f t="shared" ref="AF184:AF209" si="1291">RANDBETWEEN(0,4)</f>
        <v>1</v>
      </c>
      <c r="AG184" s="53">
        <f t="shared" ref="AG184:AG218" si="1292">ROUNDUP(AH184/3,0)</f>
        <v>1</v>
      </c>
      <c r="AH184" s="54">
        <f t="shared" ref="AH184:AH209" si="1293">RANDBETWEEN(0,4)</f>
        <v>1</v>
      </c>
      <c r="AI184" s="53">
        <f t="shared" ref="AI184:AI218" si="1294">ROUNDUP(AJ184/3,0)</f>
        <v>1</v>
      </c>
      <c r="AJ184" s="54">
        <f t="shared" ref="AJ184:AJ209" si="1295">RANDBETWEEN(0,4)</f>
        <v>2</v>
      </c>
      <c r="AK184" s="53">
        <f t="shared" ref="AK184:AK218" si="1296">ROUNDUP(AL184/3,0)</f>
        <v>1</v>
      </c>
      <c r="AL184" s="54">
        <f t="shared" ref="AL184:AL209" si="1297">RANDBETWEEN(0,4)</f>
        <v>2</v>
      </c>
      <c r="AM184" s="53">
        <f t="shared" ref="AM184:AM218" si="1298">ROUNDUP(AN184/3,0)</f>
        <v>2</v>
      </c>
      <c r="AN184" s="54">
        <f t="shared" ref="AN184:AN209" si="1299">RANDBETWEEN(0,4)</f>
        <v>4</v>
      </c>
      <c r="AO184" s="53">
        <f t="shared" ref="AO184:AO218" si="1300">ROUNDUP(AP184/3,0)</f>
        <v>2</v>
      </c>
      <c r="AP184" s="54">
        <f t="shared" ref="AP184:AP209" si="1301">RANDBETWEEN(0,4)</f>
        <v>4</v>
      </c>
      <c r="AQ184" s="49">
        <f t="shared" ref="AQ184:AR184" si="1263">SUM(AG184,AI184,AK184,AM184,AO184)</f>
        <v>7</v>
      </c>
      <c r="AR184" s="50">
        <f t="shared" si="1263"/>
        <v>13</v>
      </c>
      <c r="AS184" s="53">
        <f t="shared" ref="AS184:AS218" si="1303">ROUNDUP(AT184/3,0)</f>
        <v>0</v>
      </c>
      <c r="AT184" s="54">
        <f t="shared" ref="AT184:AT209" si="1304">RANDBETWEEN(0,4)</f>
        <v>0</v>
      </c>
      <c r="AU184" s="53">
        <f t="shared" ref="AU184:AU218" si="1305">ROUNDUP(AV184/3,0)</f>
        <v>0</v>
      </c>
      <c r="AV184" s="54">
        <f t="shared" ref="AV184:AV209" si="1306">RANDBETWEEN(0,4)</f>
        <v>0</v>
      </c>
      <c r="AW184" s="53">
        <f t="shared" ref="AW184:AW218" si="1307">ROUNDUP(AX184/3,0)</f>
        <v>0</v>
      </c>
      <c r="AX184" s="54">
        <f t="shared" ref="AX184:AX209" si="1308">RANDBETWEEN(0,4)</f>
        <v>0</v>
      </c>
      <c r="AY184" s="53">
        <f t="shared" ref="AY184:AY218" si="1309">ROUNDUP(AZ184/3,0)</f>
        <v>0</v>
      </c>
      <c r="AZ184" s="54">
        <f t="shared" ref="AZ184:AZ209" si="1310">RANDBETWEEN(0,4)</f>
        <v>0</v>
      </c>
      <c r="BA184" s="53">
        <f t="shared" ref="BA184:BA218" si="1311">ROUNDUP(BB184/3,0)</f>
        <v>1</v>
      </c>
      <c r="BB184" s="54">
        <f t="shared" ref="BB184:BB209" si="1312">RANDBETWEEN(0,4)</f>
        <v>3</v>
      </c>
      <c r="BC184" s="49">
        <f t="shared" ref="BC184:BD184" si="1264">SUM(AS184,AU184,AW184,AY184,BA184)</f>
        <v>1</v>
      </c>
      <c r="BD184" s="50">
        <f t="shared" si="1264"/>
        <v>3</v>
      </c>
      <c r="BE184" s="68">
        <f t="shared" ref="BE184:BF184" si="1265">SUM(E184,G184,I184,O184,Q184,AC184,AQ184,BC184)</f>
        <v>22</v>
      </c>
      <c r="BF184" s="69">
        <f t="shared" si="1265"/>
        <v>47</v>
      </c>
      <c r="BG184" s="46" t="str">
        <f>BF184*'ОВгП_РАО'!$B$2</f>
        <v>#REF!</v>
      </c>
      <c r="BH184" s="46" t="str">
        <f>'ОВгП_РАО'!$B$2</f>
        <v>#REF!</v>
      </c>
    </row>
    <row r="185" ht="15.75" customHeight="1">
      <c r="A185" s="71">
        <f t="shared" ref="A185:A218" si="1315">A184</f>
        <v>46266</v>
      </c>
      <c r="B185" s="45" t="s">
        <v>115</v>
      </c>
      <c r="C185" s="46" t="s">
        <v>96</v>
      </c>
      <c r="D185" s="47" t="s">
        <v>98</v>
      </c>
      <c r="E185" s="73">
        <f t="shared" si="1266"/>
        <v>1</v>
      </c>
      <c r="F185" s="50">
        <f t="shared" si="1267"/>
        <v>3</v>
      </c>
      <c r="G185" s="73">
        <f t="shared" si="1268"/>
        <v>1</v>
      </c>
      <c r="H185" s="50">
        <f t="shared" si="1269"/>
        <v>1</v>
      </c>
      <c r="I185" s="73">
        <f t="shared" si="1270"/>
        <v>1</v>
      </c>
      <c r="J185" s="50">
        <f t="shared" si="1271"/>
        <v>2</v>
      </c>
      <c r="K185" s="53">
        <f t="shared" si="1272"/>
        <v>0</v>
      </c>
      <c r="L185" s="54">
        <f t="shared" si="1273"/>
        <v>0</v>
      </c>
      <c r="M185" s="53">
        <f t="shared" si="1274"/>
        <v>1</v>
      </c>
      <c r="N185" s="54">
        <f t="shared" si="1275"/>
        <v>3</v>
      </c>
      <c r="O185" s="49">
        <f t="shared" ref="O185:P185" si="1276">SUM(K185,M185)</f>
        <v>1</v>
      </c>
      <c r="P185" s="50">
        <f t="shared" si="1276"/>
        <v>3</v>
      </c>
      <c r="Q185" s="73">
        <f t="shared" si="1277"/>
        <v>2</v>
      </c>
      <c r="R185" s="50">
        <f t="shared" si="1278"/>
        <v>4</v>
      </c>
      <c r="S185" s="53">
        <f t="shared" si="1279"/>
        <v>1</v>
      </c>
      <c r="T185" s="54">
        <f t="shared" si="1280"/>
        <v>1</v>
      </c>
      <c r="U185" s="53">
        <f t="shared" si="1281"/>
        <v>0</v>
      </c>
      <c r="V185" s="54">
        <f t="shared" si="1282"/>
        <v>0</v>
      </c>
      <c r="W185" s="53">
        <f t="shared" si="1283"/>
        <v>0</v>
      </c>
      <c r="X185" s="54">
        <f t="shared" si="1284"/>
        <v>0</v>
      </c>
      <c r="Y185" s="53">
        <f t="shared" si="1285"/>
        <v>1</v>
      </c>
      <c r="Z185" s="54">
        <f t="shared" si="1286"/>
        <v>3</v>
      </c>
      <c r="AA185" s="53">
        <f t="shared" si="1287"/>
        <v>1</v>
      </c>
      <c r="AB185" s="54">
        <f t="shared" si="1288"/>
        <v>2</v>
      </c>
      <c r="AC185" s="49">
        <f t="shared" ref="AC185:AD185" si="1289">SUM(S185,U185,W185,Y185,AA185)</f>
        <v>3</v>
      </c>
      <c r="AD185" s="50">
        <f t="shared" si="1289"/>
        <v>6</v>
      </c>
      <c r="AE185" s="53">
        <f t="shared" si="1290"/>
        <v>1</v>
      </c>
      <c r="AF185" s="54">
        <f t="shared" si="1291"/>
        <v>3</v>
      </c>
      <c r="AG185" s="53">
        <f t="shared" si="1292"/>
        <v>0</v>
      </c>
      <c r="AH185" s="54">
        <f t="shared" si="1293"/>
        <v>0</v>
      </c>
      <c r="AI185" s="53">
        <f t="shared" si="1294"/>
        <v>2</v>
      </c>
      <c r="AJ185" s="54">
        <f t="shared" si="1295"/>
        <v>4</v>
      </c>
      <c r="AK185" s="53">
        <f t="shared" si="1296"/>
        <v>2</v>
      </c>
      <c r="AL185" s="54">
        <f t="shared" si="1297"/>
        <v>4</v>
      </c>
      <c r="AM185" s="53">
        <f t="shared" si="1298"/>
        <v>1</v>
      </c>
      <c r="AN185" s="54">
        <f t="shared" si="1299"/>
        <v>1</v>
      </c>
      <c r="AO185" s="53">
        <f t="shared" si="1300"/>
        <v>2</v>
      </c>
      <c r="AP185" s="54">
        <f t="shared" si="1301"/>
        <v>4</v>
      </c>
      <c r="AQ185" s="49">
        <f t="shared" ref="AQ185:AR185" si="1302">SUM(AG185,AI185,AK185,AM185,AO185)</f>
        <v>7</v>
      </c>
      <c r="AR185" s="50">
        <f t="shared" si="1302"/>
        <v>13</v>
      </c>
      <c r="AS185" s="53">
        <f t="shared" si="1303"/>
        <v>1</v>
      </c>
      <c r="AT185" s="54">
        <f t="shared" si="1304"/>
        <v>1</v>
      </c>
      <c r="AU185" s="53">
        <f t="shared" si="1305"/>
        <v>0</v>
      </c>
      <c r="AV185" s="54">
        <f t="shared" si="1306"/>
        <v>0</v>
      </c>
      <c r="AW185" s="53">
        <f t="shared" si="1307"/>
        <v>1</v>
      </c>
      <c r="AX185" s="54">
        <f t="shared" si="1308"/>
        <v>2</v>
      </c>
      <c r="AY185" s="53">
        <f t="shared" si="1309"/>
        <v>0</v>
      </c>
      <c r="AZ185" s="54">
        <f t="shared" si="1310"/>
        <v>0</v>
      </c>
      <c r="BA185" s="53">
        <f t="shared" si="1311"/>
        <v>1</v>
      </c>
      <c r="BB185" s="54">
        <f t="shared" si="1312"/>
        <v>1</v>
      </c>
      <c r="BC185" s="49">
        <f t="shared" ref="BC185:BD185" si="1313">SUM(AS185,AU185,AW185,AY185,BA185)</f>
        <v>3</v>
      </c>
      <c r="BD185" s="50">
        <f t="shared" si="1313"/>
        <v>4</v>
      </c>
      <c r="BE185" s="68">
        <f t="shared" ref="BE185:BF185" si="1314">SUM(E185,G185,I185,O185,Q185,AC185,AQ185,BC185)</f>
        <v>19</v>
      </c>
      <c r="BF185" s="69">
        <f t="shared" si="1314"/>
        <v>36</v>
      </c>
      <c r="BG185" s="46" t="str">
        <f>BF185*'ОВгП_РАО'!$B$3</f>
        <v>#REF!</v>
      </c>
      <c r="BH185" s="46" t="str">
        <f>'ОВгП_РАО'!$B$3</f>
        <v>#REF!</v>
      </c>
    </row>
    <row r="186" ht="15.75" customHeight="1">
      <c r="A186" s="80">
        <f t="shared" si="1315"/>
        <v>46266</v>
      </c>
      <c r="B186" s="45" t="s">
        <v>116</v>
      </c>
      <c r="C186" s="46" t="s">
        <v>96</v>
      </c>
      <c r="D186" s="47" t="s">
        <v>98</v>
      </c>
      <c r="E186" s="73">
        <f t="shared" si="1266"/>
        <v>2</v>
      </c>
      <c r="F186" s="50">
        <f t="shared" si="1267"/>
        <v>4</v>
      </c>
      <c r="G186" s="73">
        <f t="shared" si="1268"/>
        <v>1</v>
      </c>
      <c r="H186" s="50">
        <f t="shared" si="1269"/>
        <v>2</v>
      </c>
      <c r="I186" s="73">
        <f t="shared" si="1270"/>
        <v>1</v>
      </c>
      <c r="J186" s="50">
        <f t="shared" si="1271"/>
        <v>1</v>
      </c>
      <c r="K186" s="53">
        <f t="shared" si="1272"/>
        <v>2</v>
      </c>
      <c r="L186" s="54">
        <f t="shared" si="1273"/>
        <v>4</v>
      </c>
      <c r="M186" s="53">
        <f t="shared" si="1274"/>
        <v>0</v>
      </c>
      <c r="N186" s="54">
        <f t="shared" si="1275"/>
        <v>0</v>
      </c>
      <c r="O186" s="49">
        <f t="shared" ref="O186:P186" si="1316">SUM(K186,M186)</f>
        <v>2</v>
      </c>
      <c r="P186" s="50">
        <f t="shared" si="1316"/>
        <v>4</v>
      </c>
      <c r="Q186" s="73">
        <f t="shared" si="1277"/>
        <v>2</v>
      </c>
      <c r="R186" s="50">
        <f t="shared" si="1278"/>
        <v>4</v>
      </c>
      <c r="S186" s="53">
        <f t="shared" si="1279"/>
        <v>0</v>
      </c>
      <c r="T186" s="54">
        <f t="shared" si="1280"/>
        <v>0</v>
      </c>
      <c r="U186" s="53">
        <f t="shared" si="1281"/>
        <v>0</v>
      </c>
      <c r="V186" s="54">
        <f t="shared" si="1282"/>
        <v>0</v>
      </c>
      <c r="W186" s="53">
        <f t="shared" si="1283"/>
        <v>1</v>
      </c>
      <c r="X186" s="54">
        <f t="shared" si="1284"/>
        <v>3</v>
      </c>
      <c r="Y186" s="53">
        <f t="shared" si="1285"/>
        <v>0</v>
      </c>
      <c r="Z186" s="54">
        <f t="shared" si="1286"/>
        <v>0</v>
      </c>
      <c r="AA186" s="53">
        <f t="shared" si="1287"/>
        <v>1</v>
      </c>
      <c r="AB186" s="54">
        <f t="shared" si="1288"/>
        <v>1</v>
      </c>
      <c r="AC186" s="49">
        <f t="shared" ref="AC186:AD186" si="1317">SUM(S186,U186,W186,Y186,AA186)</f>
        <v>2</v>
      </c>
      <c r="AD186" s="50">
        <f t="shared" si="1317"/>
        <v>4</v>
      </c>
      <c r="AE186" s="53">
        <f t="shared" si="1290"/>
        <v>1</v>
      </c>
      <c r="AF186" s="54">
        <f t="shared" si="1291"/>
        <v>1</v>
      </c>
      <c r="AG186" s="53">
        <f t="shared" si="1292"/>
        <v>1</v>
      </c>
      <c r="AH186" s="54">
        <f t="shared" si="1293"/>
        <v>1</v>
      </c>
      <c r="AI186" s="53">
        <f t="shared" si="1294"/>
        <v>1</v>
      </c>
      <c r="AJ186" s="54">
        <f t="shared" si="1295"/>
        <v>3</v>
      </c>
      <c r="AK186" s="53">
        <f t="shared" si="1296"/>
        <v>1</v>
      </c>
      <c r="AL186" s="54">
        <f t="shared" si="1297"/>
        <v>1</v>
      </c>
      <c r="AM186" s="53">
        <f t="shared" si="1298"/>
        <v>2</v>
      </c>
      <c r="AN186" s="54">
        <f t="shared" si="1299"/>
        <v>4</v>
      </c>
      <c r="AO186" s="53">
        <f t="shared" si="1300"/>
        <v>2</v>
      </c>
      <c r="AP186" s="54">
        <f t="shared" si="1301"/>
        <v>4</v>
      </c>
      <c r="AQ186" s="49">
        <f t="shared" ref="AQ186:AR186" si="1318">SUM(AG186,AI186,AK186,AM186,AO186)</f>
        <v>7</v>
      </c>
      <c r="AR186" s="50">
        <f t="shared" si="1318"/>
        <v>13</v>
      </c>
      <c r="AS186" s="53">
        <f t="shared" si="1303"/>
        <v>1</v>
      </c>
      <c r="AT186" s="54">
        <f t="shared" si="1304"/>
        <v>3</v>
      </c>
      <c r="AU186" s="53">
        <f t="shared" si="1305"/>
        <v>1</v>
      </c>
      <c r="AV186" s="54">
        <f t="shared" si="1306"/>
        <v>2</v>
      </c>
      <c r="AW186" s="53">
        <f t="shared" si="1307"/>
        <v>1</v>
      </c>
      <c r="AX186" s="54">
        <f t="shared" si="1308"/>
        <v>1</v>
      </c>
      <c r="AY186" s="53">
        <f t="shared" si="1309"/>
        <v>1</v>
      </c>
      <c r="AZ186" s="54">
        <f t="shared" si="1310"/>
        <v>1</v>
      </c>
      <c r="BA186" s="53">
        <f t="shared" si="1311"/>
        <v>2</v>
      </c>
      <c r="BB186" s="54">
        <f t="shared" si="1312"/>
        <v>4</v>
      </c>
      <c r="BC186" s="49">
        <f t="shared" ref="BC186:BD186" si="1319">SUM(AS186,AU186,AW186,AY186,BA186)</f>
        <v>6</v>
      </c>
      <c r="BD186" s="50">
        <f t="shared" si="1319"/>
        <v>11</v>
      </c>
      <c r="BE186" s="68">
        <f t="shared" ref="BE186:BF186" si="1320">SUM(E186,G186,I186,O186,Q186,AC186,AQ186,BC186)</f>
        <v>23</v>
      </c>
      <c r="BF186" s="69">
        <f t="shared" si="1320"/>
        <v>43</v>
      </c>
      <c r="BG186" s="46" t="str">
        <f>BF186*'ОВгП_РАО'!$B$4</f>
        <v>#REF!</v>
      </c>
      <c r="BH186" s="46" t="str">
        <f>'ОВгП_РАО'!$B$4</f>
        <v>#REF!</v>
      </c>
    </row>
    <row r="187" ht="15.75" customHeight="1">
      <c r="A187" s="80">
        <f t="shared" si="1315"/>
        <v>46266</v>
      </c>
      <c r="B187" s="45" t="s">
        <v>117</v>
      </c>
      <c r="C187" s="46" t="s">
        <v>96</v>
      </c>
      <c r="D187" s="47" t="s">
        <v>98</v>
      </c>
      <c r="E187" s="73">
        <f t="shared" si="1266"/>
        <v>1</v>
      </c>
      <c r="F187" s="50">
        <f t="shared" si="1267"/>
        <v>3</v>
      </c>
      <c r="G187" s="73">
        <f t="shared" si="1268"/>
        <v>0</v>
      </c>
      <c r="H187" s="50">
        <f t="shared" si="1269"/>
        <v>0</v>
      </c>
      <c r="I187" s="73">
        <f t="shared" si="1270"/>
        <v>1</v>
      </c>
      <c r="J187" s="50">
        <f t="shared" si="1271"/>
        <v>3</v>
      </c>
      <c r="K187" s="53">
        <f t="shared" si="1272"/>
        <v>2</v>
      </c>
      <c r="L187" s="54">
        <f t="shared" si="1273"/>
        <v>4</v>
      </c>
      <c r="M187" s="53">
        <f t="shared" si="1274"/>
        <v>1</v>
      </c>
      <c r="N187" s="54">
        <f t="shared" si="1275"/>
        <v>2</v>
      </c>
      <c r="O187" s="49">
        <f t="shared" ref="O187:P187" si="1321">SUM(K187,M187)</f>
        <v>3</v>
      </c>
      <c r="P187" s="50">
        <f t="shared" si="1321"/>
        <v>6</v>
      </c>
      <c r="Q187" s="73">
        <f t="shared" si="1277"/>
        <v>1</v>
      </c>
      <c r="R187" s="50">
        <f t="shared" si="1278"/>
        <v>2</v>
      </c>
      <c r="S187" s="53">
        <f t="shared" si="1279"/>
        <v>1</v>
      </c>
      <c r="T187" s="54">
        <f t="shared" si="1280"/>
        <v>1</v>
      </c>
      <c r="U187" s="53">
        <f t="shared" si="1281"/>
        <v>2</v>
      </c>
      <c r="V187" s="54">
        <f t="shared" si="1282"/>
        <v>4</v>
      </c>
      <c r="W187" s="53">
        <f t="shared" si="1283"/>
        <v>1</v>
      </c>
      <c r="X187" s="54">
        <f t="shared" si="1284"/>
        <v>3</v>
      </c>
      <c r="Y187" s="53">
        <f t="shared" si="1285"/>
        <v>0</v>
      </c>
      <c r="Z187" s="54">
        <f t="shared" si="1286"/>
        <v>0</v>
      </c>
      <c r="AA187" s="53">
        <f t="shared" si="1287"/>
        <v>1</v>
      </c>
      <c r="AB187" s="54">
        <f t="shared" si="1288"/>
        <v>2</v>
      </c>
      <c r="AC187" s="49">
        <f t="shared" ref="AC187:AD187" si="1322">SUM(S187,U187,W187,Y187,AA187)</f>
        <v>5</v>
      </c>
      <c r="AD187" s="50">
        <f t="shared" si="1322"/>
        <v>10</v>
      </c>
      <c r="AE187" s="53">
        <f t="shared" si="1290"/>
        <v>1</v>
      </c>
      <c r="AF187" s="54">
        <f t="shared" si="1291"/>
        <v>1</v>
      </c>
      <c r="AG187" s="53">
        <f t="shared" si="1292"/>
        <v>1</v>
      </c>
      <c r="AH187" s="54">
        <f t="shared" si="1293"/>
        <v>1</v>
      </c>
      <c r="AI187" s="53">
        <f t="shared" si="1294"/>
        <v>1</v>
      </c>
      <c r="AJ187" s="54">
        <f t="shared" si="1295"/>
        <v>3</v>
      </c>
      <c r="AK187" s="53">
        <f t="shared" si="1296"/>
        <v>1</v>
      </c>
      <c r="AL187" s="54">
        <f t="shared" si="1297"/>
        <v>3</v>
      </c>
      <c r="AM187" s="53">
        <f t="shared" si="1298"/>
        <v>1</v>
      </c>
      <c r="AN187" s="54">
        <f t="shared" si="1299"/>
        <v>3</v>
      </c>
      <c r="AO187" s="53">
        <f t="shared" si="1300"/>
        <v>0</v>
      </c>
      <c r="AP187" s="54">
        <f t="shared" si="1301"/>
        <v>0</v>
      </c>
      <c r="AQ187" s="49">
        <f t="shared" ref="AQ187:AR187" si="1323">SUM(AG187,AI187,AK187,AM187,AO187)</f>
        <v>4</v>
      </c>
      <c r="AR187" s="50">
        <f t="shared" si="1323"/>
        <v>10</v>
      </c>
      <c r="AS187" s="53">
        <f t="shared" si="1303"/>
        <v>2</v>
      </c>
      <c r="AT187" s="54">
        <f t="shared" si="1304"/>
        <v>4</v>
      </c>
      <c r="AU187" s="53">
        <f t="shared" si="1305"/>
        <v>1</v>
      </c>
      <c r="AV187" s="54">
        <f t="shared" si="1306"/>
        <v>3</v>
      </c>
      <c r="AW187" s="53">
        <f t="shared" si="1307"/>
        <v>0</v>
      </c>
      <c r="AX187" s="54">
        <f t="shared" si="1308"/>
        <v>0</v>
      </c>
      <c r="AY187" s="53">
        <f t="shared" si="1309"/>
        <v>2</v>
      </c>
      <c r="AZ187" s="54">
        <f t="shared" si="1310"/>
        <v>4</v>
      </c>
      <c r="BA187" s="53">
        <f t="shared" si="1311"/>
        <v>1</v>
      </c>
      <c r="BB187" s="54">
        <f t="shared" si="1312"/>
        <v>2</v>
      </c>
      <c r="BC187" s="49">
        <f t="shared" ref="BC187:BD187" si="1324">SUM(AS187,AU187,AW187,AY187,BA187)</f>
        <v>6</v>
      </c>
      <c r="BD187" s="50">
        <f t="shared" si="1324"/>
        <v>13</v>
      </c>
      <c r="BE187" s="68">
        <f t="shared" ref="BE187:BF187" si="1325">SUM(E187,G187,I187,O187,Q187,AC187,AQ187,BC187)</f>
        <v>21</v>
      </c>
      <c r="BF187" s="69">
        <f t="shared" si="1325"/>
        <v>47</v>
      </c>
      <c r="BG187" s="46" t="str">
        <f>BF187*'ОВгП_РАО'!$B$5</f>
        <v>#REF!</v>
      </c>
      <c r="BH187" s="46" t="str">
        <f>'ОВгП_РАО'!$B$5</f>
        <v>#REF!</v>
      </c>
    </row>
    <row r="188" ht="15.75" customHeight="1">
      <c r="A188" s="80">
        <f t="shared" si="1315"/>
        <v>46266</v>
      </c>
      <c r="B188" s="45" t="s">
        <v>118</v>
      </c>
      <c r="C188" s="45" t="s">
        <v>96</v>
      </c>
      <c r="D188" s="47" t="s">
        <v>98</v>
      </c>
      <c r="E188" s="73">
        <f t="shared" si="1266"/>
        <v>1</v>
      </c>
      <c r="F188" s="50">
        <f t="shared" si="1267"/>
        <v>2</v>
      </c>
      <c r="G188" s="73">
        <f t="shared" si="1268"/>
        <v>0</v>
      </c>
      <c r="H188" s="50">
        <f t="shared" si="1269"/>
        <v>0</v>
      </c>
      <c r="I188" s="73">
        <f t="shared" si="1270"/>
        <v>2</v>
      </c>
      <c r="J188" s="50">
        <f t="shared" si="1271"/>
        <v>4</v>
      </c>
      <c r="K188" s="53">
        <f t="shared" si="1272"/>
        <v>1</v>
      </c>
      <c r="L188" s="54">
        <f t="shared" si="1273"/>
        <v>3</v>
      </c>
      <c r="M188" s="53">
        <f t="shared" si="1274"/>
        <v>1</v>
      </c>
      <c r="N188" s="54">
        <f t="shared" si="1275"/>
        <v>2</v>
      </c>
      <c r="O188" s="49">
        <f t="shared" ref="O188:P188" si="1326">SUM(K188,M188)</f>
        <v>2</v>
      </c>
      <c r="P188" s="50">
        <f t="shared" si="1326"/>
        <v>5</v>
      </c>
      <c r="Q188" s="73">
        <f t="shared" si="1277"/>
        <v>1</v>
      </c>
      <c r="R188" s="50">
        <f t="shared" si="1278"/>
        <v>2</v>
      </c>
      <c r="S188" s="53">
        <f t="shared" si="1279"/>
        <v>1</v>
      </c>
      <c r="T188" s="54">
        <f t="shared" si="1280"/>
        <v>2</v>
      </c>
      <c r="U188" s="53">
        <f t="shared" si="1281"/>
        <v>2</v>
      </c>
      <c r="V188" s="54">
        <f t="shared" si="1282"/>
        <v>4</v>
      </c>
      <c r="W188" s="53">
        <f t="shared" si="1283"/>
        <v>1</v>
      </c>
      <c r="X188" s="54">
        <f t="shared" si="1284"/>
        <v>3</v>
      </c>
      <c r="Y188" s="53">
        <f t="shared" si="1285"/>
        <v>1</v>
      </c>
      <c r="Z188" s="54">
        <f t="shared" si="1286"/>
        <v>3</v>
      </c>
      <c r="AA188" s="53">
        <f t="shared" si="1287"/>
        <v>0</v>
      </c>
      <c r="AB188" s="54">
        <f t="shared" si="1288"/>
        <v>0</v>
      </c>
      <c r="AC188" s="49">
        <f t="shared" ref="AC188:AD188" si="1327">SUM(S188,U188,W188,Y188,AA188)</f>
        <v>5</v>
      </c>
      <c r="AD188" s="50">
        <f t="shared" si="1327"/>
        <v>12</v>
      </c>
      <c r="AE188" s="53">
        <f t="shared" si="1290"/>
        <v>1</v>
      </c>
      <c r="AF188" s="54">
        <f t="shared" si="1291"/>
        <v>1</v>
      </c>
      <c r="AG188" s="53">
        <f t="shared" si="1292"/>
        <v>0</v>
      </c>
      <c r="AH188" s="54">
        <f t="shared" si="1293"/>
        <v>0</v>
      </c>
      <c r="AI188" s="53">
        <f t="shared" si="1294"/>
        <v>1</v>
      </c>
      <c r="AJ188" s="54">
        <f t="shared" si="1295"/>
        <v>2</v>
      </c>
      <c r="AK188" s="53">
        <f t="shared" si="1296"/>
        <v>1</v>
      </c>
      <c r="AL188" s="54">
        <f t="shared" si="1297"/>
        <v>3</v>
      </c>
      <c r="AM188" s="53">
        <f t="shared" si="1298"/>
        <v>1</v>
      </c>
      <c r="AN188" s="54">
        <f t="shared" si="1299"/>
        <v>1</v>
      </c>
      <c r="AO188" s="53">
        <f t="shared" si="1300"/>
        <v>0</v>
      </c>
      <c r="AP188" s="54">
        <f t="shared" si="1301"/>
        <v>0</v>
      </c>
      <c r="AQ188" s="49">
        <f t="shared" ref="AQ188:AR188" si="1328">SUM(AG188,AI188,AK188,AM188,AO188)</f>
        <v>3</v>
      </c>
      <c r="AR188" s="50">
        <f t="shared" si="1328"/>
        <v>6</v>
      </c>
      <c r="AS188" s="53">
        <f t="shared" si="1303"/>
        <v>1</v>
      </c>
      <c r="AT188" s="54">
        <f t="shared" si="1304"/>
        <v>2</v>
      </c>
      <c r="AU188" s="53">
        <f t="shared" si="1305"/>
        <v>1</v>
      </c>
      <c r="AV188" s="54">
        <f t="shared" si="1306"/>
        <v>3</v>
      </c>
      <c r="AW188" s="53">
        <f t="shared" si="1307"/>
        <v>1</v>
      </c>
      <c r="AX188" s="54">
        <f t="shared" si="1308"/>
        <v>2</v>
      </c>
      <c r="AY188" s="53">
        <f t="shared" si="1309"/>
        <v>1</v>
      </c>
      <c r="AZ188" s="54">
        <f t="shared" si="1310"/>
        <v>1</v>
      </c>
      <c r="BA188" s="53">
        <f t="shared" si="1311"/>
        <v>1</v>
      </c>
      <c r="BB188" s="54">
        <f t="shared" si="1312"/>
        <v>2</v>
      </c>
      <c r="BC188" s="49">
        <f t="shared" ref="BC188:BD188" si="1329">SUM(AS188,AU188,AW188,AY188,BA188)</f>
        <v>5</v>
      </c>
      <c r="BD188" s="50">
        <f t="shared" si="1329"/>
        <v>10</v>
      </c>
      <c r="BE188" s="68">
        <f t="shared" ref="BE188:BF188" si="1330">SUM(E188,G188,I188,O188,Q188,AC188,AQ188,BC188)</f>
        <v>19</v>
      </c>
      <c r="BF188" s="69">
        <f t="shared" si="1330"/>
        <v>41</v>
      </c>
      <c r="BG188" s="46" t="str">
        <f>BF188*'ОВгП_РАО'!$B$6</f>
        <v>#REF!</v>
      </c>
      <c r="BH188" s="46" t="str">
        <f>'ОВгП_РАО'!$B$6</f>
        <v>#REF!</v>
      </c>
    </row>
    <row r="189" ht="15.75" customHeight="1">
      <c r="A189" s="80">
        <f t="shared" si="1315"/>
        <v>46266</v>
      </c>
      <c r="B189" s="46" t="s">
        <v>119</v>
      </c>
      <c r="C189" s="45" t="s">
        <v>96</v>
      </c>
      <c r="D189" s="47" t="s">
        <v>120</v>
      </c>
      <c r="E189" s="73">
        <f t="shared" si="1266"/>
        <v>1</v>
      </c>
      <c r="F189" s="50">
        <f t="shared" si="1267"/>
        <v>2</v>
      </c>
      <c r="G189" s="73">
        <f t="shared" si="1268"/>
        <v>1</v>
      </c>
      <c r="H189" s="50">
        <f t="shared" si="1269"/>
        <v>3</v>
      </c>
      <c r="I189" s="73">
        <f t="shared" si="1270"/>
        <v>1</v>
      </c>
      <c r="J189" s="50">
        <f t="shared" si="1271"/>
        <v>2</v>
      </c>
      <c r="K189" s="53">
        <f t="shared" si="1272"/>
        <v>0</v>
      </c>
      <c r="L189" s="54">
        <f t="shared" si="1273"/>
        <v>0</v>
      </c>
      <c r="M189" s="53">
        <f t="shared" si="1274"/>
        <v>1</v>
      </c>
      <c r="N189" s="54">
        <f t="shared" si="1275"/>
        <v>2</v>
      </c>
      <c r="O189" s="49">
        <f t="shared" ref="O189:P189" si="1331">SUM(K189,M189)</f>
        <v>1</v>
      </c>
      <c r="P189" s="50">
        <f t="shared" si="1331"/>
        <v>2</v>
      </c>
      <c r="Q189" s="73">
        <f t="shared" si="1277"/>
        <v>1</v>
      </c>
      <c r="R189" s="50">
        <f t="shared" si="1278"/>
        <v>2</v>
      </c>
      <c r="S189" s="53">
        <f t="shared" si="1279"/>
        <v>2</v>
      </c>
      <c r="T189" s="54">
        <f t="shared" si="1280"/>
        <v>4</v>
      </c>
      <c r="U189" s="53">
        <f t="shared" si="1281"/>
        <v>2</v>
      </c>
      <c r="V189" s="54">
        <f t="shared" si="1282"/>
        <v>4</v>
      </c>
      <c r="W189" s="53">
        <f t="shared" si="1283"/>
        <v>1</v>
      </c>
      <c r="X189" s="54">
        <f t="shared" si="1284"/>
        <v>1</v>
      </c>
      <c r="Y189" s="53">
        <f t="shared" si="1285"/>
        <v>1</v>
      </c>
      <c r="Z189" s="54">
        <f t="shared" si="1286"/>
        <v>3</v>
      </c>
      <c r="AA189" s="53">
        <f t="shared" si="1287"/>
        <v>1</v>
      </c>
      <c r="AB189" s="54">
        <f t="shared" si="1288"/>
        <v>2</v>
      </c>
      <c r="AC189" s="49">
        <f t="shared" ref="AC189:AD189" si="1332">SUM(S189,U189,W189,Y189,AA189)</f>
        <v>7</v>
      </c>
      <c r="AD189" s="50">
        <f t="shared" si="1332"/>
        <v>14</v>
      </c>
      <c r="AE189" s="53">
        <f t="shared" si="1290"/>
        <v>1</v>
      </c>
      <c r="AF189" s="54">
        <f t="shared" si="1291"/>
        <v>2</v>
      </c>
      <c r="AG189" s="53">
        <f t="shared" si="1292"/>
        <v>0</v>
      </c>
      <c r="AH189" s="54">
        <f t="shared" si="1293"/>
        <v>0</v>
      </c>
      <c r="AI189" s="53">
        <f t="shared" si="1294"/>
        <v>1</v>
      </c>
      <c r="AJ189" s="54">
        <f t="shared" si="1295"/>
        <v>3</v>
      </c>
      <c r="AK189" s="53">
        <f t="shared" si="1296"/>
        <v>1</v>
      </c>
      <c r="AL189" s="54">
        <f t="shared" si="1297"/>
        <v>3</v>
      </c>
      <c r="AM189" s="53">
        <f t="shared" si="1298"/>
        <v>1</v>
      </c>
      <c r="AN189" s="54">
        <f t="shared" si="1299"/>
        <v>1</v>
      </c>
      <c r="AO189" s="53">
        <f t="shared" si="1300"/>
        <v>1</v>
      </c>
      <c r="AP189" s="54">
        <f t="shared" si="1301"/>
        <v>3</v>
      </c>
      <c r="AQ189" s="49">
        <f t="shared" ref="AQ189:AR189" si="1333">SUM(AG189,AI189,AK189,AM189,AO189)</f>
        <v>4</v>
      </c>
      <c r="AR189" s="50">
        <f t="shared" si="1333"/>
        <v>10</v>
      </c>
      <c r="AS189" s="53">
        <f t="shared" si="1303"/>
        <v>2</v>
      </c>
      <c r="AT189" s="54">
        <f t="shared" si="1304"/>
        <v>4</v>
      </c>
      <c r="AU189" s="53">
        <f t="shared" si="1305"/>
        <v>2</v>
      </c>
      <c r="AV189" s="54">
        <f t="shared" si="1306"/>
        <v>4</v>
      </c>
      <c r="AW189" s="53">
        <f t="shared" si="1307"/>
        <v>1</v>
      </c>
      <c r="AX189" s="54">
        <f t="shared" si="1308"/>
        <v>1</v>
      </c>
      <c r="AY189" s="53">
        <f t="shared" si="1309"/>
        <v>1</v>
      </c>
      <c r="AZ189" s="54">
        <f t="shared" si="1310"/>
        <v>2</v>
      </c>
      <c r="BA189" s="53">
        <f t="shared" si="1311"/>
        <v>1</v>
      </c>
      <c r="BB189" s="54">
        <f t="shared" si="1312"/>
        <v>1</v>
      </c>
      <c r="BC189" s="49">
        <f t="shared" ref="BC189:BD189" si="1334">SUM(AS189,AU189,AW189,AY189,BA189)</f>
        <v>7</v>
      </c>
      <c r="BD189" s="50">
        <f t="shared" si="1334"/>
        <v>12</v>
      </c>
      <c r="BE189" s="68">
        <f t="shared" ref="BE189:BF189" si="1335">SUM(E189,G189,I189,O189,Q189,AC189,AQ189,BC189)</f>
        <v>23</v>
      </c>
      <c r="BF189" s="69">
        <f t="shared" si="1335"/>
        <v>47</v>
      </c>
      <c r="BG189" s="46" t="str">
        <f>BF189*'ОВгП_РАО'!$B$7</f>
        <v>#REF!</v>
      </c>
      <c r="BH189" s="46" t="str">
        <f>'ОВгП_РАО'!$B$7</f>
        <v>#REF!</v>
      </c>
    </row>
    <row r="190" ht="15.75" customHeight="1">
      <c r="A190" s="80">
        <f t="shared" si="1315"/>
        <v>46266</v>
      </c>
      <c r="B190" s="45" t="s">
        <v>121</v>
      </c>
      <c r="C190" s="47" t="s">
        <v>122</v>
      </c>
      <c r="D190" s="47" t="s">
        <v>123</v>
      </c>
      <c r="E190" s="73">
        <f t="shared" si="1266"/>
        <v>2</v>
      </c>
      <c r="F190" s="50">
        <f t="shared" si="1267"/>
        <v>4</v>
      </c>
      <c r="G190" s="73">
        <f t="shared" si="1268"/>
        <v>1</v>
      </c>
      <c r="H190" s="50">
        <f t="shared" si="1269"/>
        <v>3</v>
      </c>
      <c r="I190" s="73">
        <f t="shared" si="1270"/>
        <v>1</v>
      </c>
      <c r="J190" s="50">
        <f t="shared" si="1271"/>
        <v>2</v>
      </c>
      <c r="K190" s="53">
        <f t="shared" si="1272"/>
        <v>1</v>
      </c>
      <c r="L190" s="54">
        <f t="shared" si="1273"/>
        <v>2</v>
      </c>
      <c r="M190" s="53">
        <f t="shared" si="1274"/>
        <v>1</v>
      </c>
      <c r="N190" s="54">
        <f t="shared" si="1275"/>
        <v>2</v>
      </c>
      <c r="O190" s="49">
        <f t="shared" ref="O190:P190" si="1336">SUM(K190,M190)</f>
        <v>2</v>
      </c>
      <c r="P190" s="50">
        <f t="shared" si="1336"/>
        <v>4</v>
      </c>
      <c r="Q190" s="73">
        <f t="shared" si="1277"/>
        <v>1</v>
      </c>
      <c r="R190" s="50">
        <f t="shared" si="1278"/>
        <v>2</v>
      </c>
      <c r="S190" s="53">
        <f t="shared" si="1279"/>
        <v>1</v>
      </c>
      <c r="T190" s="54">
        <f t="shared" si="1280"/>
        <v>3</v>
      </c>
      <c r="U190" s="53">
        <f t="shared" si="1281"/>
        <v>0</v>
      </c>
      <c r="V190" s="54">
        <f t="shared" si="1282"/>
        <v>0</v>
      </c>
      <c r="W190" s="53">
        <f t="shared" si="1283"/>
        <v>2</v>
      </c>
      <c r="X190" s="54">
        <f t="shared" si="1284"/>
        <v>4</v>
      </c>
      <c r="Y190" s="53">
        <f t="shared" si="1285"/>
        <v>1</v>
      </c>
      <c r="Z190" s="54">
        <f t="shared" si="1286"/>
        <v>3</v>
      </c>
      <c r="AA190" s="53">
        <f t="shared" si="1287"/>
        <v>1</v>
      </c>
      <c r="AB190" s="54">
        <f t="shared" si="1288"/>
        <v>2</v>
      </c>
      <c r="AC190" s="49">
        <f t="shared" ref="AC190:AD190" si="1337">SUM(S190,U190,W190,Y190,AA190)</f>
        <v>5</v>
      </c>
      <c r="AD190" s="50">
        <f t="shared" si="1337"/>
        <v>12</v>
      </c>
      <c r="AE190" s="53">
        <f t="shared" si="1290"/>
        <v>1</v>
      </c>
      <c r="AF190" s="54">
        <f t="shared" si="1291"/>
        <v>1</v>
      </c>
      <c r="AG190" s="53">
        <f t="shared" si="1292"/>
        <v>0</v>
      </c>
      <c r="AH190" s="54">
        <f t="shared" si="1293"/>
        <v>0</v>
      </c>
      <c r="AI190" s="53">
        <f t="shared" si="1294"/>
        <v>1</v>
      </c>
      <c r="AJ190" s="54">
        <f t="shared" si="1295"/>
        <v>2</v>
      </c>
      <c r="AK190" s="53">
        <f t="shared" si="1296"/>
        <v>1</v>
      </c>
      <c r="AL190" s="54">
        <f t="shared" si="1297"/>
        <v>2</v>
      </c>
      <c r="AM190" s="53">
        <f t="shared" si="1298"/>
        <v>2</v>
      </c>
      <c r="AN190" s="54">
        <f t="shared" si="1299"/>
        <v>4</v>
      </c>
      <c r="AO190" s="53">
        <f t="shared" si="1300"/>
        <v>1</v>
      </c>
      <c r="AP190" s="54">
        <f t="shared" si="1301"/>
        <v>3</v>
      </c>
      <c r="AQ190" s="49">
        <f t="shared" ref="AQ190:AR190" si="1338">SUM(AG190,AI190,AK190,AM190,AO190)</f>
        <v>5</v>
      </c>
      <c r="AR190" s="50">
        <f t="shared" si="1338"/>
        <v>11</v>
      </c>
      <c r="AS190" s="53">
        <f t="shared" si="1303"/>
        <v>1</v>
      </c>
      <c r="AT190" s="54">
        <f t="shared" si="1304"/>
        <v>1</v>
      </c>
      <c r="AU190" s="53">
        <f t="shared" si="1305"/>
        <v>1</v>
      </c>
      <c r="AV190" s="54">
        <f t="shared" si="1306"/>
        <v>1</v>
      </c>
      <c r="AW190" s="53">
        <f t="shared" si="1307"/>
        <v>1</v>
      </c>
      <c r="AX190" s="54">
        <f t="shared" si="1308"/>
        <v>1</v>
      </c>
      <c r="AY190" s="53">
        <f t="shared" si="1309"/>
        <v>0</v>
      </c>
      <c r="AZ190" s="54">
        <f t="shared" si="1310"/>
        <v>0</v>
      </c>
      <c r="BA190" s="53">
        <f t="shared" si="1311"/>
        <v>2</v>
      </c>
      <c r="BB190" s="54">
        <f t="shared" si="1312"/>
        <v>4</v>
      </c>
      <c r="BC190" s="49">
        <f t="shared" ref="BC190:BD190" si="1339">SUM(AS190,AU190,AW190,AY190,BA190)</f>
        <v>5</v>
      </c>
      <c r="BD190" s="50">
        <f t="shared" si="1339"/>
        <v>7</v>
      </c>
      <c r="BE190" s="68">
        <f t="shared" ref="BE190:BF190" si="1340">SUM(E190,G190,I190,O190,Q190,AC190,AQ190,BC190)</f>
        <v>22</v>
      </c>
      <c r="BF190" s="69">
        <f t="shared" si="1340"/>
        <v>45</v>
      </c>
      <c r="BG190" s="46" t="str">
        <f>BF190*'ОВгП_РАО'!$B$8</f>
        <v>#REF!</v>
      </c>
      <c r="BH190" s="46" t="str">
        <f>'ОВгП_РАО'!$B$8</f>
        <v>#REF!</v>
      </c>
    </row>
    <row r="191" ht="15.75" customHeight="1">
      <c r="A191" s="80">
        <f t="shared" si="1315"/>
        <v>46266</v>
      </c>
      <c r="B191" s="46" t="s">
        <v>124</v>
      </c>
      <c r="C191" s="46" t="s">
        <v>125</v>
      </c>
      <c r="D191" s="46" t="s">
        <v>126</v>
      </c>
      <c r="E191" s="73">
        <f t="shared" si="1266"/>
        <v>1</v>
      </c>
      <c r="F191" s="50">
        <f t="shared" si="1267"/>
        <v>1</v>
      </c>
      <c r="G191" s="73">
        <f t="shared" si="1268"/>
        <v>2</v>
      </c>
      <c r="H191" s="50">
        <f t="shared" si="1269"/>
        <v>4</v>
      </c>
      <c r="I191" s="73">
        <f t="shared" si="1270"/>
        <v>1</v>
      </c>
      <c r="J191" s="50">
        <f t="shared" si="1271"/>
        <v>1</v>
      </c>
      <c r="K191" s="53">
        <f t="shared" si="1272"/>
        <v>1</v>
      </c>
      <c r="L191" s="54">
        <f t="shared" si="1273"/>
        <v>3</v>
      </c>
      <c r="M191" s="53">
        <f t="shared" si="1274"/>
        <v>1</v>
      </c>
      <c r="N191" s="54">
        <f t="shared" si="1275"/>
        <v>2</v>
      </c>
      <c r="O191" s="49">
        <f t="shared" ref="O191:P191" si="1341">SUM(K191,M191)</f>
        <v>2</v>
      </c>
      <c r="P191" s="50">
        <f t="shared" si="1341"/>
        <v>5</v>
      </c>
      <c r="Q191" s="73">
        <f t="shared" si="1277"/>
        <v>2</v>
      </c>
      <c r="R191" s="50">
        <f t="shared" si="1278"/>
        <v>4</v>
      </c>
      <c r="S191" s="53">
        <f t="shared" si="1279"/>
        <v>1</v>
      </c>
      <c r="T191" s="54">
        <f t="shared" si="1280"/>
        <v>3</v>
      </c>
      <c r="U191" s="53">
        <f t="shared" si="1281"/>
        <v>1</v>
      </c>
      <c r="V191" s="54">
        <f t="shared" si="1282"/>
        <v>3</v>
      </c>
      <c r="W191" s="53">
        <f t="shared" si="1283"/>
        <v>1</v>
      </c>
      <c r="X191" s="54">
        <f t="shared" si="1284"/>
        <v>3</v>
      </c>
      <c r="Y191" s="53">
        <f t="shared" si="1285"/>
        <v>0</v>
      </c>
      <c r="Z191" s="54">
        <f t="shared" si="1286"/>
        <v>0</v>
      </c>
      <c r="AA191" s="53">
        <f t="shared" si="1287"/>
        <v>2</v>
      </c>
      <c r="AB191" s="54">
        <f t="shared" si="1288"/>
        <v>4</v>
      </c>
      <c r="AC191" s="49">
        <f t="shared" ref="AC191:AD191" si="1342">SUM(S191,U191,W191,Y191,AA191)</f>
        <v>5</v>
      </c>
      <c r="AD191" s="50">
        <f t="shared" si="1342"/>
        <v>13</v>
      </c>
      <c r="AE191" s="53">
        <f t="shared" si="1290"/>
        <v>1</v>
      </c>
      <c r="AF191" s="54">
        <f t="shared" si="1291"/>
        <v>2</v>
      </c>
      <c r="AG191" s="53">
        <f t="shared" si="1292"/>
        <v>1</v>
      </c>
      <c r="AH191" s="54">
        <f t="shared" si="1293"/>
        <v>2</v>
      </c>
      <c r="AI191" s="53">
        <f t="shared" si="1294"/>
        <v>0</v>
      </c>
      <c r="AJ191" s="54">
        <f t="shared" si="1295"/>
        <v>0</v>
      </c>
      <c r="AK191" s="53">
        <f t="shared" si="1296"/>
        <v>1</v>
      </c>
      <c r="AL191" s="54">
        <f t="shared" si="1297"/>
        <v>1</v>
      </c>
      <c r="AM191" s="53">
        <f t="shared" si="1298"/>
        <v>2</v>
      </c>
      <c r="AN191" s="54">
        <f t="shared" si="1299"/>
        <v>4</v>
      </c>
      <c r="AO191" s="53">
        <f t="shared" si="1300"/>
        <v>2</v>
      </c>
      <c r="AP191" s="54">
        <f t="shared" si="1301"/>
        <v>4</v>
      </c>
      <c r="AQ191" s="49">
        <f t="shared" ref="AQ191:AR191" si="1343">SUM(AG191,AI191,AK191,AM191,AO191)</f>
        <v>6</v>
      </c>
      <c r="AR191" s="50">
        <f t="shared" si="1343"/>
        <v>11</v>
      </c>
      <c r="AS191" s="53">
        <f t="shared" si="1303"/>
        <v>1</v>
      </c>
      <c r="AT191" s="54">
        <f t="shared" si="1304"/>
        <v>3</v>
      </c>
      <c r="AU191" s="53">
        <f t="shared" si="1305"/>
        <v>1</v>
      </c>
      <c r="AV191" s="54">
        <f t="shared" si="1306"/>
        <v>3</v>
      </c>
      <c r="AW191" s="53">
        <f t="shared" si="1307"/>
        <v>1</v>
      </c>
      <c r="AX191" s="54">
        <f t="shared" si="1308"/>
        <v>1</v>
      </c>
      <c r="AY191" s="53">
        <f t="shared" si="1309"/>
        <v>1</v>
      </c>
      <c r="AZ191" s="54">
        <f t="shared" si="1310"/>
        <v>1</v>
      </c>
      <c r="BA191" s="53">
        <f t="shared" si="1311"/>
        <v>1</v>
      </c>
      <c r="BB191" s="54">
        <f t="shared" si="1312"/>
        <v>1</v>
      </c>
      <c r="BC191" s="49">
        <f t="shared" ref="BC191:BD191" si="1344">SUM(AS191,AU191,AW191,AY191,BA191)</f>
        <v>5</v>
      </c>
      <c r="BD191" s="50">
        <f t="shared" si="1344"/>
        <v>9</v>
      </c>
      <c r="BE191" s="68">
        <f t="shared" ref="BE191:BF191" si="1345">SUM(E191,G191,I191,O191,Q191,AC191,AQ191,BC191)</f>
        <v>24</v>
      </c>
      <c r="BF191" s="69">
        <f t="shared" si="1345"/>
        <v>48</v>
      </c>
      <c r="BG191" s="46" t="str">
        <f>BF191*'ОВгП_РАО'!$B$9</f>
        <v>#REF!</v>
      </c>
      <c r="BH191" s="46" t="str">
        <f>'ОВгП_РАО'!$B$9</f>
        <v>#REF!</v>
      </c>
    </row>
    <row r="192" ht="15.75" customHeight="1">
      <c r="A192" s="80">
        <f t="shared" si="1315"/>
        <v>46266</v>
      </c>
      <c r="B192" s="46" t="s">
        <v>127</v>
      </c>
      <c r="C192" s="46" t="s">
        <v>125</v>
      </c>
      <c r="D192" s="46" t="s">
        <v>126</v>
      </c>
      <c r="E192" s="73">
        <f t="shared" si="1266"/>
        <v>1</v>
      </c>
      <c r="F192" s="50">
        <f t="shared" si="1267"/>
        <v>2</v>
      </c>
      <c r="G192" s="73">
        <f t="shared" si="1268"/>
        <v>2</v>
      </c>
      <c r="H192" s="50">
        <f t="shared" si="1269"/>
        <v>4</v>
      </c>
      <c r="I192" s="73">
        <f t="shared" si="1270"/>
        <v>0</v>
      </c>
      <c r="J192" s="50">
        <f t="shared" si="1271"/>
        <v>0</v>
      </c>
      <c r="K192" s="53">
        <f t="shared" si="1272"/>
        <v>2</v>
      </c>
      <c r="L192" s="54">
        <f t="shared" si="1273"/>
        <v>4</v>
      </c>
      <c r="M192" s="53">
        <f t="shared" si="1274"/>
        <v>2</v>
      </c>
      <c r="N192" s="54">
        <f t="shared" si="1275"/>
        <v>4</v>
      </c>
      <c r="O192" s="49">
        <f t="shared" ref="O192:P192" si="1346">SUM(K192,M192)</f>
        <v>4</v>
      </c>
      <c r="P192" s="50">
        <f t="shared" si="1346"/>
        <v>8</v>
      </c>
      <c r="Q192" s="73">
        <f t="shared" si="1277"/>
        <v>1</v>
      </c>
      <c r="R192" s="50">
        <f t="shared" si="1278"/>
        <v>1</v>
      </c>
      <c r="S192" s="53">
        <f t="shared" si="1279"/>
        <v>1</v>
      </c>
      <c r="T192" s="54">
        <f t="shared" si="1280"/>
        <v>3</v>
      </c>
      <c r="U192" s="53">
        <f t="shared" si="1281"/>
        <v>1</v>
      </c>
      <c r="V192" s="54">
        <f t="shared" si="1282"/>
        <v>1</v>
      </c>
      <c r="W192" s="53">
        <f t="shared" si="1283"/>
        <v>1</v>
      </c>
      <c r="X192" s="54">
        <f t="shared" si="1284"/>
        <v>3</v>
      </c>
      <c r="Y192" s="53">
        <f t="shared" si="1285"/>
        <v>1</v>
      </c>
      <c r="Z192" s="54">
        <f t="shared" si="1286"/>
        <v>1</v>
      </c>
      <c r="AA192" s="53">
        <f t="shared" si="1287"/>
        <v>0</v>
      </c>
      <c r="AB192" s="54">
        <f t="shared" si="1288"/>
        <v>0</v>
      </c>
      <c r="AC192" s="49">
        <f t="shared" ref="AC192:AD192" si="1347">SUM(S192,U192,W192,Y192,AA192)</f>
        <v>4</v>
      </c>
      <c r="AD192" s="50">
        <f t="shared" si="1347"/>
        <v>8</v>
      </c>
      <c r="AE192" s="53">
        <f t="shared" si="1290"/>
        <v>1</v>
      </c>
      <c r="AF192" s="54">
        <f t="shared" si="1291"/>
        <v>2</v>
      </c>
      <c r="AG192" s="53">
        <f t="shared" si="1292"/>
        <v>0</v>
      </c>
      <c r="AH192" s="54">
        <f t="shared" si="1293"/>
        <v>0</v>
      </c>
      <c r="AI192" s="53">
        <f t="shared" si="1294"/>
        <v>1</v>
      </c>
      <c r="AJ192" s="54">
        <f t="shared" si="1295"/>
        <v>3</v>
      </c>
      <c r="AK192" s="53">
        <f t="shared" si="1296"/>
        <v>1</v>
      </c>
      <c r="AL192" s="54">
        <f t="shared" si="1297"/>
        <v>1</v>
      </c>
      <c r="AM192" s="53">
        <f t="shared" si="1298"/>
        <v>1</v>
      </c>
      <c r="AN192" s="54">
        <f t="shared" si="1299"/>
        <v>1</v>
      </c>
      <c r="AO192" s="53">
        <f t="shared" si="1300"/>
        <v>1</v>
      </c>
      <c r="AP192" s="54">
        <f t="shared" si="1301"/>
        <v>3</v>
      </c>
      <c r="AQ192" s="49">
        <f t="shared" ref="AQ192:AR192" si="1348">SUM(AG192,AI192,AK192,AM192,AO192)</f>
        <v>4</v>
      </c>
      <c r="AR192" s="50">
        <f t="shared" si="1348"/>
        <v>8</v>
      </c>
      <c r="AS192" s="53">
        <f t="shared" si="1303"/>
        <v>1</v>
      </c>
      <c r="AT192" s="54">
        <f t="shared" si="1304"/>
        <v>2</v>
      </c>
      <c r="AU192" s="53">
        <f t="shared" si="1305"/>
        <v>1</v>
      </c>
      <c r="AV192" s="54">
        <f t="shared" si="1306"/>
        <v>3</v>
      </c>
      <c r="AW192" s="53">
        <f t="shared" si="1307"/>
        <v>2</v>
      </c>
      <c r="AX192" s="54">
        <f t="shared" si="1308"/>
        <v>4</v>
      </c>
      <c r="AY192" s="53">
        <f t="shared" si="1309"/>
        <v>2</v>
      </c>
      <c r="AZ192" s="54">
        <f t="shared" si="1310"/>
        <v>4</v>
      </c>
      <c r="BA192" s="53">
        <f t="shared" si="1311"/>
        <v>1</v>
      </c>
      <c r="BB192" s="54">
        <f t="shared" si="1312"/>
        <v>2</v>
      </c>
      <c r="BC192" s="49">
        <f t="shared" ref="BC192:BD192" si="1349">SUM(AS192,AU192,AW192,AY192,BA192)</f>
        <v>7</v>
      </c>
      <c r="BD192" s="50">
        <f t="shared" si="1349"/>
        <v>15</v>
      </c>
      <c r="BE192" s="68">
        <f t="shared" ref="BE192:BF192" si="1350">SUM(E192,G192,I192,O192,Q192,AC192,AQ192,BC192)</f>
        <v>23</v>
      </c>
      <c r="BF192" s="69">
        <f t="shared" si="1350"/>
        <v>46</v>
      </c>
      <c r="BG192" s="46" t="str">
        <f>BF192*'ОВгП_РАО'!$B$10</f>
        <v>#REF!</v>
      </c>
      <c r="BH192" s="46" t="str">
        <f>'ОВгП_РАО'!$B$10</f>
        <v>#REF!</v>
      </c>
    </row>
    <row r="193" ht="15.75" customHeight="1">
      <c r="A193" s="80">
        <f t="shared" si="1315"/>
        <v>46266</v>
      </c>
      <c r="B193" s="46" t="s">
        <v>128</v>
      </c>
      <c r="C193" s="46" t="s">
        <v>125</v>
      </c>
      <c r="D193" s="46" t="s">
        <v>126</v>
      </c>
      <c r="E193" s="73">
        <f t="shared" si="1266"/>
        <v>1</v>
      </c>
      <c r="F193" s="50">
        <f t="shared" si="1267"/>
        <v>2</v>
      </c>
      <c r="G193" s="73">
        <f t="shared" si="1268"/>
        <v>1</v>
      </c>
      <c r="H193" s="50">
        <f t="shared" si="1269"/>
        <v>1</v>
      </c>
      <c r="I193" s="73">
        <f t="shared" si="1270"/>
        <v>2</v>
      </c>
      <c r="J193" s="50">
        <f t="shared" si="1271"/>
        <v>4</v>
      </c>
      <c r="K193" s="53">
        <f t="shared" si="1272"/>
        <v>1</v>
      </c>
      <c r="L193" s="54">
        <f t="shared" si="1273"/>
        <v>3</v>
      </c>
      <c r="M193" s="53">
        <f t="shared" si="1274"/>
        <v>1</v>
      </c>
      <c r="N193" s="54">
        <f t="shared" si="1275"/>
        <v>1</v>
      </c>
      <c r="O193" s="49">
        <f t="shared" ref="O193:P193" si="1351">SUM(K193,M193)</f>
        <v>2</v>
      </c>
      <c r="P193" s="50">
        <f t="shared" si="1351"/>
        <v>4</v>
      </c>
      <c r="Q193" s="73">
        <f t="shared" si="1277"/>
        <v>1</v>
      </c>
      <c r="R193" s="50">
        <f t="shared" si="1278"/>
        <v>2</v>
      </c>
      <c r="S193" s="53">
        <f t="shared" si="1279"/>
        <v>2</v>
      </c>
      <c r="T193" s="54">
        <f t="shared" si="1280"/>
        <v>4</v>
      </c>
      <c r="U193" s="53">
        <f t="shared" si="1281"/>
        <v>1</v>
      </c>
      <c r="V193" s="54">
        <f t="shared" si="1282"/>
        <v>2</v>
      </c>
      <c r="W193" s="53">
        <f t="shared" si="1283"/>
        <v>1</v>
      </c>
      <c r="X193" s="54">
        <f t="shared" si="1284"/>
        <v>1</v>
      </c>
      <c r="Y193" s="53">
        <f t="shared" si="1285"/>
        <v>0</v>
      </c>
      <c r="Z193" s="54">
        <f t="shared" si="1286"/>
        <v>0</v>
      </c>
      <c r="AA193" s="53">
        <f t="shared" si="1287"/>
        <v>1</v>
      </c>
      <c r="AB193" s="54">
        <f t="shared" si="1288"/>
        <v>1</v>
      </c>
      <c r="AC193" s="49">
        <f t="shared" ref="AC193:AD193" si="1352">SUM(S193,U193,W193,Y193,AA193)</f>
        <v>5</v>
      </c>
      <c r="AD193" s="50">
        <f t="shared" si="1352"/>
        <v>8</v>
      </c>
      <c r="AE193" s="53">
        <f t="shared" si="1290"/>
        <v>1</v>
      </c>
      <c r="AF193" s="54">
        <f t="shared" si="1291"/>
        <v>1</v>
      </c>
      <c r="AG193" s="53">
        <f t="shared" si="1292"/>
        <v>1</v>
      </c>
      <c r="AH193" s="54">
        <f t="shared" si="1293"/>
        <v>1</v>
      </c>
      <c r="AI193" s="53">
        <f t="shared" si="1294"/>
        <v>2</v>
      </c>
      <c r="AJ193" s="54">
        <f t="shared" si="1295"/>
        <v>4</v>
      </c>
      <c r="AK193" s="53">
        <f t="shared" si="1296"/>
        <v>0</v>
      </c>
      <c r="AL193" s="54">
        <f t="shared" si="1297"/>
        <v>0</v>
      </c>
      <c r="AM193" s="53">
        <f t="shared" si="1298"/>
        <v>1</v>
      </c>
      <c r="AN193" s="54">
        <f t="shared" si="1299"/>
        <v>1</v>
      </c>
      <c r="AO193" s="53">
        <f t="shared" si="1300"/>
        <v>1</v>
      </c>
      <c r="AP193" s="54">
        <f t="shared" si="1301"/>
        <v>3</v>
      </c>
      <c r="AQ193" s="49">
        <f t="shared" ref="AQ193:AR193" si="1353">SUM(AG193,AI193,AK193,AM193,AO193)</f>
        <v>5</v>
      </c>
      <c r="AR193" s="50">
        <f t="shared" si="1353"/>
        <v>9</v>
      </c>
      <c r="AS193" s="53">
        <f t="shared" si="1303"/>
        <v>1</v>
      </c>
      <c r="AT193" s="54">
        <f t="shared" si="1304"/>
        <v>2</v>
      </c>
      <c r="AU193" s="53">
        <f t="shared" si="1305"/>
        <v>1</v>
      </c>
      <c r="AV193" s="54">
        <f t="shared" si="1306"/>
        <v>3</v>
      </c>
      <c r="AW193" s="53">
        <f t="shared" si="1307"/>
        <v>1</v>
      </c>
      <c r="AX193" s="54">
        <f t="shared" si="1308"/>
        <v>2</v>
      </c>
      <c r="AY193" s="53">
        <f t="shared" si="1309"/>
        <v>1</v>
      </c>
      <c r="AZ193" s="54">
        <f t="shared" si="1310"/>
        <v>2</v>
      </c>
      <c r="BA193" s="53">
        <f t="shared" si="1311"/>
        <v>0</v>
      </c>
      <c r="BB193" s="54">
        <f t="shared" si="1312"/>
        <v>0</v>
      </c>
      <c r="BC193" s="49">
        <f t="shared" ref="BC193:BD193" si="1354">SUM(AS193,AU193,AW193,AY193,BA193)</f>
        <v>4</v>
      </c>
      <c r="BD193" s="50">
        <f t="shared" si="1354"/>
        <v>9</v>
      </c>
      <c r="BE193" s="68">
        <f t="shared" ref="BE193:BF193" si="1355">SUM(E193,G193,I193,O193,Q193,AC193,AQ193,BC193)</f>
        <v>21</v>
      </c>
      <c r="BF193" s="69">
        <f t="shared" si="1355"/>
        <v>39</v>
      </c>
      <c r="BG193" s="46" t="str">
        <f>BF193*'ОВгП_РАО'!$B$11</f>
        <v>#REF!</v>
      </c>
      <c r="BH193" s="46" t="str">
        <f>'ОВгП_РАО'!$B$11</f>
        <v>#REF!</v>
      </c>
    </row>
    <row r="194" ht="15.75" customHeight="1">
      <c r="A194" s="80">
        <f t="shared" si="1315"/>
        <v>46266</v>
      </c>
      <c r="B194" s="45" t="s">
        <v>129</v>
      </c>
      <c r="C194" s="46" t="s">
        <v>125</v>
      </c>
      <c r="D194" s="45" t="s">
        <v>130</v>
      </c>
      <c r="E194" s="73">
        <f t="shared" si="1266"/>
        <v>1</v>
      </c>
      <c r="F194" s="50">
        <f t="shared" si="1267"/>
        <v>2</v>
      </c>
      <c r="G194" s="73">
        <f t="shared" si="1268"/>
        <v>1</v>
      </c>
      <c r="H194" s="50">
        <f t="shared" si="1269"/>
        <v>3</v>
      </c>
      <c r="I194" s="73">
        <f t="shared" si="1270"/>
        <v>2</v>
      </c>
      <c r="J194" s="50">
        <f t="shared" si="1271"/>
        <v>4</v>
      </c>
      <c r="K194" s="53">
        <f t="shared" si="1272"/>
        <v>1</v>
      </c>
      <c r="L194" s="54">
        <f t="shared" si="1273"/>
        <v>1</v>
      </c>
      <c r="M194" s="53">
        <f t="shared" si="1274"/>
        <v>2</v>
      </c>
      <c r="N194" s="54">
        <f t="shared" si="1275"/>
        <v>4</v>
      </c>
      <c r="O194" s="49">
        <f t="shared" ref="O194:P194" si="1356">SUM(K194,M194)</f>
        <v>3</v>
      </c>
      <c r="P194" s="50">
        <f t="shared" si="1356"/>
        <v>5</v>
      </c>
      <c r="Q194" s="73">
        <f t="shared" si="1277"/>
        <v>1</v>
      </c>
      <c r="R194" s="50">
        <f t="shared" si="1278"/>
        <v>2</v>
      </c>
      <c r="S194" s="53">
        <f t="shared" si="1279"/>
        <v>0</v>
      </c>
      <c r="T194" s="54">
        <f t="shared" si="1280"/>
        <v>0</v>
      </c>
      <c r="U194" s="53">
        <f t="shared" si="1281"/>
        <v>1</v>
      </c>
      <c r="V194" s="54">
        <f t="shared" si="1282"/>
        <v>2</v>
      </c>
      <c r="W194" s="53">
        <f t="shared" si="1283"/>
        <v>1</v>
      </c>
      <c r="X194" s="54">
        <f t="shared" si="1284"/>
        <v>2</v>
      </c>
      <c r="Y194" s="53">
        <f t="shared" si="1285"/>
        <v>1</v>
      </c>
      <c r="Z194" s="54">
        <f t="shared" si="1286"/>
        <v>2</v>
      </c>
      <c r="AA194" s="53">
        <f t="shared" si="1287"/>
        <v>1</v>
      </c>
      <c r="AB194" s="54">
        <f t="shared" si="1288"/>
        <v>3</v>
      </c>
      <c r="AC194" s="49">
        <f t="shared" ref="AC194:AD194" si="1357">SUM(S194,U194,W194,Y194,AA194)</f>
        <v>4</v>
      </c>
      <c r="AD194" s="50">
        <f t="shared" si="1357"/>
        <v>9</v>
      </c>
      <c r="AE194" s="53">
        <f t="shared" si="1290"/>
        <v>1</v>
      </c>
      <c r="AF194" s="54">
        <f t="shared" si="1291"/>
        <v>1</v>
      </c>
      <c r="AG194" s="53">
        <f t="shared" si="1292"/>
        <v>2</v>
      </c>
      <c r="AH194" s="54">
        <f t="shared" si="1293"/>
        <v>4</v>
      </c>
      <c r="AI194" s="53">
        <f t="shared" si="1294"/>
        <v>1</v>
      </c>
      <c r="AJ194" s="54">
        <f t="shared" si="1295"/>
        <v>1</v>
      </c>
      <c r="AK194" s="53">
        <f t="shared" si="1296"/>
        <v>2</v>
      </c>
      <c r="AL194" s="54">
        <f t="shared" si="1297"/>
        <v>4</v>
      </c>
      <c r="AM194" s="53">
        <f t="shared" si="1298"/>
        <v>0</v>
      </c>
      <c r="AN194" s="54">
        <f t="shared" si="1299"/>
        <v>0</v>
      </c>
      <c r="AO194" s="53">
        <f t="shared" si="1300"/>
        <v>0</v>
      </c>
      <c r="AP194" s="54">
        <f t="shared" si="1301"/>
        <v>0</v>
      </c>
      <c r="AQ194" s="49">
        <f t="shared" ref="AQ194:AR194" si="1358">SUM(AG194,AI194,AK194,AM194,AO194)</f>
        <v>5</v>
      </c>
      <c r="AR194" s="50">
        <f t="shared" si="1358"/>
        <v>9</v>
      </c>
      <c r="AS194" s="53">
        <f t="shared" si="1303"/>
        <v>1</v>
      </c>
      <c r="AT194" s="54">
        <f t="shared" si="1304"/>
        <v>1</v>
      </c>
      <c r="AU194" s="53">
        <f t="shared" si="1305"/>
        <v>1</v>
      </c>
      <c r="AV194" s="54">
        <f t="shared" si="1306"/>
        <v>3</v>
      </c>
      <c r="AW194" s="53">
        <f t="shared" si="1307"/>
        <v>1</v>
      </c>
      <c r="AX194" s="54">
        <f t="shared" si="1308"/>
        <v>1</v>
      </c>
      <c r="AY194" s="53">
        <f t="shared" si="1309"/>
        <v>2</v>
      </c>
      <c r="AZ194" s="54">
        <f t="shared" si="1310"/>
        <v>4</v>
      </c>
      <c r="BA194" s="53">
        <f t="shared" si="1311"/>
        <v>2</v>
      </c>
      <c r="BB194" s="54">
        <f t="shared" si="1312"/>
        <v>4</v>
      </c>
      <c r="BC194" s="49">
        <f t="shared" ref="BC194:BD194" si="1359">SUM(AS194,AU194,AW194,AY194,BA194)</f>
        <v>7</v>
      </c>
      <c r="BD194" s="50">
        <f t="shared" si="1359"/>
        <v>13</v>
      </c>
      <c r="BE194" s="68">
        <f t="shared" ref="BE194:BF194" si="1360">SUM(E194,G194,I194,O194,Q194,AC194,AQ194,BC194)</f>
        <v>24</v>
      </c>
      <c r="BF194" s="69">
        <f t="shared" si="1360"/>
        <v>47</v>
      </c>
      <c r="BG194" s="46" t="str">
        <f>BF194*'ОВгП_РАО'!$B$12</f>
        <v>#REF!</v>
      </c>
      <c r="BH194" s="46" t="str">
        <f>'ОВгП_РАО'!$B$12</f>
        <v>#REF!</v>
      </c>
    </row>
    <row r="195" ht="15.75" customHeight="1">
      <c r="A195" s="80">
        <f t="shared" si="1315"/>
        <v>46266</v>
      </c>
      <c r="B195" s="47" t="s">
        <v>131</v>
      </c>
      <c r="C195" s="47" t="s">
        <v>122</v>
      </c>
      <c r="D195" s="47" t="s">
        <v>123</v>
      </c>
      <c r="E195" s="73">
        <f t="shared" si="1266"/>
        <v>1</v>
      </c>
      <c r="F195" s="50">
        <f t="shared" si="1267"/>
        <v>3</v>
      </c>
      <c r="G195" s="73">
        <f t="shared" si="1268"/>
        <v>1</v>
      </c>
      <c r="H195" s="50">
        <f t="shared" si="1269"/>
        <v>1</v>
      </c>
      <c r="I195" s="73">
        <f t="shared" si="1270"/>
        <v>2</v>
      </c>
      <c r="J195" s="50">
        <f t="shared" si="1271"/>
        <v>4</v>
      </c>
      <c r="K195" s="53">
        <f t="shared" si="1272"/>
        <v>0</v>
      </c>
      <c r="L195" s="54">
        <f t="shared" si="1273"/>
        <v>0</v>
      </c>
      <c r="M195" s="53">
        <f t="shared" si="1274"/>
        <v>1</v>
      </c>
      <c r="N195" s="54">
        <f t="shared" si="1275"/>
        <v>2</v>
      </c>
      <c r="O195" s="49">
        <f t="shared" ref="O195:P195" si="1361">SUM(K195,M195)</f>
        <v>1</v>
      </c>
      <c r="P195" s="50">
        <f t="shared" si="1361"/>
        <v>2</v>
      </c>
      <c r="Q195" s="73">
        <f t="shared" si="1277"/>
        <v>1</v>
      </c>
      <c r="R195" s="50">
        <f t="shared" si="1278"/>
        <v>3</v>
      </c>
      <c r="S195" s="53">
        <f t="shared" si="1279"/>
        <v>2</v>
      </c>
      <c r="T195" s="54">
        <f t="shared" si="1280"/>
        <v>4</v>
      </c>
      <c r="U195" s="53">
        <f t="shared" si="1281"/>
        <v>1</v>
      </c>
      <c r="V195" s="54">
        <f t="shared" si="1282"/>
        <v>1</v>
      </c>
      <c r="W195" s="53">
        <f t="shared" si="1283"/>
        <v>1</v>
      </c>
      <c r="X195" s="54">
        <f t="shared" si="1284"/>
        <v>1</v>
      </c>
      <c r="Y195" s="53">
        <f t="shared" si="1285"/>
        <v>2</v>
      </c>
      <c r="Z195" s="54">
        <f t="shared" si="1286"/>
        <v>4</v>
      </c>
      <c r="AA195" s="53">
        <f t="shared" si="1287"/>
        <v>1</v>
      </c>
      <c r="AB195" s="54">
        <f t="shared" si="1288"/>
        <v>1</v>
      </c>
      <c r="AC195" s="49">
        <f t="shared" ref="AC195:AD195" si="1362">SUM(S195,U195,W195,Y195,AA195)</f>
        <v>7</v>
      </c>
      <c r="AD195" s="50">
        <f t="shared" si="1362"/>
        <v>11</v>
      </c>
      <c r="AE195" s="53">
        <f t="shared" si="1290"/>
        <v>1</v>
      </c>
      <c r="AF195" s="54">
        <f t="shared" si="1291"/>
        <v>1</v>
      </c>
      <c r="AG195" s="53">
        <f t="shared" si="1292"/>
        <v>1</v>
      </c>
      <c r="AH195" s="54">
        <f t="shared" si="1293"/>
        <v>3</v>
      </c>
      <c r="AI195" s="53">
        <f t="shared" si="1294"/>
        <v>1</v>
      </c>
      <c r="AJ195" s="54">
        <f t="shared" si="1295"/>
        <v>3</v>
      </c>
      <c r="AK195" s="53">
        <f t="shared" si="1296"/>
        <v>0</v>
      </c>
      <c r="AL195" s="54">
        <f t="shared" si="1297"/>
        <v>0</v>
      </c>
      <c r="AM195" s="53">
        <f t="shared" si="1298"/>
        <v>2</v>
      </c>
      <c r="AN195" s="54">
        <f t="shared" si="1299"/>
        <v>4</v>
      </c>
      <c r="AO195" s="53">
        <f t="shared" si="1300"/>
        <v>0</v>
      </c>
      <c r="AP195" s="54">
        <f t="shared" si="1301"/>
        <v>0</v>
      </c>
      <c r="AQ195" s="49">
        <f t="shared" ref="AQ195:AR195" si="1363">SUM(AG195,AI195,AK195,AM195,AO195)</f>
        <v>4</v>
      </c>
      <c r="AR195" s="50">
        <f t="shared" si="1363"/>
        <v>10</v>
      </c>
      <c r="AS195" s="53">
        <f t="shared" si="1303"/>
        <v>1</v>
      </c>
      <c r="AT195" s="54">
        <f t="shared" si="1304"/>
        <v>1</v>
      </c>
      <c r="AU195" s="53">
        <f t="shared" si="1305"/>
        <v>1</v>
      </c>
      <c r="AV195" s="54">
        <f t="shared" si="1306"/>
        <v>1</v>
      </c>
      <c r="AW195" s="53">
        <f t="shared" si="1307"/>
        <v>0</v>
      </c>
      <c r="AX195" s="54">
        <f t="shared" si="1308"/>
        <v>0</v>
      </c>
      <c r="AY195" s="53">
        <f t="shared" si="1309"/>
        <v>0</v>
      </c>
      <c r="AZ195" s="54">
        <f t="shared" si="1310"/>
        <v>0</v>
      </c>
      <c r="BA195" s="53">
        <f t="shared" si="1311"/>
        <v>1</v>
      </c>
      <c r="BB195" s="54">
        <f t="shared" si="1312"/>
        <v>3</v>
      </c>
      <c r="BC195" s="49">
        <f t="shared" ref="BC195:BD195" si="1364">SUM(AS195,AU195,AW195,AY195,BA195)</f>
        <v>3</v>
      </c>
      <c r="BD195" s="50">
        <f t="shared" si="1364"/>
        <v>5</v>
      </c>
      <c r="BE195" s="68">
        <f t="shared" ref="BE195:BF195" si="1365">SUM(E195,G195,I195,O195,Q195,AC195,AQ195,BC195)</f>
        <v>20</v>
      </c>
      <c r="BF195" s="69">
        <f t="shared" si="1365"/>
        <v>39</v>
      </c>
      <c r="BG195" s="46" t="str">
        <f>BF195*'ОВгП_РАО'!$B$13</f>
        <v>#REF!</v>
      </c>
      <c r="BH195" s="46" t="str">
        <f>'ОВгП_РАО'!$B$13</f>
        <v>#REF!</v>
      </c>
    </row>
    <row r="196" ht="15.75" customHeight="1">
      <c r="A196" s="80">
        <f t="shared" si="1315"/>
        <v>46266</v>
      </c>
      <c r="B196" s="47" t="s">
        <v>132</v>
      </c>
      <c r="C196" s="47" t="s">
        <v>122</v>
      </c>
      <c r="D196" s="47" t="s">
        <v>123</v>
      </c>
      <c r="E196" s="73">
        <f t="shared" si="1266"/>
        <v>1</v>
      </c>
      <c r="F196" s="50">
        <f t="shared" si="1267"/>
        <v>1</v>
      </c>
      <c r="G196" s="73">
        <f t="shared" si="1268"/>
        <v>1</v>
      </c>
      <c r="H196" s="50">
        <f t="shared" si="1269"/>
        <v>1</v>
      </c>
      <c r="I196" s="73">
        <f t="shared" si="1270"/>
        <v>2</v>
      </c>
      <c r="J196" s="50">
        <f t="shared" si="1271"/>
        <v>4</v>
      </c>
      <c r="K196" s="53">
        <f t="shared" si="1272"/>
        <v>1</v>
      </c>
      <c r="L196" s="54">
        <f t="shared" si="1273"/>
        <v>3</v>
      </c>
      <c r="M196" s="53">
        <f t="shared" si="1274"/>
        <v>1</v>
      </c>
      <c r="N196" s="54">
        <f t="shared" si="1275"/>
        <v>3</v>
      </c>
      <c r="O196" s="49">
        <f t="shared" ref="O196:P196" si="1366">SUM(K196,M196)</f>
        <v>2</v>
      </c>
      <c r="P196" s="50">
        <f t="shared" si="1366"/>
        <v>6</v>
      </c>
      <c r="Q196" s="73">
        <f t="shared" si="1277"/>
        <v>1</v>
      </c>
      <c r="R196" s="50">
        <f t="shared" si="1278"/>
        <v>3</v>
      </c>
      <c r="S196" s="53">
        <f t="shared" si="1279"/>
        <v>2</v>
      </c>
      <c r="T196" s="54">
        <f t="shared" si="1280"/>
        <v>4</v>
      </c>
      <c r="U196" s="53">
        <f t="shared" si="1281"/>
        <v>1</v>
      </c>
      <c r="V196" s="54">
        <f t="shared" si="1282"/>
        <v>1</v>
      </c>
      <c r="W196" s="53">
        <f t="shared" si="1283"/>
        <v>0</v>
      </c>
      <c r="X196" s="54">
        <f t="shared" si="1284"/>
        <v>0</v>
      </c>
      <c r="Y196" s="53">
        <f t="shared" si="1285"/>
        <v>1</v>
      </c>
      <c r="Z196" s="54">
        <f t="shared" si="1286"/>
        <v>2</v>
      </c>
      <c r="AA196" s="53">
        <f t="shared" si="1287"/>
        <v>0</v>
      </c>
      <c r="AB196" s="54">
        <f t="shared" si="1288"/>
        <v>0</v>
      </c>
      <c r="AC196" s="49">
        <f t="shared" ref="AC196:AD196" si="1367">SUM(S196,U196,W196,Y196,AA196)</f>
        <v>4</v>
      </c>
      <c r="AD196" s="50">
        <f t="shared" si="1367"/>
        <v>7</v>
      </c>
      <c r="AE196" s="53">
        <f t="shared" si="1290"/>
        <v>0</v>
      </c>
      <c r="AF196" s="54">
        <f t="shared" si="1291"/>
        <v>0</v>
      </c>
      <c r="AG196" s="53">
        <f t="shared" si="1292"/>
        <v>1</v>
      </c>
      <c r="AH196" s="54">
        <f t="shared" si="1293"/>
        <v>3</v>
      </c>
      <c r="AI196" s="53">
        <f t="shared" si="1294"/>
        <v>2</v>
      </c>
      <c r="AJ196" s="54">
        <f t="shared" si="1295"/>
        <v>4</v>
      </c>
      <c r="AK196" s="53">
        <f t="shared" si="1296"/>
        <v>1</v>
      </c>
      <c r="AL196" s="54">
        <f t="shared" si="1297"/>
        <v>1</v>
      </c>
      <c r="AM196" s="53">
        <f t="shared" si="1298"/>
        <v>1</v>
      </c>
      <c r="AN196" s="54">
        <f t="shared" si="1299"/>
        <v>1</v>
      </c>
      <c r="AO196" s="53">
        <f t="shared" si="1300"/>
        <v>2</v>
      </c>
      <c r="AP196" s="54">
        <f t="shared" si="1301"/>
        <v>4</v>
      </c>
      <c r="AQ196" s="49">
        <f t="shared" ref="AQ196:AR196" si="1368">SUM(AG196,AI196,AK196,AM196,AO196)</f>
        <v>7</v>
      </c>
      <c r="AR196" s="50">
        <f t="shared" si="1368"/>
        <v>13</v>
      </c>
      <c r="AS196" s="53">
        <f t="shared" si="1303"/>
        <v>1</v>
      </c>
      <c r="AT196" s="54">
        <f t="shared" si="1304"/>
        <v>3</v>
      </c>
      <c r="AU196" s="53">
        <f t="shared" si="1305"/>
        <v>2</v>
      </c>
      <c r="AV196" s="54">
        <f t="shared" si="1306"/>
        <v>4</v>
      </c>
      <c r="AW196" s="53">
        <f t="shared" si="1307"/>
        <v>1</v>
      </c>
      <c r="AX196" s="54">
        <f t="shared" si="1308"/>
        <v>3</v>
      </c>
      <c r="AY196" s="53">
        <f t="shared" si="1309"/>
        <v>0</v>
      </c>
      <c r="AZ196" s="54">
        <f t="shared" si="1310"/>
        <v>0</v>
      </c>
      <c r="BA196" s="53">
        <f t="shared" si="1311"/>
        <v>1</v>
      </c>
      <c r="BB196" s="54">
        <f t="shared" si="1312"/>
        <v>1</v>
      </c>
      <c r="BC196" s="49">
        <f t="shared" ref="BC196:BD196" si="1369">SUM(AS196,AU196,AW196,AY196,BA196)</f>
        <v>5</v>
      </c>
      <c r="BD196" s="50">
        <f t="shared" si="1369"/>
        <v>11</v>
      </c>
      <c r="BE196" s="68">
        <f t="shared" ref="BE196:BF196" si="1370">SUM(E196,G196,I196,O196,Q196,AC196,AQ196,BC196)</f>
        <v>23</v>
      </c>
      <c r="BF196" s="69">
        <f t="shared" si="1370"/>
        <v>46</v>
      </c>
      <c r="BG196" s="46" t="str">
        <f>BF196*'ОВгП_РАО'!$B$14</f>
        <v>#REF!</v>
      </c>
      <c r="BH196" s="46" t="str">
        <f>'ОВгП_РАО'!$B$14</f>
        <v>#REF!</v>
      </c>
    </row>
    <row r="197" ht="15.75" customHeight="1">
      <c r="A197" s="80">
        <f t="shared" si="1315"/>
        <v>46266</v>
      </c>
      <c r="B197" s="47" t="s">
        <v>133</v>
      </c>
      <c r="C197" s="47" t="s">
        <v>122</v>
      </c>
      <c r="D197" s="47" t="s">
        <v>123</v>
      </c>
      <c r="E197" s="73">
        <f t="shared" si="1266"/>
        <v>1</v>
      </c>
      <c r="F197" s="50">
        <f t="shared" si="1267"/>
        <v>2</v>
      </c>
      <c r="G197" s="73">
        <f t="shared" si="1268"/>
        <v>2</v>
      </c>
      <c r="H197" s="50">
        <f t="shared" si="1269"/>
        <v>4</v>
      </c>
      <c r="I197" s="73">
        <f t="shared" si="1270"/>
        <v>1</v>
      </c>
      <c r="J197" s="50">
        <f t="shared" si="1271"/>
        <v>2</v>
      </c>
      <c r="K197" s="53">
        <f t="shared" si="1272"/>
        <v>2</v>
      </c>
      <c r="L197" s="54">
        <f t="shared" si="1273"/>
        <v>4</v>
      </c>
      <c r="M197" s="53">
        <f t="shared" si="1274"/>
        <v>0</v>
      </c>
      <c r="N197" s="54">
        <f t="shared" si="1275"/>
        <v>0</v>
      </c>
      <c r="O197" s="49">
        <f t="shared" ref="O197:P197" si="1371">SUM(K197,M197)</f>
        <v>2</v>
      </c>
      <c r="P197" s="50">
        <f t="shared" si="1371"/>
        <v>4</v>
      </c>
      <c r="Q197" s="73">
        <f t="shared" si="1277"/>
        <v>1</v>
      </c>
      <c r="R197" s="50">
        <f t="shared" si="1278"/>
        <v>3</v>
      </c>
      <c r="S197" s="53">
        <f t="shared" si="1279"/>
        <v>2</v>
      </c>
      <c r="T197" s="54">
        <f t="shared" si="1280"/>
        <v>4</v>
      </c>
      <c r="U197" s="53">
        <f t="shared" si="1281"/>
        <v>1</v>
      </c>
      <c r="V197" s="54">
        <f t="shared" si="1282"/>
        <v>3</v>
      </c>
      <c r="W197" s="53">
        <f t="shared" si="1283"/>
        <v>1</v>
      </c>
      <c r="X197" s="54">
        <f t="shared" si="1284"/>
        <v>2</v>
      </c>
      <c r="Y197" s="53">
        <f t="shared" si="1285"/>
        <v>2</v>
      </c>
      <c r="Z197" s="54">
        <f t="shared" si="1286"/>
        <v>4</v>
      </c>
      <c r="AA197" s="53">
        <f t="shared" si="1287"/>
        <v>2</v>
      </c>
      <c r="AB197" s="54">
        <f t="shared" si="1288"/>
        <v>4</v>
      </c>
      <c r="AC197" s="49">
        <f t="shared" ref="AC197:AD197" si="1372">SUM(S197,U197,W197,Y197,AA197)</f>
        <v>8</v>
      </c>
      <c r="AD197" s="50">
        <f t="shared" si="1372"/>
        <v>17</v>
      </c>
      <c r="AE197" s="53">
        <f t="shared" si="1290"/>
        <v>1</v>
      </c>
      <c r="AF197" s="54">
        <f t="shared" si="1291"/>
        <v>3</v>
      </c>
      <c r="AG197" s="53">
        <f t="shared" si="1292"/>
        <v>1</v>
      </c>
      <c r="AH197" s="54">
        <f t="shared" si="1293"/>
        <v>2</v>
      </c>
      <c r="AI197" s="53">
        <f t="shared" si="1294"/>
        <v>1</v>
      </c>
      <c r="AJ197" s="54">
        <f t="shared" si="1295"/>
        <v>3</v>
      </c>
      <c r="AK197" s="53">
        <f t="shared" si="1296"/>
        <v>1</v>
      </c>
      <c r="AL197" s="54">
        <f t="shared" si="1297"/>
        <v>2</v>
      </c>
      <c r="AM197" s="53">
        <f t="shared" si="1298"/>
        <v>1</v>
      </c>
      <c r="AN197" s="54">
        <f t="shared" si="1299"/>
        <v>3</v>
      </c>
      <c r="AO197" s="53">
        <f t="shared" si="1300"/>
        <v>0</v>
      </c>
      <c r="AP197" s="54">
        <f t="shared" si="1301"/>
        <v>0</v>
      </c>
      <c r="AQ197" s="49">
        <f t="shared" ref="AQ197:AR197" si="1373">SUM(AG197,AI197,AK197,AM197,AO197)</f>
        <v>4</v>
      </c>
      <c r="AR197" s="50">
        <f t="shared" si="1373"/>
        <v>10</v>
      </c>
      <c r="AS197" s="53">
        <f t="shared" si="1303"/>
        <v>0</v>
      </c>
      <c r="AT197" s="54">
        <f t="shared" si="1304"/>
        <v>0</v>
      </c>
      <c r="AU197" s="53">
        <f t="shared" si="1305"/>
        <v>1</v>
      </c>
      <c r="AV197" s="54">
        <f t="shared" si="1306"/>
        <v>3</v>
      </c>
      <c r="AW197" s="53">
        <f t="shared" si="1307"/>
        <v>1</v>
      </c>
      <c r="AX197" s="54">
        <f t="shared" si="1308"/>
        <v>3</v>
      </c>
      <c r="AY197" s="53">
        <f t="shared" si="1309"/>
        <v>0</v>
      </c>
      <c r="AZ197" s="54">
        <f t="shared" si="1310"/>
        <v>0</v>
      </c>
      <c r="BA197" s="53">
        <f t="shared" si="1311"/>
        <v>0</v>
      </c>
      <c r="BB197" s="54">
        <f t="shared" si="1312"/>
        <v>0</v>
      </c>
      <c r="BC197" s="49">
        <f t="shared" ref="BC197:BD197" si="1374">SUM(AS197,AU197,AW197,AY197,BA197)</f>
        <v>2</v>
      </c>
      <c r="BD197" s="50">
        <f t="shared" si="1374"/>
        <v>6</v>
      </c>
      <c r="BE197" s="68">
        <f t="shared" ref="BE197:BF197" si="1375">SUM(E197,G197,I197,O197,Q197,AC197,AQ197,BC197)</f>
        <v>21</v>
      </c>
      <c r="BF197" s="69">
        <f t="shared" si="1375"/>
        <v>48</v>
      </c>
      <c r="BG197" s="46" t="str">
        <f>BF197*'ОВгП_РАО'!$B$15</f>
        <v>#REF!</v>
      </c>
      <c r="BH197" s="46" t="str">
        <f>'ОВгП_РАО'!$B$15</f>
        <v>#REF!</v>
      </c>
    </row>
    <row r="198" ht="15.75" customHeight="1">
      <c r="A198" s="80">
        <f t="shared" si="1315"/>
        <v>46266</v>
      </c>
      <c r="B198" s="47" t="s">
        <v>134</v>
      </c>
      <c r="C198" s="47" t="s">
        <v>122</v>
      </c>
      <c r="D198" s="47" t="s">
        <v>123</v>
      </c>
      <c r="E198" s="73">
        <f t="shared" si="1266"/>
        <v>0</v>
      </c>
      <c r="F198" s="50">
        <f t="shared" si="1267"/>
        <v>0</v>
      </c>
      <c r="G198" s="73">
        <f t="shared" si="1268"/>
        <v>2</v>
      </c>
      <c r="H198" s="50">
        <f t="shared" si="1269"/>
        <v>4</v>
      </c>
      <c r="I198" s="73">
        <f t="shared" si="1270"/>
        <v>0</v>
      </c>
      <c r="J198" s="50">
        <f t="shared" si="1271"/>
        <v>0</v>
      </c>
      <c r="K198" s="53">
        <f t="shared" si="1272"/>
        <v>1</v>
      </c>
      <c r="L198" s="54">
        <f t="shared" si="1273"/>
        <v>3</v>
      </c>
      <c r="M198" s="53">
        <f t="shared" si="1274"/>
        <v>1</v>
      </c>
      <c r="N198" s="54">
        <f t="shared" si="1275"/>
        <v>2</v>
      </c>
      <c r="O198" s="49">
        <f t="shared" ref="O198:P198" si="1376">SUM(K198,M198)</f>
        <v>2</v>
      </c>
      <c r="P198" s="50">
        <f t="shared" si="1376"/>
        <v>5</v>
      </c>
      <c r="Q198" s="73">
        <f t="shared" si="1277"/>
        <v>2</v>
      </c>
      <c r="R198" s="50">
        <f t="shared" si="1278"/>
        <v>4</v>
      </c>
      <c r="S198" s="53">
        <f t="shared" si="1279"/>
        <v>0</v>
      </c>
      <c r="T198" s="54">
        <f t="shared" si="1280"/>
        <v>0</v>
      </c>
      <c r="U198" s="53">
        <f t="shared" si="1281"/>
        <v>1</v>
      </c>
      <c r="V198" s="54">
        <f t="shared" si="1282"/>
        <v>3</v>
      </c>
      <c r="W198" s="53">
        <f t="shared" si="1283"/>
        <v>0</v>
      </c>
      <c r="X198" s="54">
        <f t="shared" si="1284"/>
        <v>0</v>
      </c>
      <c r="Y198" s="53">
        <f t="shared" si="1285"/>
        <v>2</v>
      </c>
      <c r="Z198" s="54">
        <f t="shared" si="1286"/>
        <v>4</v>
      </c>
      <c r="AA198" s="53">
        <f t="shared" si="1287"/>
        <v>1</v>
      </c>
      <c r="AB198" s="54">
        <f t="shared" si="1288"/>
        <v>3</v>
      </c>
      <c r="AC198" s="49">
        <f t="shared" ref="AC198:AD198" si="1377">SUM(S198,U198,W198,Y198,AA198)</f>
        <v>4</v>
      </c>
      <c r="AD198" s="50">
        <f t="shared" si="1377"/>
        <v>10</v>
      </c>
      <c r="AE198" s="53">
        <f t="shared" si="1290"/>
        <v>2</v>
      </c>
      <c r="AF198" s="54">
        <f t="shared" si="1291"/>
        <v>4</v>
      </c>
      <c r="AG198" s="53">
        <f t="shared" si="1292"/>
        <v>2</v>
      </c>
      <c r="AH198" s="54">
        <f t="shared" si="1293"/>
        <v>4</v>
      </c>
      <c r="AI198" s="53">
        <f t="shared" si="1294"/>
        <v>0</v>
      </c>
      <c r="AJ198" s="54">
        <f t="shared" si="1295"/>
        <v>0</v>
      </c>
      <c r="AK198" s="53">
        <f t="shared" si="1296"/>
        <v>1</v>
      </c>
      <c r="AL198" s="54">
        <f t="shared" si="1297"/>
        <v>1</v>
      </c>
      <c r="AM198" s="53">
        <f t="shared" si="1298"/>
        <v>0</v>
      </c>
      <c r="AN198" s="54">
        <f t="shared" si="1299"/>
        <v>0</v>
      </c>
      <c r="AO198" s="53">
        <f t="shared" si="1300"/>
        <v>1</v>
      </c>
      <c r="AP198" s="54">
        <f t="shared" si="1301"/>
        <v>3</v>
      </c>
      <c r="AQ198" s="49">
        <f t="shared" ref="AQ198:AR198" si="1378">SUM(AG198,AI198,AK198,AM198,AO198)</f>
        <v>4</v>
      </c>
      <c r="AR198" s="50">
        <f t="shared" si="1378"/>
        <v>8</v>
      </c>
      <c r="AS198" s="53">
        <f t="shared" si="1303"/>
        <v>1</v>
      </c>
      <c r="AT198" s="54">
        <f t="shared" si="1304"/>
        <v>3</v>
      </c>
      <c r="AU198" s="53">
        <f t="shared" si="1305"/>
        <v>0</v>
      </c>
      <c r="AV198" s="54">
        <f t="shared" si="1306"/>
        <v>0</v>
      </c>
      <c r="AW198" s="53">
        <f t="shared" si="1307"/>
        <v>1</v>
      </c>
      <c r="AX198" s="54">
        <f t="shared" si="1308"/>
        <v>1</v>
      </c>
      <c r="AY198" s="53">
        <f t="shared" si="1309"/>
        <v>2</v>
      </c>
      <c r="AZ198" s="54">
        <f t="shared" si="1310"/>
        <v>4</v>
      </c>
      <c r="BA198" s="53">
        <f t="shared" si="1311"/>
        <v>1</v>
      </c>
      <c r="BB198" s="54">
        <f t="shared" si="1312"/>
        <v>3</v>
      </c>
      <c r="BC198" s="49">
        <f t="shared" ref="BC198:BD198" si="1379">SUM(AS198,AU198,AW198,AY198,BA198)</f>
        <v>5</v>
      </c>
      <c r="BD198" s="50">
        <f t="shared" si="1379"/>
        <v>11</v>
      </c>
      <c r="BE198" s="68">
        <f t="shared" ref="BE198:BF198" si="1380">SUM(E198,G198,I198,O198,Q198,AC198,AQ198,BC198)</f>
        <v>19</v>
      </c>
      <c r="BF198" s="69">
        <f t="shared" si="1380"/>
        <v>42</v>
      </c>
      <c r="BG198" s="46" t="str">
        <f>BF198*'ОВгП_РАО'!$B$16</f>
        <v>#REF!</v>
      </c>
      <c r="BH198" s="46" t="str">
        <f>'ОВгП_РАО'!$B$16</f>
        <v>#REF!</v>
      </c>
    </row>
    <row r="199" ht="15.75" customHeight="1">
      <c r="A199" s="80">
        <f t="shared" si="1315"/>
        <v>46266</v>
      </c>
      <c r="B199" s="129" t="s">
        <v>135</v>
      </c>
      <c r="C199" s="47" t="s">
        <v>122</v>
      </c>
      <c r="D199" s="47" t="s">
        <v>136</v>
      </c>
      <c r="E199" s="73">
        <f t="shared" si="1266"/>
        <v>0</v>
      </c>
      <c r="F199" s="50">
        <f t="shared" si="1267"/>
        <v>0</v>
      </c>
      <c r="G199" s="73">
        <f t="shared" si="1268"/>
        <v>1</v>
      </c>
      <c r="H199" s="50">
        <f t="shared" si="1269"/>
        <v>2</v>
      </c>
      <c r="I199" s="73">
        <f t="shared" si="1270"/>
        <v>1</v>
      </c>
      <c r="J199" s="50">
        <f t="shared" si="1271"/>
        <v>3</v>
      </c>
      <c r="K199" s="53">
        <f t="shared" si="1272"/>
        <v>1</v>
      </c>
      <c r="L199" s="54">
        <f t="shared" si="1273"/>
        <v>2</v>
      </c>
      <c r="M199" s="53">
        <f t="shared" si="1274"/>
        <v>1</v>
      </c>
      <c r="N199" s="54">
        <f t="shared" si="1275"/>
        <v>3</v>
      </c>
      <c r="O199" s="49">
        <f t="shared" ref="O199:P199" si="1381">SUM(K199,M199)</f>
        <v>2</v>
      </c>
      <c r="P199" s="50">
        <f t="shared" si="1381"/>
        <v>5</v>
      </c>
      <c r="Q199" s="73">
        <f t="shared" si="1277"/>
        <v>1</v>
      </c>
      <c r="R199" s="50">
        <f t="shared" si="1278"/>
        <v>3</v>
      </c>
      <c r="S199" s="53">
        <f t="shared" si="1279"/>
        <v>1</v>
      </c>
      <c r="T199" s="54">
        <f t="shared" si="1280"/>
        <v>2</v>
      </c>
      <c r="U199" s="53">
        <f t="shared" si="1281"/>
        <v>1</v>
      </c>
      <c r="V199" s="54">
        <f t="shared" si="1282"/>
        <v>1</v>
      </c>
      <c r="W199" s="53">
        <f t="shared" si="1283"/>
        <v>1</v>
      </c>
      <c r="X199" s="54">
        <f t="shared" si="1284"/>
        <v>1</v>
      </c>
      <c r="Y199" s="53">
        <f t="shared" si="1285"/>
        <v>0</v>
      </c>
      <c r="Z199" s="54">
        <f t="shared" si="1286"/>
        <v>0</v>
      </c>
      <c r="AA199" s="53">
        <f t="shared" si="1287"/>
        <v>1</v>
      </c>
      <c r="AB199" s="54">
        <f t="shared" si="1288"/>
        <v>3</v>
      </c>
      <c r="AC199" s="49">
        <f t="shared" ref="AC199:AD199" si="1382">SUM(S199,U199,W199,Y199,AA199)</f>
        <v>4</v>
      </c>
      <c r="AD199" s="50">
        <f t="shared" si="1382"/>
        <v>7</v>
      </c>
      <c r="AE199" s="53">
        <f t="shared" si="1290"/>
        <v>1</v>
      </c>
      <c r="AF199" s="54">
        <f t="shared" si="1291"/>
        <v>2</v>
      </c>
      <c r="AG199" s="53">
        <f t="shared" si="1292"/>
        <v>1</v>
      </c>
      <c r="AH199" s="54">
        <f t="shared" si="1293"/>
        <v>3</v>
      </c>
      <c r="AI199" s="53">
        <f t="shared" si="1294"/>
        <v>1</v>
      </c>
      <c r="AJ199" s="54">
        <f t="shared" si="1295"/>
        <v>2</v>
      </c>
      <c r="AK199" s="53">
        <f t="shared" si="1296"/>
        <v>1</v>
      </c>
      <c r="AL199" s="54">
        <f t="shared" si="1297"/>
        <v>1</v>
      </c>
      <c r="AM199" s="53">
        <f t="shared" si="1298"/>
        <v>2</v>
      </c>
      <c r="AN199" s="54">
        <f t="shared" si="1299"/>
        <v>4</v>
      </c>
      <c r="AO199" s="53">
        <f t="shared" si="1300"/>
        <v>0</v>
      </c>
      <c r="AP199" s="54">
        <f t="shared" si="1301"/>
        <v>0</v>
      </c>
      <c r="AQ199" s="49">
        <f t="shared" ref="AQ199:AR199" si="1383">SUM(AG199,AI199,AK199,AM199,AO199)</f>
        <v>5</v>
      </c>
      <c r="AR199" s="50">
        <f t="shared" si="1383"/>
        <v>10</v>
      </c>
      <c r="AS199" s="53">
        <f t="shared" si="1303"/>
        <v>1</v>
      </c>
      <c r="AT199" s="54">
        <f t="shared" si="1304"/>
        <v>1</v>
      </c>
      <c r="AU199" s="53">
        <f t="shared" si="1305"/>
        <v>1</v>
      </c>
      <c r="AV199" s="54">
        <f t="shared" si="1306"/>
        <v>1</v>
      </c>
      <c r="AW199" s="53">
        <f t="shared" si="1307"/>
        <v>1</v>
      </c>
      <c r="AX199" s="54">
        <f t="shared" si="1308"/>
        <v>3</v>
      </c>
      <c r="AY199" s="53">
        <f t="shared" si="1309"/>
        <v>1</v>
      </c>
      <c r="AZ199" s="54">
        <f t="shared" si="1310"/>
        <v>3</v>
      </c>
      <c r="BA199" s="53">
        <f t="shared" si="1311"/>
        <v>0</v>
      </c>
      <c r="BB199" s="54">
        <f t="shared" si="1312"/>
        <v>0</v>
      </c>
      <c r="BC199" s="49">
        <f t="shared" ref="BC199:BD199" si="1384">SUM(AS199,AU199,AW199,AY199,BA199)</f>
        <v>4</v>
      </c>
      <c r="BD199" s="50">
        <f t="shared" si="1384"/>
        <v>8</v>
      </c>
      <c r="BE199" s="68">
        <f t="shared" ref="BE199:BF199" si="1385">SUM(E199,G199,I199,O199,Q199,AC199,AQ199,BC199)</f>
        <v>18</v>
      </c>
      <c r="BF199" s="69">
        <f t="shared" si="1385"/>
        <v>38</v>
      </c>
      <c r="BG199" s="46" t="str">
        <f>BF199*'ОВгП_РАО'!$B$17</f>
        <v>#REF!</v>
      </c>
      <c r="BH199" s="46" t="str">
        <f>'ОВгП_РАО'!$B$17</f>
        <v>#REF!</v>
      </c>
    </row>
    <row r="200" ht="15.75" customHeight="1">
      <c r="A200" s="80">
        <f t="shared" si="1315"/>
        <v>46266</v>
      </c>
      <c r="B200" s="129" t="s">
        <v>137</v>
      </c>
      <c r="C200" s="47" t="s">
        <v>122</v>
      </c>
      <c r="D200" s="47" t="s">
        <v>136</v>
      </c>
      <c r="E200" s="73">
        <f t="shared" si="1266"/>
        <v>1</v>
      </c>
      <c r="F200" s="50">
        <f t="shared" si="1267"/>
        <v>2</v>
      </c>
      <c r="G200" s="73">
        <f t="shared" si="1268"/>
        <v>2</v>
      </c>
      <c r="H200" s="50">
        <f t="shared" si="1269"/>
        <v>4</v>
      </c>
      <c r="I200" s="73">
        <f t="shared" si="1270"/>
        <v>0</v>
      </c>
      <c r="J200" s="50">
        <f t="shared" si="1271"/>
        <v>0</v>
      </c>
      <c r="K200" s="53">
        <f t="shared" si="1272"/>
        <v>1</v>
      </c>
      <c r="L200" s="54">
        <f t="shared" si="1273"/>
        <v>2</v>
      </c>
      <c r="M200" s="53">
        <f t="shared" si="1274"/>
        <v>2</v>
      </c>
      <c r="N200" s="54">
        <f t="shared" si="1275"/>
        <v>4</v>
      </c>
      <c r="O200" s="49">
        <f t="shared" ref="O200:P200" si="1386">SUM(K200,M200)</f>
        <v>3</v>
      </c>
      <c r="P200" s="50">
        <f t="shared" si="1386"/>
        <v>6</v>
      </c>
      <c r="Q200" s="73">
        <f t="shared" si="1277"/>
        <v>1</v>
      </c>
      <c r="R200" s="50">
        <f t="shared" si="1278"/>
        <v>2</v>
      </c>
      <c r="S200" s="53">
        <f t="shared" si="1279"/>
        <v>2</v>
      </c>
      <c r="T200" s="54">
        <f t="shared" si="1280"/>
        <v>4</v>
      </c>
      <c r="U200" s="53">
        <f t="shared" si="1281"/>
        <v>1</v>
      </c>
      <c r="V200" s="54">
        <f t="shared" si="1282"/>
        <v>2</v>
      </c>
      <c r="W200" s="53">
        <f t="shared" si="1283"/>
        <v>0</v>
      </c>
      <c r="X200" s="54">
        <f t="shared" si="1284"/>
        <v>0</v>
      </c>
      <c r="Y200" s="53">
        <f t="shared" si="1285"/>
        <v>2</v>
      </c>
      <c r="Z200" s="54">
        <f t="shared" si="1286"/>
        <v>4</v>
      </c>
      <c r="AA200" s="53">
        <f t="shared" si="1287"/>
        <v>2</v>
      </c>
      <c r="AB200" s="54">
        <f t="shared" si="1288"/>
        <v>4</v>
      </c>
      <c r="AC200" s="49">
        <f t="shared" ref="AC200:AD200" si="1387">SUM(S200,U200,W200,Y200,AA200)</f>
        <v>7</v>
      </c>
      <c r="AD200" s="50">
        <f t="shared" si="1387"/>
        <v>14</v>
      </c>
      <c r="AE200" s="53">
        <f t="shared" si="1290"/>
        <v>0</v>
      </c>
      <c r="AF200" s="54">
        <f t="shared" si="1291"/>
        <v>0</v>
      </c>
      <c r="AG200" s="53">
        <f t="shared" si="1292"/>
        <v>1</v>
      </c>
      <c r="AH200" s="54">
        <f t="shared" si="1293"/>
        <v>2</v>
      </c>
      <c r="AI200" s="53">
        <f t="shared" si="1294"/>
        <v>0</v>
      </c>
      <c r="AJ200" s="54">
        <f t="shared" si="1295"/>
        <v>0</v>
      </c>
      <c r="AK200" s="53">
        <f t="shared" si="1296"/>
        <v>0</v>
      </c>
      <c r="AL200" s="54">
        <f t="shared" si="1297"/>
        <v>0</v>
      </c>
      <c r="AM200" s="53">
        <f t="shared" si="1298"/>
        <v>1</v>
      </c>
      <c r="AN200" s="54">
        <f t="shared" si="1299"/>
        <v>2</v>
      </c>
      <c r="AO200" s="53">
        <f t="shared" si="1300"/>
        <v>2</v>
      </c>
      <c r="AP200" s="54">
        <f t="shared" si="1301"/>
        <v>4</v>
      </c>
      <c r="AQ200" s="49">
        <f t="shared" ref="AQ200:AR200" si="1388">SUM(AG200,AI200,AK200,AM200,AO200)</f>
        <v>4</v>
      </c>
      <c r="AR200" s="50">
        <f t="shared" si="1388"/>
        <v>8</v>
      </c>
      <c r="AS200" s="53">
        <f t="shared" si="1303"/>
        <v>1</v>
      </c>
      <c r="AT200" s="54">
        <f t="shared" si="1304"/>
        <v>3</v>
      </c>
      <c r="AU200" s="53">
        <f t="shared" si="1305"/>
        <v>1</v>
      </c>
      <c r="AV200" s="54">
        <f t="shared" si="1306"/>
        <v>1</v>
      </c>
      <c r="AW200" s="53">
        <f t="shared" si="1307"/>
        <v>1</v>
      </c>
      <c r="AX200" s="54">
        <f t="shared" si="1308"/>
        <v>3</v>
      </c>
      <c r="AY200" s="53">
        <f t="shared" si="1309"/>
        <v>1</v>
      </c>
      <c r="AZ200" s="54">
        <f t="shared" si="1310"/>
        <v>3</v>
      </c>
      <c r="BA200" s="53">
        <f t="shared" si="1311"/>
        <v>2</v>
      </c>
      <c r="BB200" s="54">
        <f t="shared" si="1312"/>
        <v>4</v>
      </c>
      <c r="BC200" s="49">
        <f t="shared" ref="BC200:BD200" si="1389">SUM(AS200,AU200,AW200,AY200,BA200)</f>
        <v>6</v>
      </c>
      <c r="BD200" s="50">
        <f t="shared" si="1389"/>
        <v>14</v>
      </c>
      <c r="BE200" s="68">
        <f t="shared" ref="BE200:BF200" si="1390">SUM(E200,G200,I200,O200,Q200,AC200,AQ200,BC200)</f>
        <v>24</v>
      </c>
      <c r="BF200" s="69">
        <f t="shared" si="1390"/>
        <v>50</v>
      </c>
      <c r="BG200" s="46" t="str">
        <f>BF200*'ОВгП_РАО'!$B$18</f>
        <v>#REF!</v>
      </c>
      <c r="BH200" s="46" t="str">
        <f>'ОВгП_РАО'!$B$18</f>
        <v>#REF!</v>
      </c>
    </row>
    <row r="201" ht="15.75" customHeight="1">
      <c r="A201" s="80">
        <f t="shared" si="1315"/>
        <v>46266</v>
      </c>
      <c r="B201" s="129" t="s">
        <v>138</v>
      </c>
      <c r="C201" s="47" t="s">
        <v>122</v>
      </c>
      <c r="D201" s="47" t="s">
        <v>139</v>
      </c>
      <c r="E201" s="73">
        <f t="shared" si="1266"/>
        <v>1</v>
      </c>
      <c r="F201" s="50">
        <f t="shared" si="1267"/>
        <v>2</v>
      </c>
      <c r="G201" s="73">
        <f t="shared" si="1268"/>
        <v>1</v>
      </c>
      <c r="H201" s="50">
        <f t="shared" si="1269"/>
        <v>1</v>
      </c>
      <c r="I201" s="73">
        <f t="shared" si="1270"/>
        <v>1</v>
      </c>
      <c r="J201" s="50">
        <f t="shared" si="1271"/>
        <v>1</v>
      </c>
      <c r="K201" s="53">
        <f t="shared" si="1272"/>
        <v>0</v>
      </c>
      <c r="L201" s="54">
        <f t="shared" si="1273"/>
        <v>0</v>
      </c>
      <c r="M201" s="53">
        <f t="shared" si="1274"/>
        <v>0</v>
      </c>
      <c r="N201" s="54">
        <f t="shared" si="1275"/>
        <v>0</v>
      </c>
      <c r="O201" s="49">
        <f t="shared" ref="O201:P201" si="1391">SUM(K201,M201)</f>
        <v>0</v>
      </c>
      <c r="P201" s="50">
        <f t="shared" si="1391"/>
        <v>0</v>
      </c>
      <c r="Q201" s="73">
        <f t="shared" si="1277"/>
        <v>0</v>
      </c>
      <c r="R201" s="50">
        <f t="shared" si="1278"/>
        <v>0</v>
      </c>
      <c r="S201" s="53">
        <f t="shared" si="1279"/>
        <v>1</v>
      </c>
      <c r="T201" s="54">
        <f t="shared" si="1280"/>
        <v>2</v>
      </c>
      <c r="U201" s="53">
        <f t="shared" si="1281"/>
        <v>1</v>
      </c>
      <c r="V201" s="54">
        <f t="shared" si="1282"/>
        <v>2</v>
      </c>
      <c r="W201" s="53">
        <f t="shared" si="1283"/>
        <v>0</v>
      </c>
      <c r="X201" s="54">
        <f t="shared" si="1284"/>
        <v>0</v>
      </c>
      <c r="Y201" s="53">
        <f t="shared" si="1285"/>
        <v>2</v>
      </c>
      <c r="Z201" s="54">
        <f t="shared" si="1286"/>
        <v>4</v>
      </c>
      <c r="AA201" s="53">
        <f t="shared" si="1287"/>
        <v>1</v>
      </c>
      <c r="AB201" s="54">
        <f t="shared" si="1288"/>
        <v>1</v>
      </c>
      <c r="AC201" s="49">
        <f t="shared" ref="AC201:AD201" si="1392">SUM(S201,U201,W201,Y201,AA201)</f>
        <v>5</v>
      </c>
      <c r="AD201" s="50">
        <f t="shared" si="1392"/>
        <v>9</v>
      </c>
      <c r="AE201" s="53">
        <f t="shared" si="1290"/>
        <v>0</v>
      </c>
      <c r="AF201" s="54">
        <f t="shared" si="1291"/>
        <v>0</v>
      </c>
      <c r="AG201" s="53">
        <f t="shared" si="1292"/>
        <v>1</v>
      </c>
      <c r="AH201" s="54">
        <f t="shared" si="1293"/>
        <v>2</v>
      </c>
      <c r="AI201" s="53">
        <f t="shared" si="1294"/>
        <v>0</v>
      </c>
      <c r="AJ201" s="54">
        <f t="shared" si="1295"/>
        <v>0</v>
      </c>
      <c r="AK201" s="53">
        <f t="shared" si="1296"/>
        <v>0</v>
      </c>
      <c r="AL201" s="54">
        <f t="shared" si="1297"/>
        <v>0</v>
      </c>
      <c r="AM201" s="53">
        <f t="shared" si="1298"/>
        <v>1</v>
      </c>
      <c r="AN201" s="54">
        <f t="shared" si="1299"/>
        <v>2</v>
      </c>
      <c r="AO201" s="53">
        <f t="shared" si="1300"/>
        <v>0</v>
      </c>
      <c r="AP201" s="54">
        <f t="shared" si="1301"/>
        <v>0</v>
      </c>
      <c r="AQ201" s="49">
        <f t="shared" ref="AQ201:AR201" si="1393">SUM(AG201,AI201,AK201,AM201,AO201)</f>
        <v>2</v>
      </c>
      <c r="AR201" s="50">
        <f t="shared" si="1393"/>
        <v>4</v>
      </c>
      <c r="AS201" s="53">
        <f t="shared" si="1303"/>
        <v>1</v>
      </c>
      <c r="AT201" s="54">
        <f t="shared" si="1304"/>
        <v>2</v>
      </c>
      <c r="AU201" s="53">
        <f t="shared" si="1305"/>
        <v>0</v>
      </c>
      <c r="AV201" s="54">
        <f t="shared" si="1306"/>
        <v>0</v>
      </c>
      <c r="AW201" s="53">
        <f t="shared" si="1307"/>
        <v>0</v>
      </c>
      <c r="AX201" s="54">
        <f t="shared" si="1308"/>
        <v>0</v>
      </c>
      <c r="AY201" s="53">
        <f t="shared" si="1309"/>
        <v>2</v>
      </c>
      <c r="AZ201" s="54">
        <f t="shared" si="1310"/>
        <v>4</v>
      </c>
      <c r="BA201" s="53">
        <f t="shared" si="1311"/>
        <v>2</v>
      </c>
      <c r="BB201" s="54">
        <f t="shared" si="1312"/>
        <v>4</v>
      </c>
      <c r="BC201" s="49">
        <f t="shared" ref="BC201:BD201" si="1394">SUM(AS201,AU201,AW201,AY201,BA201)</f>
        <v>5</v>
      </c>
      <c r="BD201" s="50">
        <f t="shared" si="1394"/>
        <v>10</v>
      </c>
      <c r="BE201" s="68">
        <f t="shared" ref="BE201:BF201" si="1395">SUM(E201,G201,I201,O201,Q201,AC201,AQ201,BC201)</f>
        <v>15</v>
      </c>
      <c r="BF201" s="69">
        <f t="shared" si="1395"/>
        <v>27</v>
      </c>
      <c r="BG201" s="46" t="str">
        <f>BF201*'ОВгП_РАО'!$B$19</f>
        <v>#REF!</v>
      </c>
      <c r="BH201" s="46" t="str">
        <f>'ОВгП_РАО'!$B$19</f>
        <v>#REF!</v>
      </c>
    </row>
    <row r="202" ht="15.75" customHeight="1">
      <c r="A202" s="80">
        <f t="shared" si="1315"/>
        <v>46266</v>
      </c>
      <c r="B202" s="129" t="s">
        <v>140</v>
      </c>
      <c r="C202" s="47" t="s">
        <v>122</v>
      </c>
      <c r="D202" s="47" t="s">
        <v>139</v>
      </c>
      <c r="E202" s="73">
        <f t="shared" si="1266"/>
        <v>2</v>
      </c>
      <c r="F202" s="50">
        <f t="shared" si="1267"/>
        <v>4</v>
      </c>
      <c r="G202" s="73">
        <f t="shared" si="1268"/>
        <v>1</v>
      </c>
      <c r="H202" s="50">
        <f t="shared" si="1269"/>
        <v>2</v>
      </c>
      <c r="I202" s="73">
        <f t="shared" si="1270"/>
        <v>1</v>
      </c>
      <c r="J202" s="50">
        <f t="shared" si="1271"/>
        <v>3</v>
      </c>
      <c r="K202" s="53">
        <f t="shared" si="1272"/>
        <v>2</v>
      </c>
      <c r="L202" s="54">
        <f t="shared" si="1273"/>
        <v>4</v>
      </c>
      <c r="M202" s="53">
        <f t="shared" si="1274"/>
        <v>1</v>
      </c>
      <c r="N202" s="54">
        <f t="shared" si="1275"/>
        <v>3</v>
      </c>
      <c r="O202" s="49">
        <f t="shared" ref="O202:P202" si="1396">SUM(K202,M202)</f>
        <v>3</v>
      </c>
      <c r="P202" s="50">
        <f t="shared" si="1396"/>
        <v>7</v>
      </c>
      <c r="Q202" s="73">
        <f t="shared" si="1277"/>
        <v>1</v>
      </c>
      <c r="R202" s="50">
        <f t="shared" si="1278"/>
        <v>3</v>
      </c>
      <c r="S202" s="53">
        <f t="shared" si="1279"/>
        <v>2</v>
      </c>
      <c r="T202" s="54">
        <f t="shared" si="1280"/>
        <v>4</v>
      </c>
      <c r="U202" s="53">
        <f t="shared" si="1281"/>
        <v>2</v>
      </c>
      <c r="V202" s="54">
        <f t="shared" si="1282"/>
        <v>4</v>
      </c>
      <c r="W202" s="53">
        <f t="shared" si="1283"/>
        <v>1</v>
      </c>
      <c r="X202" s="54">
        <f t="shared" si="1284"/>
        <v>1</v>
      </c>
      <c r="Y202" s="53">
        <f t="shared" si="1285"/>
        <v>1</v>
      </c>
      <c r="Z202" s="54">
        <f t="shared" si="1286"/>
        <v>2</v>
      </c>
      <c r="AA202" s="53">
        <f t="shared" si="1287"/>
        <v>1</v>
      </c>
      <c r="AB202" s="54">
        <f t="shared" si="1288"/>
        <v>1</v>
      </c>
      <c r="AC202" s="49">
        <f t="shared" ref="AC202:AD202" si="1397">SUM(S202,U202,W202,Y202,AA202)</f>
        <v>7</v>
      </c>
      <c r="AD202" s="50">
        <f t="shared" si="1397"/>
        <v>12</v>
      </c>
      <c r="AE202" s="53">
        <f t="shared" si="1290"/>
        <v>0</v>
      </c>
      <c r="AF202" s="54">
        <f t="shared" si="1291"/>
        <v>0</v>
      </c>
      <c r="AG202" s="53">
        <f t="shared" si="1292"/>
        <v>1</v>
      </c>
      <c r="AH202" s="54">
        <f t="shared" si="1293"/>
        <v>1</v>
      </c>
      <c r="AI202" s="53">
        <f t="shared" si="1294"/>
        <v>1</v>
      </c>
      <c r="AJ202" s="54">
        <f t="shared" si="1295"/>
        <v>1</v>
      </c>
      <c r="AK202" s="53">
        <f t="shared" si="1296"/>
        <v>2</v>
      </c>
      <c r="AL202" s="54">
        <f t="shared" si="1297"/>
        <v>4</v>
      </c>
      <c r="AM202" s="53">
        <f t="shared" si="1298"/>
        <v>1</v>
      </c>
      <c r="AN202" s="54">
        <f t="shared" si="1299"/>
        <v>2</v>
      </c>
      <c r="AO202" s="53">
        <f t="shared" si="1300"/>
        <v>1</v>
      </c>
      <c r="AP202" s="54">
        <f t="shared" si="1301"/>
        <v>2</v>
      </c>
      <c r="AQ202" s="49">
        <f t="shared" ref="AQ202:AR202" si="1398">SUM(AG202,AI202,AK202,AM202,AO202)</f>
        <v>6</v>
      </c>
      <c r="AR202" s="50">
        <f t="shared" si="1398"/>
        <v>10</v>
      </c>
      <c r="AS202" s="53">
        <f t="shared" si="1303"/>
        <v>1</v>
      </c>
      <c r="AT202" s="54">
        <f t="shared" si="1304"/>
        <v>1</v>
      </c>
      <c r="AU202" s="53">
        <f t="shared" si="1305"/>
        <v>2</v>
      </c>
      <c r="AV202" s="54">
        <f t="shared" si="1306"/>
        <v>4</v>
      </c>
      <c r="AW202" s="53">
        <f t="shared" si="1307"/>
        <v>1</v>
      </c>
      <c r="AX202" s="54">
        <f t="shared" si="1308"/>
        <v>3</v>
      </c>
      <c r="AY202" s="53">
        <f t="shared" si="1309"/>
        <v>1</v>
      </c>
      <c r="AZ202" s="54">
        <f t="shared" si="1310"/>
        <v>3</v>
      </c>
      <c r="BA202" s="53">
        <f t="shared" si="1311"/>
        <v>1</v>
      </c>
      <c r="BB202" s="54">
        <f t="shared" si="1312"/>
        <v>3</v>
      </c>
      <c r="BC202" s="49">
        <f t="shared" ref="BC202:BD202" si="1399">SUM(AS202,AU202,AW202,AY202,BA202)</f>
        <v>6</v>
      </c>
      <c r="BD202" s="50">
        <f t="shared" si="1399"/>
        <v>14</v>
      </c>
      <c r="BE202" s="68">
        <f t="shared" ref="BE202:BF202" si="1400">SUM(E202,G202,I202,O202,Q202,AC202,AQ202,BC202)</f>
        <v>27</v>
      </c>
      <c r="BF202" s="69">
        <f t="shared" si="1400"/>
        <v>55</v>
      </c>
      <c r="BG202" s="46" t="str">
        <f>BF202*'ОВгП_РАО'!$B$20</f>
        <v>#REF!</v>
      </c>
      <c r="BH202" s="46" t="str">
        <f>'ОВгП_РАО'!$B$20</f>
        <v>#REF!</v>
      </c>
    </row>
    <row r="203" ht="15.75" customHeight="1">
      <c r="A203" s="80">
        <f t="shared" si="1315"/>
        <v>46266</v>
      </c>
      <c r="B203" s="129" t="s">
        <v>141</v>
      </c>
      <c r="C203" s="47" t="s">
        <v>122</v>
      </c>
      <c r="D203" s="47" t="s">
        <v>139</v>
      </c>
      <c r="E203" s="73">
        <f t="shared" si="1266"/>
        <v>1</v>
      </c>
      <c r="F203" s="50">
        <f t="shared" si="1267"/>
        <v>2</v>
      </c>
      <c r="G203" s="73">
        <f t="shared" si="1268"/>
        <v>1</v>
      </c>
      <c r="H203" s="50">
        <f t="shared" si="1269"/>
        <v>1</v>
      </c>
      <c r="I203" s="73">
        <f t="shared" si="1270"/>
        <v>1</v>
      </c>
      <c r="J203" s="50">
        <f t="shared" si="1271"/>
        <v>1</v>
      </c>
      <c r="K203" s="53">
        <f t="shared" si="1272"/>
        <v>1</v>
      </c>
      <c r="L203" s="54">
        <f t="shared" si="1273"/>
        <v>2</v>
      </c>
      <c r="M203" s="53">
        <f t="shared" si="1274"/>
        <v>2</v>
      </c>
      <c r="N203" s="54">
        <f t="shared" si="1275"/>
        <v>4</v>
      </c>
      <c r="O203" s="49">
        <f t="shared" ref="O203:P203" si="1401">SUM(K203,M203)</f>
        <v>3</v>
      </c>
      <c r="P203" s="50">
        <f t="shared" si="1401"/>
        <v>6</v>
      </c>
      <c r="Q203" s="73">
        <f t="shared" si="1277"/>
        <v>1</v>
      </c>
      <c r="R203" s="50">
        <f t="shared" si="1278"/>
        <v>1</v>
      </c>
      <c r="S203" s="53">
        <f t="shared" si="1279"/>
        <v>2</v>
      </c>
      <c r="T203" s="54">
        <f t="shared" si="1280"/>
        <v>4</v>
      </c>
      <c r="U203" s="53">
        <f t="shared" si="1281"/>
        <v>2</v>
      </c>
      <c r="V203" s="54">
        <f t="shared" si="1282"/>
        <v>4</v>
      </c>
      <c r="W203" s="53">
        <f t="shared" si="1283"/>
        <v>1</v>
      </c>
      <c r="X203" s="54">
        <f t="shared" si="1284"/>
        <v>2</v>
      </c>
      <c r="Y203" s="53">
        <f t="shared" si="1285"/>
        <v>0</v>
      </c>
      <c r="Z203" s="54">
        <f t="shared" si="1286"/>
        <v>0</v>
      </c>
      <c r="AA203" s="53">
        <f t="shared" si="1287"/>
        <v>1</v>
      </c>
      <c r="AB203" s="54">
        <f t="shared" si="1288"/>
        <v>1</v>
      </c>
      <c r="AC203" s="49">
        <f t="shared" ref="AC203:AD203" si="1402">SUM(S203,U203,W203,Y203,AA203)</f>
        <v>6</v>
      </c>
      <c r="AD203" s="50">
        <f t="shared" si="1402"/>
        <v>11</v>
      </c>
      <c r="AE203" s="53">
        <f t="shared" si="1290"/>
        <v>1</v>
      </c>
      <c r="AF203" s="54">
        <f t="shared" si="1291"/>
        <v>1</v>
      </c>
      <c r="AG203" s="53">
        <f t="shared" si="1292"/>
        <v>1</v>
      </c>
      <c r="AH203" s="54">
        <f t="shared" si="1293"/>
        <v>1</v>
      </c>
      <c r="AI203" s="53">
        <f t="shared" si="1294"/>
        <v>1</v>
      </c>
      <c r="AJ203" s="54">
        <f t="shared" si="1295"/>
        <v>3</v>
      </c>
      <c r="AK203" s="53">
        <f t="shared" si="1296"/>
        <v>1</v>
      </c>
      <c r="AL203" s="54">
        <f t="shared" si="1297"/>
        <v>1</v>
      </c>
      <c r="AM203" s="53">
        <f t="shared" si="1298"/>
        <v>1</v>
      </c>
      <c r="AN203" s="54">
        <f t="shared" si="1299"/>
        <v>2</v>
      </c>
      <c r="AO203" s="53">
        <f t="shared" si="1300"/>
        <v>1</v>
      </c>
      <c r="AP203" s="54">
        <f t="shared" si="1301"/>
        <v>2</v>
      </c>
      <c r="AQ203" s="49">
        <f t="shared" ref="AQ203:AR203" si="1403">SUM(AG203,AI203,AK203,AM203,AO203)</f>
        <v>5</v>
      </c>
      <c r="AR203" s="50">
        <f t="shared" si="1403"/>
        <v>9</v>
      </c>
      <c r="AS203" s="53">
        <f t="shared" si="1303"/>
        <v>2</v>
      </c>
      <c r="AT203" s="54">
        <f t="shared" si="1304"/>
        <v>4</v>
      </c>
      <c r="AU203" s="53">
        <f t="shared" si="1305"/>
        <v>2</v>
      </c>
      <c r="AV203" s="54">
        <f t="shared" si="1306"/>
        <v>4</v>
      </c>
      <c r="AW203" s="53">
        <f t="shared" si="1307"/>
        <v>1</v>
      </c>
      <c r="AX203" s="54">
        <f t="shared" si="1308"/>
        <v>3</v>
      </c>
      <c r="AY203" s="53">
        <f t="shared" si="1309"/>
        <v>1</v>
      </c>
      <c r="AZ203" s="54">
        <f t="shared" si="1310"/>
        <v>2</v>
      </c>
      <c r="BA203" s="53">
        <f t="shared" si="1311"/>
        <v>2</v>
      </c>
      <c r="BB203" s="54">
        <f t="shared" si="1312"/>
        <v>4</v>
      </c>
      <c r="BC203" s="49">
        <f t="shared" ref="BC203:BD203" si="1404">SUM(AS203,AU203,AW203,AY203,BA203)</f>
        <v>8</v>
      </c>
      <c r="BD203" s="50">
        <f t="shared" si="1404"/>
        <v>17</v>
      </c>
      <c r="BE203" s="68">
        <f t="shared" ref="BE203:BF203" si="1405">SUM(E203,G203,I203,O203,Q203,AC203,AQ203,BC203)</f>
        <v>26</v>
      </c>
      <c r="BF203" s="69">
        <f t="shared" si="1405"/>
        <v>48</v>
      </c>
      <c r="BG203" s="46" t="str">
        <f>BF203*'ОВгП_РАО'!$B$21</f>
        <v>#REF!</v>
      </c>
      <c r="BH203" s="46" t="str">
        <f>'ОВгП_РАО'!$B$21</f>
        <v>#REF!</v>
      </c>
    </row>
    <row r="204" ht="15.75" customHeight="1">
      <c r="A204" s="80">
        <f t="shared" si="1315"/>
        <v>46266</v>
      </c>
      <c r="B204" s="47" t="s">
        <v>142</v>
      </c>
      <c r="C204" s="46" t="s">
        <v>96</v>
      </c>
      <c r="D204" s="47" t="s">
        <v>98</v>
      </c>
      <c r="E204" s="73">
        <f t="shared" si="1266"/>
        <v>1</v>
      </c>
      <c r="F204" s="50">
        <f t="shared" si="1267"/>
        <v>2</v>
      </c>
      <c r="G204" s="73">
        <f t="shared" si="1268"/>
        <v>1</v>
      </c>
      <c r="H204" s="50">
        <f t="shared" si="1269"/>
        <v>2</v>
      </c>
      <c r="I204" s="73">
        <f t="shared" si="1270"/>
        <v>2</v>
      </c>
      <c r="J204" s="50">
        <f t="shared" si="1271"/>
        <v>4</v>
      </c>
      <c r="K204" s="53">
        <f t="shared" si="1272"/>
        <v>1</v>
      </c>
      <c r="L204" s="54">
        <f t="shared" si="1273"/>
        <v>3</v>
      </c>
      <c r="M204" s="53">
        <f t="shared" si="1274"/>
        <v>1</v>
      </c>
      <c r="N204" s="54">
        <f t="shared" si="1275"/>
        <v>1</v>
      </c>
      <c r="O204" s="49">
        <f t="shared" ref="O204:P204" si="1406">SUM(K204,M204)</f>
        <v>2</v>
      </c>
      <c r="P204" s="50">
        <f t="shared" si="1406"/>
        <v>4</v>
      </c>
      <c r="Q204" s="73">
        <f t="shared" si="1277"/>
        <v>1</v>
      </c>
      <c r="R204" s="50">
        <f t="shared" si="1278"/>
        <v>1</v>
      </c>
      <c r="S204" s="53">
        <f t="shared" si="1279"/>
        <v>0</v>
      </c>
      <c r="T204" s="54">
        <f t="shared" si="1280"/>
        <v>0</v>
      </c>
      <c r="U204" s="53">
        <f t="shared" si="1281"/>
        <v>0</v>
      </c>
      <c r="V204" s="54">
        <f t="shared" si="1282"/>
        <v>0</v>
      </c>
      <c r="W204" s="53">
        <f t="shared" si="1283"/>
        <v>1</v>
      </c>
      <c r="X204" s="54">
        <f t="shared" si="1284"/>
        <v>1</v>
      </c>
      <c r="Y204" s="53">
        <f t="shared" si="1285"/>
        <v>1</v>
      </c>
      <c r="Z204" s="54">
        <f t="shared" si="1286"/>
        <v>1</v>
      </c>
      <c r="AA204" s="53">
        <f t="shared" si="1287"/>
        <v>1</v>
      </c>
      <c r="AB204" s="54">
        <f t="shared" si="1288"/>
        <v>3</v>
      </c>
      <c r="AC204" s="49">
        <f t="shared" ref="AC204:AD204" si="1407">SUM(S204,U204,W204,Y204,AA204)</f>
        <v>3</v>
      </c>
      <c r="AD204" s="50">
        <f t="shared" si="1407"/>
        <v>5</v>
      </c>
      <c r="AE204" s="53">
        <f t="shared" si="1290"/>
        <v>1</v>
      </c>
      <c r="AF204" s="54">
        <f t="shared" si="1291"/>
        <v>3</v>
      </c>
      <c r="AG204" s="53">
        <f t="shared" si="1292"/>
        <v>0</v>
      </c>
      <c r="AH204" s="54">
        <f t="shared" si="1293"/>
        <v>0</v>
      </c>
      <c r="AI204" s="53">
        <f t="shared" si="1294"/>
        <v>0</v>
      </c>
      <c r="AJ204" s="54">
        <f t="shared" si="1295"/>
        <v>0</v>
      </c>
      <c r="AK204" s="53">
        <f t="shared" si="1296"/>
        <v>1</v>
      </c>
      <c r="AL204" s="54">
        <f t="shared" si="1297"/>
        <v>3</v>
      </c>
      <c r="AM204" s="53">
        <f t="shared" si="1298"/>
        <v>1</v>
      </c>
      <c r="AN204" s="54">
        <f t="shared" si="1299"/>
        <v>2</v>
      </c>
      <c r="AO204" s="53">
        <f t="shared" si="1300"/>
        <v>2</v>
      </c>
      <c r="AP204" s="54">
        <f t="shared" si="1301"/>
        <v>4</v>
      </c>
      <c r="AQ204" s="49">
        <f t="shared" ref="AQ204:AR204" si="1408">SUM(AG204,AI204,AK204,AM204,AO204)</f>
        <v>4</v>
      </c>
      <c r="AR204" s="50">
        <f t="shared" si="1408"/>
        <v>9</v>
      </c>
      <c r="AS204" s="53">
        <f t="shared" si="1303"/>
        <v>0</v>
      </c>
      <c r="AT204" s="54">
        <f t="shared" si="1304"/>
        <v>0</v>
      </c>
      <c r="AU204" s="53">
        <f t="shared" si="1305"/>
        <v>1</v>
      </c>
      <c r="AV204" s="54">
        <f t="shared" si="1306"/>
        <v>1</v>
      </c>
      <c r="AW204" s="53">
        <f t="shared" si="1307"/>
        <v>1</v>
      </c>
      <c r="AX204" s="54">
        <f t="shared" si="1308"/>
        <v>3</v>
      </c>
      <c r="AY204" s="53">
        <f t="shared" si="1309"/>
        <v>1</v>
      </c>
      <c r="AZ204" s="54">
        <f t="shared" si="1310"/>
        <v>2</v>
      </c>
      <c r="BA204" s="53">
        <f t="shared" si="1311"/>
        <v>1</v>
      </c>
      <c r="BB204" s="54">
        <f t="shared" si="1312"/>
        <v>2</v>
      </c>
      <c r="BC204" s="49">
        <f t="shared" ref="BC204:BD204" si="1409">SUM(AS204,AU204,AW204,AY204,BA204)</f>
        <v>4</v>
      </c>
      <c r="BD204" s="50">
        <f t="shared" si="1409"/>
        <v>8</v>
      </c>
      <c r="BE204" s="68">
        <f t="shared" ref="BE204:BF204" si="1410">SUM(E204,G204,I204,O204,Q204,AC204,AQ204,BC204)</f>
        <v>18</v>
      </c>
      <c r="BF204" s="69">
        <f t="shared" si="1410"/>
        <v>35</v>
      </c>
      <c r="BG204" s="46" t="str">
        <f>BF204*'ОВгП_РАО'!$B$22</f>
        <v>#REF!</v>
      </c>
      <c r="BH204" s="46" t="str">
        <f>'ОВгП_РАО'!$B$22</f>
        <v>#REF!</v>
      </c>
    </row>
    <row r="205" ht="15.75" customHeight="1">
      <c r="A205" s="80">
        <f t="shared" si="1315"/>
        <v>46266</v>
      </c>
      <c r="B205" s="47" t="s">
        <v>143</v>
      </c>
      <c r="C205" s="46" t="s">
        <v>96</v>
      </c>
      <c r="D205" s="47" t="s">
        <v>98</v>
      </c>
      <c r="E205" s="73">
        <f t="shared" si="1266"/>
        <v>0</v>
      </c>
      <c r="F205" s="50">
        <f t="shared" si="1267"/>
        <v>0</v>
      </c>
      <c r="G205" s="73">
        <f t="shared" si="1268"/>
        <v>2</v>
      </c>
      <c r="H205" s="50">
        <f t="shared" si="1269"/>
        <v>4</v>
      </c>
      <c r="I205" s="73">
        <f t="shared" si="1270"/>
        <v>1</v>
      </c>
      <c r="J205" s="50">
        <f t="shared" si="1271"/>
        <v>1</v>
      </c>
      <c r="K205" s="53">
        <f t="shared" si="1272"/>
        <v>1</v>
      </c>
      <c r="L205" s="54">
        <f t="shared" si="1273"/>
        <v>3</v>
      </c>
      <c r="M205" s="53">
        <f t="shared" si="1274"/>
        <v>1</v>
      </c>
      <c r="N205" s="54">
        <f t="shared" si="1275"/>
        <v>2</v>
      </c>
      <c r="O205" s="49">
        <f t="shared" ref="O205:P205" si="1411">SUM(K205,M205)</f>
        <v>2</v>
      </c>
      <c r="P205" s="50">
        <f t="shared" si="1411"/>
        <v>5</v>
      </c>
      <c r="Q205" s="73">
        <f t="shared" si="1277"/>
        <v>1</v>
      </c>
      <c r="R205" s="50">
        <f t="shared" si="1278"/>
        <v>3</v>
      </c>
      <c r="S205" s="53">
        <f t="shared" si="1279"/>
        <v>1</v>
      </c>
      <c r="T205" s="54">
        <f t="shared" si="1280"/>
        <v>3</v>
      </c>
      <c r="U205" s="53">
        <f t="shared" si="1281"/>
        <v>1</v>
      </c>
      <c r="V205" s="54">
        <f t="shared" si="1282"/>
        <v>2</v>
      </c>
      <c r="W205" s="53">
        <f t="shared" si="1283"/>
        <v>0</v>
      </c>
      <c r="X205" s="54">
        <f t="shared" si="1284"/>
        <v>0</v>
      </c>
      <c r="Y205" s="53">
        <f t="shared" si="1285"/>
        <v>1</v>
      </c>
      <c r="Z205" s="54">
        <f t="shared" si="1286"/>
        <v>3</v>
      </c>
      <c r="AA205" s="53">
        <f t="shared" si="1287"/>
        <v>0</v>
      </c>
      <c r="AB205" s="54">
        <f t="shared" si="1288"/>
        <v>0</v>
      </c>
      <c r="AC205" s="49">
        <f t="shared" ref="AC205:AD205" si="1412">SUM(S205,U205,W205,Y205,AA205)</f>
        <v>3</v>
      </c>
      <c r="AD205" s="50">
        <f t="shared" si="1412"/>
        <v>8</v>
      </c>
      <c r="AE205" s="53">
        <f t="shared" si="1290"/>
        <v>1</v>
      </c>
      <c r="AF205" s="54">
        <f t="shared" si="1291"/>
        <v>1</v>
      </c>
      <c r="AG205" s="53">
        <f t="shared" si="1292"/>
        <v>2</v>
      </c>
      <c r="AH205" s="54">
        <f t="shared" si="1293"/>
        <v>4</v>
      </c>
      <c r="AI205" s="53">
        <f t="shared" si="1294"/>
        <v>1</v>
      </c>
      <c r="AJ205" s="54">
        <f t="shared" si="1295"/>
        <v>2</v>
      </c>
      <c r="AK205" s="53">
        <f t="shared" si="1296"/>
        <v>2</v>
      </c>
      <c r="AL205" s="54">
        <f t="shared" si="1297"/>
        <v>4</v>
      </c>
      <c r="AM205" s="53">
        <f t="shared" si="1298"/>
        <v>1</v>
      </c>
      <c r="AN205" s="54">
        <f t="shared" si="1299"/>
        <v>2</v>
      </c>
      <c r="AO205" s="53">
        <f t="shared" si="1300"/>
        <v>0</v>
      </c>
      <c r="AP205" s="54">
        <f t="shared" si="1301"/>
        <v>0</v>
      </c>
      <c r="AQ205" s="49">
        <f t="shared" ref="AQ205:AR205" si="1413">SUM(AG205,AI205,AK205,AM205,AO205)</f>
        <v>6</v>
      </c>
      <c r="AR205" s="50">
        <f t="shared" si="1413"/>
        <v>12</v>
      </c>
      <c r="AS205" s="53">
        <f t="shared" si="1303"/>
        <v>1</v>
      </c>
      <c r="AT205" s="54">
        <f t="shared" si="1304"/>
        <v>2</v>
      </c>
      <c r="AU205" s="53">
        <f t="shared" si="1305"/>
        <v>1</v>
      </c>
      <c r="AV205" s="54">
        <f t="shared" si="1306"/>
        <v>3</v>
      </c>
      <c r="AW205" s="53">
        <f t="shared" si="1307"/>
        <v>1</v>
      </c>
      <c r="AX205" s="54">
        <f t="shared" si="1308"/>
        <v>3</v>
      </c>
      <c r="AY205" s="53">
        <f t="shared" si="1309"/>
        <v>1</v>
      </c>
      <c r="AZ205" s="54">
        <f t="shared" si="1310"/>
        <v>3</v>
      </c>
      <c r="BA205" s="53">
        <f t="shared" si="1311"/>
        <v>1</v>
      </c>
      <c r="BB205" s="54">
        <f t="shared" si="1312"/>
        <v>3</v>
      </c>
      <c r="BC205" s="49">
        <f t="shared" ref="BC205:BD205" si="1414">SUM(AS205,AU205,AW205,AY205,BA205)</f>
        <v>5</v>
      </c>
      <c r="BD205" s="50">
        <f t="shared" si="1414"/>
        <v>14</v>
      </c>
      <c r="BE205" s="68">
        <f t="shared" ref="BE205:BF205" si="1415">SUM(E205,G205,I205,O205,Q205,AC205,AQ205,BC205)</f>
        <v>20</v>
      </c>
      <c r="BF205" s="69">
        <f t="shared" si="1415"/>
        <v>47</v>
      </c>
      <c r="BG205" s="46" t="str">
        <f>BF205*'ОВгП_РАО'!$B$23</f>
        <v>#REF!</v>
      </c>
      <c r="BH205" s="46" t="str">
        <f>'ОВгП_РАО'!$B$23</f>
        <v>#REF!</v>
      </c>
    </row>
    <row r="206" ht="15.75" customHeight="1">
      <c r="A206" s="80">
        <f t="shared" si="1315"/>
        <v>46266</v>
      </c>
      <c r="B206" s="47" t="s">
        <v>144</v>
      </c>
      <c r="C206" s="46" t="s">
        <v>96</v>
      </c>
      <c r="D206" s="47" t="s">
        <v>145</v>
      </c>
      <c r="E206" s="73">
        <f t="shared" si="1266"/>
        <v>2</v>
      </c>
      <c r="F206" s="50">
        <f t="shared" si="1267"/>
        <v>4</v>
      </c>
      <c r="G206" s="73">
        <f t="shared" si="1268"/>
        <v>2</v>
      </c>
      <c r="H206" s="50">
        <f t="shared" si="1269"/>
        <v>4</v>
      </c>
      <c r="I206" s="73">
        <f t="shared" si="1270"/>
        <v>0</v>
      </c>
      <c r="J206" s="50">
        <f t="shared" si="1271"/>
        <v>0</v>
      </c>
      <c r="K206" s="53">
        <f t="shared" si="1272"/>
        <v>1</v>
      </c>
      <c r="L206" s="54">
        <f t="shared" si="1273"/>
        <v>3</v>
      </c>
      <c r="M206" s="53">
        <f t="shared" si="1274"/>
        <v>1</v>
      </c>
      <c r="N206" s="54">
        <f t="shared" si="1275"/>
        <v>2</v>
      </c>
      <c r="O206" s="49">
        <f t="shared" ref="O206:P206" si="1416">SUM(K206,M206)</f>
        <v>2</v>
      </c>
      <c r="P206" s="50">
        <f t="shared" si="1416"/>
        <v>5</v>
      </c>
      <c r="Q206" s="73">
        <f t="shared" si="1277"/>
        <v>1</v>
      </c>
      <c r="R206" s="50">
        <f t="shared" si="1278"/>
        <v>2</v>
      </c>
      <c r="S206" s="53">
        <f t="shared" si="1279"/>
        <v>0</v>
      </c>
      <c r="T206" s="54">
        <f t="shared" si="1280"/>
        <v>0</v>
      </c>
      <c r="U206" s="53">
        <f t="shared" si="1281"/>
        <v>1</v>
      </c>
      <c r="V206" s="54">
        <f t="shared" si="1282"/>
        <v>2</v>
      </c>
      <c r="W206" s="53">
        <f t="shared" si="1283"/>
        <v>1</v>
      </c>
      <c r="X206" s="54">
        <f t="shared" si="1284"/>
        <v>3</v>
      </c>
      <c r="Y206" s="53">
        <f t="shared" si="1285"/>
        <v>1</v>
      </c>
      <c r="Z206" s="54">
        <f t="shared" si="1286"/>
        <v>3</v>
      </c>
      <c r="AA206" s="53">
        <f t="shared" si="1287"/>
        <v>1</v>
      </c>
      <c r="AB206" s="54">
        <f t="shared" si="1288"/>
        <v>2</v>
      </c>
      <c r="AC206" s="49">
        <f t="shared" ref="AC206:AD206" si="1417">SUM(S206,U206,W206,Y206,AA206)</f>
        <v>4</v>
      </c>
      <c r="AD206" s="50">
        <f t="shared" si="1417"/>
        <v>10</v>
      </c>
      <c r="AE206" s="53">
        <f t="shared" si="1290"/>
        <v>1</v>
      </c>
      <c r="AF206" s="54">
        <f t="shared" si="1291"/>
        <v>1</v>
      </c>
      <c r="AG206" s="53">
        <f t="shared" si="1292"/>
        <v>1</v>
      </c>
      <c r="AH206" s="54">
        <f t="shared" si="1293"/>
        <v>1</v>
      </c>
      <c r="AI206" s="53">
        <f t="shared" si="1294"/>
        <v>1</v>
      </c>
      <c r="AJ206" s="54">
        <f t="shared" si="1295"/>
        <v>3</v>
      </c>
      <c r="AK206" s="53">
        <f t="shared" si="1296"/>
        <v>2</v>
      </c>
      <c r="AL206" s="54">
        <f t="shared" si="1297"/>
        <v>4</v>
      </c>
      <c r="AM206" s="53">
        <f t="shared" si="1298"/>
        <v>0</v>
      </c>
      <c r="AN206" s="54">
        <f t="shared" si="1299"/>
        <v>0</v>
      </c>
      <c r="AO206" s="53">
        <f t="shared" si="1300"/>
        <v>1</v>
      </c>
      <c r="AP206" s="54">
        <f t="shared" si="1301"/>
        <v>2</v>
      </c>
      <c r="AQ206" s="49">
        <f t="shared" ref="AQ206:AR206" si="1418">SUM(AG206,AI206,AK206,AM206,AO206)</f>
        <v>5</v>
      </c>
      <c r="AR206" s="50">
        <f t="shared" si="1418"/>
        <v>10</v>
      </c>
      <c r="AS206" s="53">
        <f t="shared" si="1303"/>
        <v>0</v>
      </c>
      <c r="AT206" s="54">
        <f t="shared" si="1304"/>
        <v>0</v>
      </c>
      <c r="AU206" s="53">
        <f t="shared" si="1305"/>
        <v>1</v>
      </c>
      <c r="AV206" s="54">
        <f t="shared" si="1306"/>
        <v>1</v>
      </c>
      <c r="AW206" s="53">
        <f t="shared" si="1307"/>
        <v>0</v>
      </c>
      <c r="AX206" s="54">
        <f t="shared" si="1308"/>
        <v>0</v>
      </c>
      <c r="AY206" s="53">
        <f t="shared" si="1309"/>
        <v>0</v>
      </c>
      <c r="AZ206" s="54">
        <f t="shared" si="1310"/>
        <v>0</v>
      </c>
      <c r="BA206" s="53">
        <f t="shared" si="1311"/>
        <v>1</v>
      </c>
      <c r="BB206" s="54">
        <f t="shared" si="1312"/>
        <v>2</v>
      </c>
      <c r="BC206" s="49">
        <f t="shared" ref="BC206:BD206" si="1419">SUM(AS206,AU206,AW206,AY206,BA206)</f>
        <v>2</v>
      </c>
      <c r="BD206" s="50">
        <f t="shared" si="1419"/>
        <v>3</v>
      </c>
      <c r="BE206" s="68">
        <f t="shared" ref="BE206:BF206" si="1420">SUM(E206,G206,I206,O206,Q206,AC206,AQ206,BC206)</f>
        <v>18</v>
      </c>
      <c r="BF206" s="69">
        <f t="shared" si="1420"/>
        <v>38</v>
      </c>
      <c r="BG206" s="46" t="str">
        <f>BF206*'ОВгП_РАО'!$B$24</f>
        <v>#REF!</v>
      </c>
      <c r="BH206" s="46" t="str">
        <f>'ОВгП_РАО'!$B$24</f>
        <v>#REF!</v>
      </c>
    </row>
    <row r="207" ht="15.75" customHeight="1">
      <c r="A207" s="80">
        <f t="shared" si="1315"/>
        <v>46266</v>
      </c>
      <c r="B207" s="47" t="s">
        <v>146</v>
      </c>
      <c r="C207" s="46" t="s">
        <v>96</v>
      </c>
      <c r="D207" s="47" t="s">
        <v>145</v>
      </c>
      <c r="E207" s="73">
        <f t="shared" si="1266"/>
        <v>0</v>
      </c>
      <c r="F207" s="50">
        <f t="shared" si="1267"/>
        <v>0</v>
      </c>
      <c r="G207" s="73">
        <f t="shared" si="1268"/>
        <v>2</v>
      </c>
      <c r="H207" s="50">
        <f t="shared" si="1269"/>
        <v>4</v>
      </c>
      <c r="I207" s="73">
        <f t="shared" si="1270"/>
        <v>2</v>
      </c>
      <c r="J207" s="50">
        <f t="shared" si="1271"/>
        <v>4</v>
      </c>
      <c r="K207" s="53">
        <f t="shared" si="1272"/>
        <v>1</v>
      </c>
      <c r="L207" s="54">
        <f t="shared" si="1273"/>
        <v>1</v>
      </c>
      <c r="M207" s="53">
        <f t="shared" si="1274"/>
        <v>2</v>
      </c>
      <c r="N207" s="54">
        <f t="shared" si="1275"/>
        <v>4</v>
      </c>
      <c r="O207" s="49">
        <f t="shared" ref="O207:P207" si="1421">SUM(K207,M207)</f>
        <v>3</v>
      </c>
      <c r="P207" s="50">
        <f t="shared" si="1421"/>
        <v>5</v>
      </c>
      <c r="Q207" s="73">
        <f t="shared" si="1277"/>
        <v>1</v>
      </c>
      <c r="R207" s="50">
        <f t="shared" si="1278"/>
        <v>3</v>
      </c>
      <c r="S207" s="53">
        <f t="shared" si="1279"/>
        <v>2</v>
      </c>
      <c r="T207" s="54">
        <f t="shared" si="1280"/>
        <v>4</v>
      </c>
      <c r="U207" s="53">
        <f t="shared" si="1281"/>
        <v>2</v>
      </c>
      <c r="V207" s="54">
        <f t="shared" si="1282"/>
        <v>4</v>
      </c>
      <c r="W207" s="53">
        <f t="shared" si="1283"/>
        <v>0</v>
      </c>
      <c r="X207" s="54">
        <f t="shared" si="1284"/>
        <v>0</v>
      </c>
      <c r="Y207" s="53">
        <f t="shared" si="1285"/>
        <v>0</v>
      </c>
      <c r="Z207" s="54">
        <f t="shared" si="1286"/>
        <v>0</v>
      </c>
      <c r="AA207" s="53">
        <f t="shared" si="1287"/>
        <v>1</v>
      </c>
      <c r="AB207" s="54">
        <f t="shared" si="1288"/>
        <v>2</v>
      </c>
      <c r="AC207" s="49">
        <f t="shared" ref="AC207:AD207" si="1422">SUM(S207,U207,W207,Y207,AA207)</f>
        <v>5</v>
      </c>
      <c r="AD207" s="50">
        <f t="shared" si="1422"/>
        <v>10</v>
      </c>
      <c r="AE207" s="53">
        <f t="shared" si="1290"/>
        <v>0</v>
      </c>
      <c r="AF207" s="54">
        <f t="shared" si="1291"/>
        <v>0</v>
      </c>
      <c r="AG207" s="53">
        <f t="shared" si="1292"/>
        <v>2</v>
      </c>
      <c r="AH207" s="54">
        <f t="shared" si="1293"/>
        <v>4</v>
      </c>
      <c r="AI207" s="53">
        <f t="shared" si="1294"/>
        <v>1</v>
      </c>
      <c r="AJ207" s="54">
        <f t="shared" si="1295"/>
        <v>2</v>
      </c>
      <c r="AK207" s="53">
        <f t="shared" si="1296"/>
        <v>2</v>
      </c>
      <c r="AL207" s="54">
        <f t="shared" si="1297"/>
        <v>4</v>
      </c>
      <c r="AM207" s="53">
        <f t="shared" si="1298"/>
        <v>1</v>
      </c>
      <c r="AN207" s="54">
        <f t="shared" si="1299"/>
        <v>3</v>
      </c>
      <c r="AO207" s="53">
        <f t="shared" si="1300"/>
        <v>2</v>
      </c>
      <c r="AP207" s="54">
        <f t="shared" si="1301"/>
        <v>4</v>
      </c>
      <c r="AQ207" s="49">
        <f t="shared" ref="AQ207:AR207" si="1423">SUM(AG207,AI207,AK207,AM207,AO207)</f>
        <v>8</v>
      </c>
      <c r="AR207" s="50">
        <f t="shared" si="1423"/>
        <v>17</v>
      </c>
      <c r="AS207" s="53">
        <f t="shared" si="1303"/>
        <v>1</v>
      </c>
      <c r="AT207" s="54">
        <f t="shared" si="1304"/>
        <v>3</v>
      </c>
      <c r="AU207" s="53">
        <f t="shared" si="1305"/>
        <v>1</v>
      </c>
      <c r="AV207" s="54">
        <f t="shared" si="1306"/>
        <v>1</v>
      </c>
      <c r="AW207" s="53">
        <f t="shared" si="1307"/>
        <v>2</v>
      </c>
      <c r="AX207" s="54">
        <f t="shared" si="1308"/>
        <v>4</v>
      </c>
      <c r="AY207" s="53">
        <f t="shared" si="1309"/>
        <v>0</v>
      </c>
      <c r="AZ207" s="54">
        <f t="shared" si="1310"/>
        <v>0</v>
      </c>
      <c r="BA207" s="53">
        <f t="shared" si="1311"/>
        <v>0</v>
      </c>
      <c r="BB207" s="54">
        <f t="shared" si="1312"/>
        <v>0</v>
      </c>
      <c r="BC207" s="49">
        <f t="shared" ref="BC207:BD207" si="1424">SUM(AS207,AU207,AW207,AY207,BA207)</f>
        <v>4</v>
      </c>
      <c r="BD207" s="50">
        <f t="shared" si="1424"/>
        <v>8</v>
      </c>
      <c r="BE207" s="68">
        <f t="shared" ref="BE207:BF207" si="1425">SUM(E207,G207,I207,O207,Q207,AC207,AQ207,BC207)</f>
        <v>25</v>
      </c>
      <c r="BF207" s="69">
        <f t="shared" si="1425"/>
        <v>51</v>
      </c>
      <c r="BG207" s="46" t="str">
        <f>BF207*'ОВгП_РАО'!$B$25</f>
        <v>#REF!</v>
      </c>
      <c r="BH207" s="46" t="str">
        <f>'ОВгП_РАО'!$B$25</f>
        <v>#REF!</v>
      </c>
    </row>
    <row r="208" ht="15.75" customHeight="1">
      <c r="A208" s="80">
        <f t="shared" si="1315"/>
        <v>46266</v>
      </c>
      <c r="B208" s="47" t="s">
        <v>147</v>
      </c>
      <c r="C208" s="46" t="s">
        <v>96</v>
      </c>
      <c r="D208" s="47" t="s">
        <v>148</v>
      </c>
      <c r="E208" s="73">
        <f t="shared" si="1266"/>
        <v>2</v>
      </c>
      <c r="F208" s="50">
        <f t="shared" si="1267"/>
        <v>4</v>
      </c>
      <c r="G208" s="73">
        <f t="shared" si="1268"/>
        <v>1</v>
      </c>
      <c r="H208" s="50">
        <f t="shared" si="1269"/>
        <v>3</v>
      </c>
      <c r="I208" s="73">
        <f t="shared" si="1270"/>
        <v>2</v>
      </c>
      <c r="J208" s="50">
        <f t="shared" si="1271"/>
        <v>4</v>
      </c>
      <c r="K208" s="53">
        <f t="shared" si="1272"/>
        <v>1</v>
      </c>
      <c r="L208" s="54">
        <f t="shared" si="1273"/>
        <v>3</v>
      </c>
      <c r="M208" s="53">
        <f t="shared" si="1274"/>
        <v>1</v>
      </c>
      <c r="N208" s="54">
        <f t="shared" si="1275"/>
        <v>2</v>
      </c>
      <c r="O208" s="49">
        <f t="shared" ref="O208:P208" si="1426">SUM(K208,M208)</f>
        <v>2</v>
      </c>
      <c r="P208" s="50">
        <f t="shared" si="1426"/>
        <v>5</v>
      </c>
      <c r="Q208" s="73">
        <f t="shared" si="1277"/>
        <v>1</v>
      </c>
      <c r="R208" s="50">
        <f t="shared" si="1278"/>
        <v>3</v>
      </c>
      <c r="S208" s="53">
        <f t="shared" si="1279"/>
        <v>1</v>
      </c>
      <c r="T208" s="54">
        <f t="shared" si="1280"/>
        <v>3</v>
      </c>
      <c r="U208" s="53">
        <f t="shared" si="1281"/>
        <v>1</v>
      </c>
      <c r="V208" s="54">
        <f t="shared" si="1282"/>
        <v>3</v>
      </c>
      <c r="W208" s="53">
        <f t="shared" si="1283"/>
        <v>0</v>
      </c>
      <c r="X208" s="54">
        <f t="shared" si="1284"/>
        <v>0</v>
      </c>
      <c r="Y208" s="53">
        <f t="shared" si="1285"/>
        <v>2</v>
      </c>
      <c r="Z208" s="54">
        <f t="shared" si="1286"/>
        <v>4</v>
      </c>
      <c r="AA208" s="53">
        <f t="shared" si="1287"/>
        <v>1</v>
      </c>
      <c r="AB208" s="54">
        <f t="shared" si="1288"/>
        <v>2</v>
      </c>
      <c r="AC208" s="49">
        <f t="shared" ref="AC208:AD208" si="1427">SUM(S208,U208,W208,Y208,AA208)</f>
        <v>5</v>
      </c>
      <c r="AD208" s="50">
        <f t="shared" si="1427"/>
        <v>12</v>
      </c>
      <c r="AE208" s="53">
        <f t="shared" si="1290"/>
        <v>1</v>
      </c>
      <c r="AF208" s="54">
        <f t="shared" si="1291"/>
        <v>2</v>
      </c>
      <c r="AG208" s="53">
        <f t="shared" si="1292"/>
        <v>1</v>
      </c>
      <c r="AH208" s="54">
        <f t="shared" si="1293"/>
        <v>3</v>
      </c>
      <c r="AI208" s="53">
        <f t="shared" si="1294"/>
        <v>1</v>
      </c>
      <c r="AJ208" s="54">
        <f t="shared" si="1295"/>
        <v>1</v>
      </c>
      <c r="AK208" s="53">
        <f t="shared" si="1296"/>
        <v>1</v>
      </c>
      <c r="AL208" s="54">
        <f t="shared" si="1297"/>
        <v>2</v>
      </c>
      <c r="AM208" s="53">
        <f t="shared" si="1298"/>
        <v>1</v>
      </c>
      <c r="AN208" s="54">
        <f t="shared" si="1299"/>
        <v>1</v>
      </c>
      <c r="AO208" s="53">
        <f t="shared" si="1300"/>
        <v>1</v>
      </c>
      <c r="AP208" s="54">
        <f t="shared" si="1301"/>
        <v>1</v>
      </c>
      <c r="AQ208" s="49">
        <f t="shared" ref="AQ208:AR208" si="1428">SUM(AG208,AI208,AK208,AM208,AO208)</f>
        <v>5</v>
      </c>
      <c r="AR208" s="50">
        <f t="shared" si="1428"/>
        <v>8</v>
      </c>
      <c r="AS208" s="53">
        <f t="shared" si="1303"/>
        <v>1</v>
      </c>
      <c r="AT208" s="54">
        <f t="shared" si="1304"/>
        <v>2</v>
      </c>
      <c r="AU208" s="53">
        <f t="shared" si="1305"/>
        <v>1</v>
      </c>
      <c r="AV208" s="54">
        <f t="shared" si="1306"/>
        <v>2</v>
      </c>
      <c r="AW208" s="53">
        <f t="shared" si="1307"/>
        <v>1</v>
      </c>
      <c r="AX208" s="54">
        <f t="shared" si="1308"/>
        <v>2</v>
      </c>
      <c r="AY208" s="53">
        <f t="shared" si="1309"/>
        <v>1</v>
      </c>
      <c r="AZ208" s="54">
        <f t="shared" si="1310"/>
        <v>3</v>
      </c>
      <c r="BA208" s="53">
        <f t="shared" si="1311"/>
        <v>0</v>
      </c>
      <c r="BB208" s="54">
        <f t="shared" si="1312"/>
        <v>0</v>
      </c>
      <c r="BC208" s="49">
        <f t="shared" ref="BC208:BD208" si="1429">SUM(AS208,AU208,AW208,AY208,BA208)</f>
        <v>4</v>
      </c>
      <c r="BD208" s="50">
        <f t="shared" si="1429"/>
        <v>9</v>
      </c>
      <c r="BE208" s="68">
        <f t="shared" ref="BE208:BF208" si="1430">SUM(E208,G208,I208,O208,Q208,AC208,AQ208,BC208)</f>
        <v>22</v>
      </c>
      <c r="BF208" s="69">
        <f t="shared" si="1430"/>
        <v>48</v>
      </c>
      <c r="BG208" s="46" t="str">
        <f>BF208*'ОВгП_РАО'!$B$26</f>
        <v>#REF!</v>
      </c>
      <c r="BH208" s="46" t="str">
        <f>'ОВгП_РАО'!$B$26</f>
        <v>#REF!</v>
      </c>
    </row>
    <row r="209" ht="15.75" customHeight="1">
      <c r="A209" s="80">
        <f t="shared" si="1315"/>
        <v>46266</v>
      </c>
      <c r="B209" s="47" t="s">
        <v>149</v>
      </c>
      <c r="C209" s="47" t="s">
        <v>122</v>
      </c>
      <c r="D209" s="47" t="s">
        <v>150</v>
      </c>
      <c r="E209" s="73">
        <f t="shared" si="1266"/>
        <v>1</v>
      </c>
      <c r="F209" s="50">
        <f t="shared" si="1267"/>
        <v>1</v>
      </c>
      <c r="G209" s="73">
        <f t="shared" si="1268"/>
        <v>1</v>
      </c>
      <c r="H209" s="50">
        <f t="shared" si="1269"/>
        <v>1</v>
      </c>
      <c r="I209" s="73">
        <f t="shared" si="1270"/>
        <v>1</v>
      </c>
      <c r="J209" s="50">
        <f t="shared" si="1271"/>
        <v>2</v>
      </c>
      <c r="K209" s="53">
        <f t="shared" si="1272"/>
        <v>1</v>
      </c>
      <c r="L209" s="54">
        <f t="shared" si="1273"/>
        <v>3</v>
      </c>
      <c r="M209" s="53">
        <f t="shared" si="1274"/>
        <v>2</v>
      </c>
      <c r="N209" s="54">
        <f t="shared" si="1275"/>
        <v>4</v>
      </c>
      <c r="O209" s="49">
        <f t="shared" ref="O209:P209" si="1431">SUM(K209,M209)</f>
        <v>3</v>
      </c>
      <c r="P209" s="50">
        <f t="shared" si="1431"/>
        <v>7</v>
      </c>
      <c r="Q209" s="73">
        <f t="shared" si="1277"/>
        <v>2</v>
      </c>
      <c r="R209" s="50">
        <f t="shared" si="1278"/>
        <v>4</v>
      </c>
      <c r="S209" s="53">
        <f t="shared" si="1279"/>
        <v>2</v>
      </c>
      <c r="T209" s="54">
        <f t="shared" si="1280"/>
        <v>4</v>
      </c>
      <c r="U209" s="53">
        <f t="shared" si="1281"/>
        <v>1</v>
      </c>
      <c r="V209" s="54">
        <f t="shared" si="1282"/>
        <v>1</v>
      </c>
      <c r="W209" s="53">
        <f t="shared" si="1283"/>
        <v>1</v>
      </c>
      <c r="X209" s="54">
        <f t="shared" si="1284"/>
        <v>3</v>
      </c>
      <c r="Y209" s="53">
        <f t="shared" si="1285"/>
        <v>1</v>
      </c>
      <c r="Z209" s="54">
        <f t="shared" si="1286"/>
        <v>3</v>
      </c>
      <c r="AA209" s="53">
        <f t="shared" si="1287"/>
        <v>2</v>
      </c>
      <c r="AB209" s="54">
        <f t="shared" si="1288"/>
        <v>4</v>
      </c>
      <c r="AC209" s="49">
        <f t="shared" ref="AC209:AD209" si="1432">SUM(S209,U209,W209,Y209,AA209)</f>
        <v>7</v>
      </c>
      <c r="AD209" s="50">
        <f t="shared" si="1432"/>
        <v>15</v>
      </c>
      <c r="AE209" s="53">
        <f t="shared" si="1290"/>
        <v>1</v>
      </c>
      <c r="AF209" s="54">
        <f t="shared" si="1291"/>
        <v>3</v>
      </c>
      <c r="AG209" s="53">
        <f t="shared" si="1292"/>
        <v>1</v>
      </c>
      <c r="AH209" s="54">
        <f t="shared" si="1293"/>
        <v>2</v>
      </c>
      <c r="AI209" s="53">
        <f t="shared" si="1294"/>
        <v>1</v>
      </c>
      <c r="AJ209" s="54">
        <f t="shared" si="1295"/>
        <v>2</v>
      </c>
      <c r="AK209" s="53">
        <f t="shared" si="1296"/>
        <v>1</v>
      </c>
      <c r="AL209" s="54">
        <f t="shared" si="1297"/>
        <v>1</v>
      </c>
      <c r="AM209" s="53">
        <f t="shared" si="1298"/>
        <v>2</v>
      </c>
      <c r="AN209" s="54">
        <f t="shared" si="1299"/>
        <v>4</v>
      </c>
      <c r="AO209" s="53">
        <f t="shared" si="1300"/>
        <v>1</v>
      </c>
      <c r="AP209" s="54">
        <f t="shared" si="1301"/>
        <v>1</v>
      </c>
      <c r="AQ209" s="49">
        <f t="shared" ref="AQ209:AR209" si="1433">SUM(AG209,AI209,AK209,AM209,AO209)</f>
        <v>6</v>
      </c>
      <c r="AR209" s="50">
        <f t="shared" si="1433"/>
        <v>10</v>
      </c>
      <c r="AS209" s="53">
        <f t="shared" si="1303"/>
        <v>1</v>
      </c>
      <c r="AT209" s="54">
        <f t="shared" si="1304"/>
        <v>1</v>
      </c>
      <c r="AU209" s="53">
        <f t="shared" si="1305"/>
        <v>1</v>
      </c>
      <c r="AV209" s="54">
        <f t="shared" si="1306"/>
        <v>2</v>
      </c>
      <c r="AW209" s="53">
        <f t="shared" si="1307"/>
        <v>1</v>
      </c>
      <c r="AX209" s="54">
        <f t="shared" si="1308"/>
        <v>1</v>
      </c>
      <c r="AY209" s="53">
        <f t="shared" si="1309"/>
        <v>2</v>
      </c>
      <c r="AZ209" s="54">
        <f t="shared" si="1310"/>
        <v>4</v>
      </c>
      <c r="BA209" s="53">
        <f t="shared" si="1311"/>
        <v>2</v>
      </c>
      <c r="BB209" s="54">
        <f t="shared" si="1312"/>
        <v>4</v>
      </c>
      <c r="BC209" s="49">
        <f t="shared" ref="BC209:BD209" si="1434">SUM(AS209,AU209,AW209,AY209,BA209)</f>
        <v>7</v>
      </c>
      <c r="BD209" s="50">
        <f t="shared" si="1434"/>
        <v>12</v>
      </c>
      <c r="BE209" s="68">
        <f t="shared" ref="BE209:BF209" si="1435">SUM(E209,G209,I209,O209,Q209,AC209,AQ209,BC209)</f>
        <v>28</v>
      </c>
      <c r="BF209" s="69">
        <f t="shared" si="1435"/>
        <v>52</v>
      </c>
      <c r="BG209" s="46" t="str">
        <f>BF209*'ОВгП_РАО'!$B$27</f>
        <v>#REF!</v>
      </c>
      <c r="BH209" s="46" t="str">
        <f>'ОВгП_РАО'!$B$27</f>
        <v>#REF!</v>
      </c>
    </row>
    <row r="210" ht="15.75" customHeight="1">
      <c r="A210" s="80">
        <f t="shared" si="1315"/>
        <v>46266</v>
      </c>
      <c r="B210" s="47" t="s">
        <v>151</v>
      </c>
      <c r="C210" s="47" t="s">
        <v>122</v>
      </c>
      <c r="D210" s="47" t="s">
        <v>152</v>
      </c>
      <c r="E210" s="73">
        <f t="shared" si="1266"/>
        <v>24</v>
      </c>
      <c r="F210" s="50">
        <f t="shared" ref="F210:F218" si="1441">RANDBETWEEN(0,100)</f>
        <v>72</v>
      </c>
      <c r="G210" s="73">
        <f t="shared" si="1268"/>
        <v>15</v>
      </c>
      <c r="H210" s="50">
        <f t="shared" ref="H210:H218" si="1442">RANDBETWEEN(0,100)</f>
        <v>43</v>
      </c>
      <c r="I210" s="73">
        <f t="shared" si="1270"/>
        <v>27</v>
      </c>
      <c r="J210" s="50">
        <f t="shared" ref="J210:J218" si="1443">RANDBETWEEN(0,100)</f>
        <v>81</v>
      </c>
      <c r="K210" s="53">
        <f t="shared" si="1272"/>
        <v>9</v>
      </c>
      <c r="L210" s="54">
        <f t="shared" ref="L210:L218" si="1444">RANDBETWEEN(0,100)</f>
        <v>27</v>
      </c>
      <c r="M210" s="53">
        <f t="shared" si="1274"/>
        <v>14</v>
      </c>
      <c r="N210" s="54">
        <f t="shared" ref="N210:N218" si="1445">RANDBETWEEN(0,100)</f>
        <v>40</v>
      </c>
      <c r="O210" s="49">
        <f t="shared" ref="O210:P210" si="1436">SUM(K210,M210)</f>
        <v>23</v>
      </c>
      <c r="P210" s="50">
        <f t="shared" si="1436"/>
        <v>67</v>
      </c>
      <c r="Q210" s="73">
        <f t="shared" si="1277"/>
        <v>24</v>
      </c>
      <c r="R210" s="50">
        <f t="shared" ref="R210:R218" si="1447">RANDBETWEEN(0,100)</f>
        <v>72</v>
      </c>
      <c r="S210" s="53">
        <f t="shared" si="1279"/>
        <v>12</v>
      </c>
      <c r="T210" s="54">
        <f t="shared" ref="T210:T218" si="1448">RANDBETWEEN(0,300)</f>
        <v>35</v>
      </c>
      <c r="U210" s="53">
        <f t="shared" si="1281"/>
        <v>66</v>
      </c>
      <c r="V210" s="54">
        <f t="shared" ref="V210:V218" si="1449">RANDBETWEEN(0,300)</f>
        <v>196</v>
      </c>
      <c r="W210" s="53">
        <f t="shared" si="1283"/>
        <v>52</v>
      </c>
      <c r="X210" s="54">
        <f t="shared" ref="X210:X218" si="1450">RANDBETWEEN(0,300)</f>
        <v>155</v>
      </c>
      <c r="Y210" s="53">
        <f t="shared" si="1285"/>
        <v>20</v>
      </c>
      <c r="Z210" s="54">
        <f t="shared" ref="Z210:Z218" si="1451">RANDBETWEEN(0,300)</f>
        <v>58</v>
      </c>
      <c r="AA210" s="53">
        <f t="shared" si="1287"/>
        <v>14</v>
      </c>
      <c r="AB210" s="54">
        <f t="shared" ref="AB210:AB218" si="1452">RANDBETWEEN(0,300)</f>
        <v>41</v>
      </c>
      <c r="AC210" s="49">
        <f t="shared" ref="AC210:AD210" si="1437">SUM(S210,U210,W210,Y210,AA210)</f>
        <v>164</v>
      </c>
      <c r="AD210" s="50">
        <f t="shared" si="1437"/>
        <v>485</v>
      </c>
      <c r="AE210" s="53">
        <f t="shared" si="1290"/>
        <v>34</v>
      </c>
      <c r="AF210" s="54">
        <f>RANDBETWEEN(100,500)</f>
        <v>101</v>
      </c>
      <c r="AG210" s="53">
        <f t="shared" si="1292"/>
        <v>84</v>
      </c>
      <c r="AH210" s="54">
        <f>RANDBETWEEN(100,500)</f>
        <v>250</v>
      </c>
      <c r="AI210" s="53">
        <f t="shared" si="1294"/>
        <v>56</v>
      </c>
      <c r="AJ210" s="54">
        <f>RANDBETWEEN(100,500)</f>
        <v>166</v>
      </c>
      <c r="AK210" s="53">
        <f t="shared" si="1296"/>
        <v>88</v>
      </c>
      <c r="AL210" s="54">
        <f>RANDBETWEEN(100,500)</f>
        <v>264</v>
      </c>
      <c r="AM210" s="53">
        <f t="shared" si="1298"/>
        <v>113</v>
      </c>
      <c r="AN210" s="54">
        <f>RANDBETWEEN(100,500)</f>
        <v>337</v>
      </c>
      <c r="AO210" s="53">
        <f t="shared" si="1300"/>
        <v>140</v>
      </c>
      <c r="AP210" s="54">
        <f>RANDBETWEEN(100,500)</f>
        <v>418</v>
      </c>
      <c r="AQ210" s="49">
        <f t="shared" ref="AQ210:AR210" si="1438">SUM(AG210,AI210,AK210,AM210,AO210)</f>
        <v>481</v>
      </c>
      <c r="AR210" s="50">
        <f t="shared" si="1438"/>
        <v>1435</v>
      </c>
      <c r="AS210" s="53">
        <f t="shared" si="1303"/>
        <v>59</v>
      </c>
      <c r="AT210" s="54">
        <f>RANDBETWEEN(100,500)</f>
        <v>176</v>
      </c>
      <c r="AU210" s="53">
        <f t="shared" si="1305"/>
        <v>68</v>
      </c>
      <c r="AV210" s="54">
        <f>RANDBETWEEN(100,500)</f>
        <v>203</v>
      </c>
      <c r="AW210" s="53">
        <f t="shared" si="1307"/>
        <v>107</v>
      </c>
      <c r="AX210" s="54">
        <f>RANDBETWEEN(100,500)</f>
        <v>320</v>
      </c>
      <c r="AY210" s="53">
        <f t="shared" si="1309"/>
        <v>104</v>
      </c>
      <c r="AZ210" s="54">
        <f>RANDBETWEEN(100,500)</f>
        <v>311</v>
      </c>
      <c r="BA210" s="53">
        <f t="shared" si="1311"/>
        <v>99</v>
      </c>
      <c r="BB210" s="54">
        <f>RANDBETWEEN(100,500)</f>
        <v>295</v>
      </c>
      <c r="BC210" s="49">
        <f t="shared" ref="BC210:BD210" si="1439">SUM(AS210,AU210,AW210,AY210,BA210)</f>
        <v>437</v>
      </c>
      <c r="BD210" s="50">
        <f t="shared" si="1439"/>
        <v>1305</v>
      </c>
      <c r="BE210" s="68">
        <f t="shared" ref="BE210:BF210" si="1440">SUM(E210,G210,I210,O210,Q210,AC210,AQ210,BC210)</f>
        <v>1195</v>
      </c>
      <c r="BF210" s="69">
        <f t="shared" si="1440"/>
        <v>3560</v>
      </c>
      <c r="BG210" s="46" t="str">
        <f>BF210*'ОВгП_РАО'!$B$28</f>
        <v>#REF!</v>
      </c>
      <c r="BH210" s="46" t="str">
        <f>'ОВгП_РАО'!$B$28</f>
        <v>#REF!</v>
      </c>
    </row>
    <row r="211" ht="15.75" customHeight="1">
      <c r="A211" s="80">
        <f t="shared" si="1315"/>
        <v>46266</v>
      </c>
      <c r="B211" s="47" t="s">
        <v>153</v>
      </c>
      <c r="C211" s="47" t="s">
        <v>122</v>
      </c>
      <c r="D211" s="47" t="s">
        <v>152</v>
      </c>
      <c r="E211" s="73">
        <f t="shared" si="1266"/>
        <v>6</v>
      </c>
      <c r="F211" s="50">
        <f t="shared" si="1441"/>
        <v>16</v>
      </c>
      <c r="G211" s="73">
        <f t="shared" si="1268"/>
        <v>33</v>
      </c>
      <c r="H211" s="50">
        <f t="shared" si="1442"/>
        <v>99</v>
      </c>
      <c r="I211" s="73">
        <f t="shared" si="1270"/>
        <v>11</v>
      </c>
      <c r="J211" s="50">
        <f t="shared" si="1443"/>
        <v>32</v>
      </c>
      <c r="K211" s="53">
        <f t="shared" si="1272"/>
        <v>28</v>
      </c>
      <c r="L211" s="54">
        <f t="shared" si="1444"/>
        <v>82</v>
      </c>
      <c r="M211" s="53">
        <f t="shared" si="1274"/>
        <v>25</v>
      </c>
      <c r="N211" s="54">
        <f t="shared" si="1445"/>
        <v>73</v>
      </c>
      <c r="O211" s="49">
        <f t="shared" ref="O211:P211" si="1446">SUM(K211,M211)</f>
        <v>53</v>
      </c>
      <c r="P211" s="50">
        <f t="shared" si="1446"/>
        <v>155</v>
      </c>
      <c r="Q211" s="73">
        <f t="shared" si="1277"/>
        <v>16</v>
      </c>
      <c r="R211" s="50">
        <f t="shared" si="1447"/>
        <v>47</v>
      </c>
      <c r="S211" s="53">
        <f t="shared" si="1279"/>
        <v>76</v>
      </c>
      <c r="T211" s="54">
        <f t="shared" si="1448"/>
        <v>227</v>
      </c>
      <c r="U211" s="53">
        <f t="shared" si="1281"/>
        <v>9</v>
      </c>
      <c r="V211" s="54">
        <f t="shared" si="1449"/>
        <v>26</v>
      </c>
      <c r="W211" s="53">
        <f t="shared" si="1283"/>
        <v>1</v>
      </c>
      <c r="X211" s="54">
        <f t="shared" si="1450"/>
        <v>3</v>
      </c>
      <c r="Y211" s="53">
        <f t="shared" si="1285"/>
        <v>22</v>
      </c>
      <c r="Z211" s="54">
        <f t="shared" si="1451"/>
        <v>65</v>
      </c>
      <c r="AA211" s="53">
        <f t="shared" si="1287"/>
        <v>28</v>
      </c>
      <c r="AB211" s="54">
        <f t="shared" si="1452"/>
        <v>82</v>
      </c>
      <c r="AC211" s="49">
        <f t="shared" ref="AC211:AD211" si="1453">SUM(S211,U211,W211,Y211,AA211)</f>
        <v>136</v>
      </c>
      <c r="AD211" s="50">
        <f t="shared" si="1453"/>
        <v>403</v>
      </c>
      <c r="AE211" s="53">
        <f t="shared" si="1290"/>
        <v>67</v>
      </c>
      <c r="AF211" s="54">
        <f t="shared" ref="AF211:AF218" si="1459">RANDBETWEEN(0,300)</f>
        <v>201</v>
      </c>
      <c r="AG211" s="53">
        <f t="shared" si="1292"/>
        <v>55</v>
      </c>
      <c r="AH211" s="54">
        <f t="shared" ref="AH211:AH218" si="1460">RANDBETWEEN(0,300)</f>
        <v>163</v>
      </c>
      <c r="AI211" s="53">
        <f t="shared" si="1294"/>
        <v>63</v>
      </c>
      <c r="AJ211" s="54">
        <f t="shared" ref="AJ211:AJ218" si="1461">RANDBETWEEN(0,300)</f>
        <v>187</v>
      </c>
      <c r="AK211" s="53">
        <f t="shared" si="1296"/>
        <v>21</v>
      </c>
      <c r="AL211" s="54">
        <f t="shared" ref="AL211:AL218" si="1462">RANDBETWEEN(0,300)</f>
        <v>63</v>
      </c>
      <c r="AM211" s="53">
        <f t="shared" si="1298"/>
        <v>82</v>
      </c>
      <c r="AN211" s="54">
        <f t="shared" ref="AN211:AN218" si="1463">RANDBETWEEN(0,300)</f>
        <v>245</v>
      </c>
      <c r="AO211" s="53">
        <f t="shared" si="1300"/>
        <v>99</v>
      </c>
      <c r="AP211" s="54">
        <f t="shared" ref="AP211:AP218" si="1464">RANDBETWEEN(0,300)</f>
        <v>297</v>
      </c>
      <c r="AQ211" s="49">
        <f t="shared" ref="AQ211:AR211" si="1454">SUM(AG211,AI211,AK211,AM211,AO211)</f>
        <v>320</v>
      </c>
      <c r="AR211" s="50">
        <f t="shared" si="1454"/>
        <v>955</v>
      </c>
      <c r="AS211" s="53">
        <f t="shared" si="1303"/>
        <v>90</v>
      </c>
      <c r="AT211" s="54">
        <f t="shared" ref="AT211:AT212" si="1466">RANDBETWEEN(0,300)</f>
        <v>269</v>
      </c>
      <c r="AU211" s="53">
        <f t="shared" si="1305"/>
        <v>87</v>
      </c>
      <c r="AV211" s="54">
        <f t="shared" ref="AV211:AV212" si="1467">RANDBETWEEN(0,300)</f>
        <v>261</v>
      </c>
      <c r="AW211" s="53">
        <f t="shared" si="1307"/>
        <v>60</v>
      </c>
      <c r="AX211" s="54">
        <f t="shared" ref="AX211:AX212" si="1468">RANDBETWEEN(0,300)</f>
        <v>180</v>
      </c>
      <c r="AY211" s="53">
        <f t="shared" si="1309"/>
        <v>9</v>
      </c>
      <c r="AZ211" s="54">
        <f t="shared" ref="AZ211:AZ212" si="1469">RANDBETWEEN(0,300)</f>
        <v>26</v>
      </c>
      <c r="BA211" s="53">
        <f t="shared" si="1311"/>
        <v>66</v>
      </c>
      <c r="BB211" s="54">
        <f t="shared" ref="BB211:BB212" si="1470">RANDBETWEEN(0,300)</f>
        <v>196</v>
      </c>
      <c r="BC211" s="49">
        <f t="shared" ref="BC211:BD211" si="1455">SUM(AS211,AU211,AW211,AY211,BA211)</f>
        <v>312</v>
      </c>
      <c r="BD211" s="50">
        <f t="shared" si="1455"/>
        <v>932</v>
      </c>
      <c r="BE211" s="68">
        <f t="shared" ref="BE211:BF211" si="1456">SUM(E211,G211,I211,O211,Q211,AC211,AQ211,BC211)</f>
        <v>887</v>
      </c>
      <c r="BF211" s="69">
        <f t="shared" si="1456"/>
        <v>2639</v>
      </c>
      <c r="BG211" s="46" t="str">
        <f>BF211*'ОВгП_РАО'!$B$29</f>
        <v>#REF!</v>
      </c>
      <c r="BH211" s="46" t="str">
        <f>'ОВгП_РАО'!$B$29</f>
        <v>#REF!</v>
      </c>
    </row>
    <row r="212" ht="15.75" customHeight="1">
      <c r="A212" s="80">
        <f t="shared" si="1315"/>
        <v>46266</v>
      </c>
      <c r="B212" s="47" t="s">
        <v>154</v>
      </c>
      <c r="C212" s="47" t="s">
        <v>122</v>
      </c>
      <c r="D212" s="47" t="s">
        <v>152</v>
      </c>
      <c r="E212" s="73">
        <f t="shared" si="1266"/>
        <v>22</v>
      </c>
      <c r="F212" s="50">
        <f t="shared" si="1441"/>
        <v>64</v>
      </c>
      <c r="G212" s="73">
        <f t="shared" si="1268"/>
        <v>18</v>
      </c>
      <c r="H212" s="50">
        <f t="shared" si="1442"/>
        <v>54</v>
      </c>
      <c r="I212" s="73">
        <f t="shared" si="1270"/>
        <v>24</v>
      </c>
      <c r="J212" s="50">
        <f t="shared" si="1443"/>
        <v>70</v>
      </c>
      <c r="K212" s="53">
        <f t="shared" si="1272"/>
        <v>22</v>
      </c>
      <c r="L212" s="54">
        <f t="shared" si="1444"/>
        <v>66</v>
      </c>
      <c r="M212" s="53">
        <f t="shared" si="1274"/>
        <v>17</v>
      </c>
      <c r="N212" s="54">
        <f t="shared" si="1445"/>
        <v>51</v>
      </c>
      <c r="O212" s="49">
        <f t="shared" ref="O212:P212" si="1457">SUM(K212,M212)</f>
        <v>39</v>
      </c>
      <c r="P212" s="50">
        <f t="shared" si="1457"/>
        <v>117</v>
      </c>
      <c r="Q212" s="73">
        <f t="shared" si="1277"/>
        <v>18</v>
      </c>
      <c r="R212" s="50">
        <f t="shared" si="1447"/>
        <v>53</v>
      </c>
      <c r="S212" s="53">
        <f t="shared" si="1279"/>
        <v>29</v>
      </c>
      <c r="T212" s="54">
        <f t="shared" si="1448"/>
        <v>85</v>
      </c>
      <c r="U212" s="53">
        <f t="shared" si="1281"/>
        <v>53</v>
      </c>
      <c r="V212" s="54">
        <f t="shared" si="1449"/>
        <v>157</v>
      </c>
      <c r="W212" s="53">
        <f t="shared" si="1283"/>
        <v>42</v>
      </c>
      <c r="X212" s="54">
        <f t="shared" si="1450"/>
        <v>126</v>
      </c>
      <c r="Y212" s="53">
        <f t="shared" si="1285"/>
        <v>37</v>
      </c>
      <c r="Z212" s="54">
        <f t="shared" si="1451"/>
        <v>111</v>
      </c>
      <c r="AA212" s="53">
        <f t="shared" si="1287"/>
        <v>11</v>
      </c>
      <c r="AB212" s="54">
        <f t="shared" si="1452"/>
        <v>32</v>
      </c>
      <c r="AC212" s="49">
        <f t="shared" ref="AC212:AD212" si="1458">SUM(S212,U212,W212,Y212,AA212)</f>
        <v>172</v>
      </c>
      <c r="AD212" s="50">
        <f t="shared" si="1458"/>
        <v>511</v>
      </c>
      <c r="AE212" s="53">
        <f t="shared" si="1290"/>
        <v>18</v>
      </c>
      <c r="AF212" s="54">
        <f t="shared" si="1459"/>
        <v>54</v>
      </c>
      <c r="AG212" s="53">
        <f t="shared" si="1292"/>
        <v>51</v>
      </c>
      <c r="AH212" s="54">
        <f t="shared" si="1460"/>
        <v>153</v>
      </c>
      <c r="AI212" s="53">
        <f t="shared" si="1294"/>
        <v>92</v>
      </c>
      <c r="AJ212" s="54">
        <f t="shared" si="1461"/>
        <v>275</v>
      </c>
      <c r="AK212" s="53">
        <f t="shared" si="1296"/>
        <v>46</v>
      </c>
      <c r="AL212" s="54">
        <f t="shared" si="1462"/>
        <v>137</v>
      </c>
      <c r="AM212" s="53">
        <f t="shared" si="1298"/>
        <v>67</v>
      </c>
      <c r="AN212" s="54">
        <f t="shared" si="1463"/>
        <v>200</v>
      </c>
      <c r="AO212" s="53">
        <f t="shared" si="1300"/>
        <v>93</v>
      </c>
      <c r="AP212" s="54">
        <f t="shared" si="1464"/>
        <v>278</v>
      </c>
      <c r="AQ212" s="49">
        <f t="shared" ref="AQ212:AR212" si="1465">SUM(AG212,AI212,AK212,AM212,AO212)</f>
        <v>349</v>
      </c>
      <c r="AR212" s="50">
        <f t="shared" si="1465"/>
        <v>1043</v>
      </c>
      <c r="AS212" s="53">
        <f t="shared" si="1303"/>
        <v>90</v>
      </c>
      <c r="AT212" s="54">
        <f t="shared" si="1466"/>
        <v>268</v>
      </c>
      <c r="AU212" s="53">
        <f t="shared" si="1305"/>
        <v>71</v>
      </c>
      <c r="AV212" s="54">
        <f t="shared" si="1467"/>
        <v>211</v>
      </c>
      <c r="AW212" s="53">
        <f t="shared" si="1307"/>
        <v>97</v>
      </c>
      <c r="AX212" s="54">
        <f t="shared" si="1468"/>
        <v>290</v>
      </c>
      <c r="AY212" s="53">
        <f t="shared" si="1309"/>
        <v>32</v>
      </c>
      <c r="AZ212" s="54">
        <f t="shared" si="1469"/>
        <v>96</v>
      </c>
      <c r="BA212" s="53">
        <f t="shared" si="1311"/>
        <v>88</v>
      </c>
      <c r="BB212" s="54">
        <f t="shared" si="1470"/>
        <v>263</v>
      </c>
      <c r="BC212" s="49">
        <f t="shared" ref="BC212:BD212" si="1471">SUM(AS212,AU212,AW212,AY212,BA212)</f>
        <v>378</v>
      </c>
      <c r="BD212" s="50">
        <f t="shared" si="1471"/>
        <v>1128</v>
      </c>
      <c r="BE212" s="68">
        <f t="shared" ref="BE212:BF212" si="1472">SUM(E212,G212,I212,O212,Q212,AC212,AQ212,BC212)</f>
        <v>1020</v>
      </c>
      <c r="BF212" s="69">
        <f t="shared" si="1472"/>
        <v>3040</v>
      </c>
      <c r="BG212" s="46" t="str">
        <f>BF212*'ОВгП_РАО'!$B$30</f>
        <v>#REF!</v>
      </c>
      <c r="BH212" s="46" t="str">
        <f>'ОВгП_РАО'!$B$30</f>
        <v>#REF!</v>
      </c>
    </row>
    <row r="213" ht="15.75" customHeight="1">
      <c r="A213" s="80">
        <f t="shared" si="1315"/>
        <v>46266</v>
      </c>
      <c r="B213" s="47" t="s">
        <v>155</v>
      </c>
      <c r="C213" s="47" t="s">
        <v>122</v>
      </c>
      <c r="D213" s="47" t="s">
        <v>156</v>
      </c>
      <c r="E213" s="73">
        <f t="shared" si="1266"/>
        <v>1</v>
      </c>
      <c r="F213" s="50">
        <f t="shared" si="1441"/>
        <v>1</v>
      </c>
      <c r="G213" s="73">
        <f t="shared" si="1268"/>
        <v>18</v>
      </c>
      <c r="H213" s="50">
        <f t="shared" si="1442"/>
        <v>52</v>
      </c>
      <c r="I213" s="73">
        <f t="shared" si="1270"/>
        <v>12</v>
      </c>
      <c r="J213" s="50">
        <f t="shared" si="1443"/>
        <v>35</v>
      </c>
      <c r="K213" s="53">
        <f t="shared" si="1272"/>
        <v>4</v>
      </c>
      <c r="L213" s="54">
        <f t="shared" si="1444"/>
        <v>10</v>
      </c>
      <c r="M213" s="53">
        <f t="shared" si="1274"/>
        <v>15</v>
      </c>
      <c r="N213" s="54">
        <f t="shared" si="1445"/>
        <v>43</v>
      </c>
      <c r="O213" s="49">
        <f t="shared" ref="O213:P213" si="1473">SUM(K213,M213)</f>
        <v>19</v>
      </c>
      <c r="P213" s="50">
        <f t="shared" si="1473"/>
        <v>53</v>
      </c>
      <c r="Q213" s="73">
        <f t="shared" si="1277"/>
        <v>20</v>
      </c>
      <c r="R213" s="50">
        <f t="shared" si="1447"/>
        <v>58</v>
      </c>
      <c r="S213" s="53">
        <f t="shared" si="1279"/>
        <v>77</v>
      </c>
      <c r="T213" s="54">
        <f t="shared" si="1448"/>
        <v>230</v>
      </c>
      <c r="U213" s="53">
        <f t="shared" si="1281"/>
        <v>82</v>
      </c>
      <c r="V213" s="54">
        <f t="shared" si="1449"/>
        <v>244</v>
      </c>
      <c r="W213" s="53">
        <f t="shared" si="1283"/>
        <v>70</v>
      </c>
      <c r="X213" s="54">
        <f t="shared" si="1450"/>
        <v>209</v>
      </c>
      <c r="Y213" s="53">
        <f t="shared" si="1285"/>
        <v>7</v>
      </c>
      <c r="Z213" s="54">
        <f t="shared" si="1451"/>
        <v>19</v>
      </c>
      <c r="AA213" s="53">
        <f t="shared" si="1287"/>
        <v>7</v>
      </c>
      <c r="AB213" s="54">
        <f t="shared" si="1452"/>
        <v>21</v>
      </c>
      <c r="AC213" s="49">
        <f t="shared" ref="AC213:AD213" si="1474">SUM(S213,U213,W213,Y213,AA213)</f>
        <v>243</v>
      </c>
      <c r="AD213" s="50">
        <f t="shared" si="1474"/>
        <v>723</v>
      </c>
      <c r="AE213" s="53">
        <f t="shared" si="1290"/>
        <v>65</v>
      </c>
      <c r="AF213" s="54">
        <f t="shared" si="1459"/>
        <v>195</v>
      </c>
      <c r="AG213" s="53">
        <f t="shared" si="1292"/>
        <v>64</v>
      </c>
      <c r="AH213" s="54">
        <f t="shared" si="1460"/>
        <v>191</v>
      </c>
      <c r="AI213" s="53">
        <f t="shared" si="1294"/>
        <v>5</v>
      </c>
      <c r="AJ213" s="54">
        <f t="shared" si="1461"/>
        <v>15</v>
      </c>
      <c r="AK213" s="53">
        <f t="shared" si="1296"/>
        <v>38</v>
      </c>
      <c r="AL213" s="54">
        <f t="shared" si="1462"/>
        <v>112</v>
      </c>
      <c r="AM213" s="53">
        <f t="shared" si="1298"/>
        <v>59</v>
      </c>
      <c r="AN213" s="54">
        <f t="shared" si="1463"/>
        <v>176</v>
      </c>
      <c r="AO213" s="53">
        <f t="shared" si="1300"/>
        <v>5</v>
      </c>
      <c r="AP213" s="54">
        <f t="shared" si="1464"/>
        <v>15</v>
      </c>
      <c r="AQ213" s="49">
        <f t="shared" ref="AQ213:AR213" si="1475">SUM(AG213,AI213,AK213,AM213,AO213)</f>
        <v>171</v>
      </c>
      <c r="AR213" s="50">
        <f t="shared" si="1475"/>
        <v>509</v>
      </c>
      <c r="AS213" s="53">
        <f t="shared" si="1303"/>
        <v>12</v>
      </c>
      <c r="AT213" s="54">
        <f t="shared" ref="AT213:AT215" si="1481">RANDBETWEEN(0,100)</f>
        <v>36</v>
      </c>
      <c r="AU213" s="53">
        <f t="shared" si="1305"/>
        <v>16</v>
      </c>
      <c r="AV213" s="54">
        <f t="shared" ref="AV213:AV215" si="1482">RANDBETWEEN(0,100)</f>
        <v>46</v>
      </c>
      <c r="AW213" s="53">
        <f t="shared" si="1307"/>
        <v>15</v>
      </c>
      <c r="AX213" s="54">
        <f t="shared" ref="AX213:AX215" si="1483">RANDBETWEEN(0,100)</f>
        <v>43</v>
      </c>
      <c r="AY213" s="53">
        <f t="shared" si="1309"/>
        <v>20</v>
      </c>
      <c r="AZ213" s="54">
        <f t="shared" ref="AZ213:AZ215" si="1484">RANDBETWEEN(0,100)</f>
        <v>60</v>
      </c>
      <c r="BA213" s="53">
        <f t="shared" si="1311"/>
        <v>15</v>
      </c>
      <c r="BB213" s="54">
        <f t="shared" ref="BB213:BB215" si="1485">RANDBETWEEN(0,100)</f>
        <v>45</v>
      </c>
      <c r="BC213" s="49">
        <f t="shared" ref="BC213:BD213" si="1476">SUM(AS213,AU213,AW213,AY213,BA213)</f>
        <v>78</v>
      </c>
      <c r="BD213" s="50">
        <f t="shared" si="1476"/>
        <v>230</v>
      </c>
      <c r="BE213" s="68">
        <f t="shared" ref="BE213:BF213" si="1477">SUM(E213,G213,I213,O213,Q213,AC213,AQ213,BC213)</f>
        <v>562</v>
      </c>
      <c r="BF213" s="69">
        <f t="shared" si="1477"/>
        <v>1661</v>
      </c>
      <c r="BG213" s="46" t="str">
        <f>BF213*'ОВгП_РАО'!$B$31</f>
        <v>#REF!</v>
      </c>
      <c r="BH213" s="46" t="str">
        <f>'ОВгП_РАО'!$B$31</f>
        <v>#REF!</v>
      </c>
    </row>
    <row r="214" ht="15.75" customHeight="1">
      <c r="A214" s="80">
        <f t="shared" si="1315"/>
        <v>46266</v>
      </c>
      <c r="B214" s="47" t="s">
        <v>158</v>
      </c>
      <c r="C214" s="47" t="s">
        <v>122</v>
      </c>
      <c r="D214" s="47" t="s">
        <v>156</v>
      </c>
      <c r="E214" s="73">
        <f t="shared" si="1266"/>
        <v>11</v>
      </c>
      <c r="F214" s="50">
        <f t="shared" si="1441"/>
        <v>31</v>
      </c>
      <c r="G214" s="73">
        <f t="shared" si="1268"/>
        <v>14</v>
      </c>
      <c r="H214" s="50">
        <f t="shared" si="1442"/>
        <v>42</v>
      </c>
      <c r="I214" s="73">
        <f t="shared" si="1270"/>
        <v>32</v>
      </c>
      <c r="J214" s="50">
        <f t="shared" si="1443"/>
        <v>94</v>
      </c>
      <c r="K214" s="53">
        <f t="shared" si="1272"/>
        <v>5</v>
      </c>
      <c r="L214" s="54">
        <f t="shared" si="1444"/>
        <v>13</v>
      </c>
      <c r="M214" s="53">
        <f t="shared" si="1274"/>
        <v>26</v>
      </c>
      <c r="N214" s="54">
        <f t="shared" si="1445"/>
        <v>78</v>
      </c>
      <c r="O214" s="49">
        <f t="shared" ref="O214:P214" si="1478">SUM(K214,M214)</f>
        <v>31</v>
      </c>
      <c r="P214" s="50">
        <f t="shared" si="1478"/>
        <v>91</v>
      </c>
      <c r="Q214" s="73">
        <f t="shared" si="1277"/>
        <v>32</v>
      </c>
      <c r="R214" s="50">
        <f t="shared" si="1447"/>
        <v>96</v>
      </c>
      <c r="S214" s="53">
        <f t="shared" si="1279"/>
        <v>34</v>
      </c>
      <c r="T214" s="54">
        <f t="shared" si="1448"/>
        <v>100</v>
      </c>
      <c r="U214" s="53">
        <f t="shared" si="1281"/>
        <v>3</v>
      </c>
      <c r="V214" s="54">
        <f t="shared" si="1449"/>
        <v>9</v>
      </c>
      <c r="W214" s="53">
        <f t="shared" si="1283"/>
        <v>75</v>
      </c>
      <c r="X214" s="54">
        <f t="shared" si="1450"/>
        <v>224</v>
      </c>
      <c r="Y214" s="53">
        <f t="shared" si="1285"/>
        <v>72</v>
      </c>
      <c r="Z214" s="54">
        <f t="shared" si="1451"/>
        <v>215</v>
      </c>
      <c r="AA214" s="53">
        <f t="shared" si="1287"/>
        <v>50</v>
      </c>
      <c r="AB214" s="54">
        <f t="shared" si="1452"/>
        <v>149</v>
      </c>
      <c r="AC214" s="49">
        <f t="shared" ref="AC214:AD214" si="1479">SUM(S214,U214,W214,Y214,AA214)</f>
        <v>234</v>
      </c>
      <c r="AD214" s="50">
        <f t="shared" si="1479"/>
        <v>697</v>
      </c>
      <c r="AE214" s="53">
        <f t="shared" si="1290"/>
        <v>92</v>
      </c>
      <c r="AF214" s="54">
        <f t="shared" si="1459"/>
        <v>276</v>
      </c>
      <c r="AG214" s="53">
        <f t="shared" si="1292"/>
        <v>58</v>
      </c>
      <c r="AH214" s="54">
        <f t="shared" si="1460"/>
        <v>172</v>
      </c>
      <c r="AI214" s="53">
        <f t="shared" si="1294"/>
        <v>91</v>
      </c>
      <c r="AJ214" s="54">
        <f t="shared" si="1461"/>
        <v>271</v>
      </c>
      <c r="AK214" s="53">
        <f t="shared" si="1296"/>
        <v>9</v>
      </c>
      <c r="AL214" s="54">
        <f t="shared" si="1462"/>
        <v>26</v>
      </c>
      <c r="AM214" s="53">
        <f t="shared" si="1298"/>
        <v>85</v>
      </c>
      <c r="AN214" s="54">
        <f t="shared" si="1463"/>
        <v>255</v>
      </c>
      <c r="AO214" s="53">
        <f t="shared" si="1300"/>
        <v>63</v>
      </c>
      <c r="AP214" s="54">
        <f t="shared" si="1464"/>
        <v>187</v>
      </c>
      <c r="AQ214" s="49">
        <f t="shared" ref="AQ214:AR214" si="1480">SUM(AG214,AI214,AK214,AM214,AO214)</f>
        <v>306</v>
      </c>
      <c r="AR214" s="50">
        <f t="shared" si="1480"/>
        <v>911</v>
      </c>
      <c r="AS214" s="53">
        <f t="shared" si="1303"/>
        <v>4</v>
      </c>
      <c r="AT214" s="54">
        <f t="shared" si="1481"/>
        <v>11</v>
      </c>
      <c r="AU214" s="53">
        <f t="shared" si="1305"/>
        <v>25</v>
      </c>
      <c r="AV214" s="54">
        <f t="shared" si="1482"/>
        <v>75</v>
      </c>
      <c r="AW214" s="53">
        <f t="shared" si="1307"/>
        <v>28</v>
      </c>
      <c r="AX214" s="54">
        <f t="shared" si="1483"/>
        <v>82</v>
      </c>
      <c r="AY214" s="53">
        <f t="shared" si="1309"/>
        <v>33</v>
      </c>
      <c r="AZ214" s="54">
        <f t="shared" si="1484"/>
        <v>97</v>
      </c>
      <c r="BA214" s="53">
        <f t="shared" si="1311"/>
        <v>24</v>
      </c>
      <c r="BB214" s="54">
        <f t="shared" si="1485"/>
        <v>72</v>
      </c>
      <c r="BC214" s="49">
        <f t="shared" ref="BC214:BD214" si="1486">SUM(AS214,AU214,AW214,AY214,BA214)</f>
        <v>114</v>
      </c>
      <c r="BD214" s="50">
        <f t="shared" si="1486"/>
        <v>337</v>
      </c>
      <c r="BE214" s="68">
        <f t="shared" ref="BE214:BF214" si="1487">SUM(E214,G214,I214,O214,Q214,AC214,AQ214,BC214)</f>
        <v>774</v>
      </c>
      <c r="BF214" s="69">
        <f t="shared" si="1487"/>
        <v>2299</v>
      </c>
      <c r="BG214" s="46" t="str">
        <f>BF214*'ОВгП_РАО'!$B$32</f>
        <v>#REF!</v>
      </c>
      <c r="BH214" s="46" t="str">
        <f>'ОВгП_РАО'!$B$32</f>
        <v>#REF!</v>
      </c>
    </row>
    <row r="215" ht="15.75" customHeight="1">
      <c r="A215" s="80">
        <f t="shared" si="1315"/>
        <v>46266</v>
      </c>
      <c r="B215" s="47" t="s">
        <v>159</v>
      </c>
      <c r="C215" s="47" t="s">
        <v>122</v>
      </c>
      <c r="D215" s="47" t="s">
        <v>156</v>
      </c>
      <c r="E215" s="73">
        <f t="shared" si="1266"/>
        <v>1</v>
      </c>
      <c r="F215" s="50">
        <f t="shared" si="1441"/>
        <v>1</v>
      </c>
      <c r="G215" s="73">
        <f t="shared" si="1268"/>
        <v>19</v>
      </c>
      <c r="H215" s="50">
        <f t="shared" si="1442"/>
        <v>55</v>
      </c>
      <c r="I215" s="73">
        <f t="shared" si="1270"/>
        <v>16</v>
      </c>
      <c r="J215" s="50">
        <f t="shared" si="1443"/>
        <v>46</v>
      </c>
      <c r="K215" s="53">
        <f t="shared" si="1272"/>
        <v>6</v>
      </c>
      <c r="L215" s="54">
        <f t="shared" si="1444"/>
        <v>16</v>
      </c>
      <c r="M215" s="53">
        <f t="shared" si="1274"/>
        <v>21</v>
      </c>
      <c r="N215" s="54">
        <f t="shared" si="1445"/>
        <v>61</v>
      </c>
      <c r="O215" s="49">
        <f t="shared" ref="O215:P215" si="1488">SUM(K215,M215)</f>
        <v>27</v>
      </c>
      <c r="P215" s="50">
        <f t="shared" si="1488"/>
        <v>77</v>
      </c>
      <c r="Q215" s="73">
        <f t="shared" si="1277"/>
        <v>24</v>
      </c>
      <c r="R215" s="50">
        <f t="shared" si="1447"/>
        <v>72</v>
      </c>
      <c r="S215" s="53">
        <f t="shared" si="1279"/>
        <v>42</v>
      </c>
      <c r="T215" s="54">
        <f t="shared" si="1448"/>
        <v>124</v>
      </c>
      <c r="U215" s="53">
        <f t="shared" si="1281"/>
        <v>76</v>
      </c>
      <c r="V215" s="54">
        <f t="shared" si="1449"/>
        <v>227</v>
      </c>
      <c r="W215" s="53">
        <f t="shared" si="1283"/>
        <v>21</v>
      </c>
      <c r="X215" s="54">
        <f t="shared" si="1450"/>
        <v>62</v>
      </c>
      <c r="Y215" s="53">
        <f t="shared" si="1285"/>
        <v>3</v>
      </c>
      <c r="Z215" s="54">
        <f t="shared" si="1451"/>
        <v>8</v>
      </c>
      <c r="AA215" s="53">
        <f t="shared" si="1287"/>
        <v>61</v>
      </c>
      <c r="AB215" s="54">
        <f t="shared" si="1452"/>
        <v>183</v>
      </c>
      <c r="AC215" s="49">
        <f t="shared" ref="AC215:AD215" si="1489">SUM(S215,U215,W215,Y215,AA215)</f>
        <v>203</v>
      </c>
      <c r="AD215" s="50">
        <f t="shared" si="1489"/>
        <v>604</v>
      </c>
      <c r="AE215" s="53">
        <f t="shared" si="1290"/>
        <v>92</v>
      </c>
      <c r="AF215" s="54">
        <f t="shared" si="1459"/>
        <v>274</v>
      </c>
      <c r="AG215" s="53">
        <f t="shared" si="1292"/>
        <v>24</v>
      </c>
      <c r="AH215" s="54">
        <f t="shared" si="1460"/>
        <v>70</v>
      </c>
      <c r="AI215" s="53">
        <f t="shared" si="1294"/>
        <v>35</v>
      </c>
      <c r="AJ215" s="54">
        <f t="shared" si="1461"/>
        <v>104</v>
      </c>
      <c r="AK215" s="53">
        <f t="shared" si="1296"/>
        <v>18</v>
      </c>
      <c r="AL215" s="54">
        <f t="shared" si="1462"/>
        <v>54</v>
      </c>
      <c r="AM215" s="53">
        <f t="shared" si="1298"/>
        <v>60</v>
      </c>
      <c r="AN215" s="54">
        <f t="shared" si="1463"/>
        <v>180</v>
      </c>
      <c r="AO215" s="53">
        <f t="shared" si="1300"/>
        <v>49</v>
      </c>
      <c r="AP215" s="54">
        <f t="shared" si="1464"/>
        <v>147</v>
      </c>
      <c r="AQ215" s="49">
        <f t="shared" ref="AQ215:AR215" si="1490">SUM(AG215,AI215,AK215,AM215,AO215)</f>
        <v>186</v>
      </c>
      <c r="AR215" s="50">
        <f t="shared" si="1490"/>
        <v>555</v>
      </c>
      <c r="AS215" s="53">
        <f t="shared" si="1303"/>
        <v>6</v>
      </c>
      <c r="AT215" s="54">
        <f t="shared" si="1481"/>
        <v>16</v>
      </c>
      <c r="AU215" s="53">
        <f t="shared" si="1305"/>
        <v>25</v>
      </c>
      <c r="AV215" s="54">
        <f t="shared" si="1482"/>
        <v>75</v>
      </c>
      <c r="AW215" s="53">
        <f t="shared" si="1307"/>
        <v>10</v>
      </c>
      <c r="AX215" s="54">
        <f t="shared" si="1483"/>
        <v>30</v>
      </c>
      <c r="AY215" s="53">
        <f t="shared" si="1309"/>
        <v>21</v>
      </c>
      <c r="AZ215" s="54">
        <f t="shared" si="1484"/>
        <v>63</v>
      </c>
      <c r="BA215" s="53">
        <f t="shared" si="1311"/>
        <v>9</v>
      </c>
      <c r="BB215" s="54">
        <f t="shared" si="1485"/>
        <v>25</v>
      </c>
      <c r="BC215" s="49">
        <f t="shared" ref="BC215:BD215" si="1491">SUM(AS215,AU215,AW215,AY215,BA215)</f>
        <v>71</v>
      </c>
      <c r="BD215" s="50">
        <f t="shared" si="1491"/>
        <v>209</v>
      </c>
      <c r="BE215" s="68">
        <f t="shared" ref="BE215:BF215" si="1492">SUM(E215,G215,I215,O215,Q215,AC215,AQ215,BC215)</f>
        <v>547</v>
      </c>
      <c r="BF215" s="69">
        <f t="shared" si="1492"/>
        <v>1619</v>
      </c>
      <c r="BG215" s="46" t="str">
        <f>BF215*'ОВгП_РАО'!$B$33</f>
        <v>#REF!</v>
      </c>
      <c r="BH215" s="46" t="str">
        <f>'ОВгП_РАО'!$B$33</f>
        <v>#REF!</v>
      </c>
    </row>
    <row r="216" ht="15.75" customHeight="1">
      <c r="A216" s="80">
        <f t="shared" si="1315"/>
        <v>46266</v>
      </c>
      <c r="B216" s="47" t="s">
        <v>160</v>
      </c>
      <c r="C216" s="47" t="s">
        <v>161</v>
      </c>
      <c r="D216" s="47" t="s">
        <v>98</v>
      </c>
      <c r="E216" s="73">
        <f t="shared" si="1266"/>
        <v>8</v>
      </c>
      <c r="F216" s="50">
        <f t="shared" si="1441"/>
        <v>22</v>
      </c>
      <c r="G216" s="73">
        <f t="shared" si="1268"/>
        <v>11</v>
      </c>
      <c r="H216" s="50">
        <f t="shared" si="1442"/>
        <v>32</v>
      </c>
      <c r="I216" s="73">
        <f t="shared" si="1270"/>
        <v>32</v>
      </c>
      <c r="J216" s="50">
        <f t="shared" si="1443"/>
        <v>95</v>
      </c>
      <c r="K216" s="53">
        <f t="shared" si="1272"/>
        <v>13</v>
      </c>
      <c r="L216" s="54">
        <f t="shared" si="1444"/>
        <v>37</v>
      </c>
      <c r="M216" s="53">
        <f t="shared" si="1274"/>
        <v>27</v>
      </c>
      <c r="N216" s="54">
        <f t="shared" si="1445"/>
        <v>81</v>
      </c>
      <c r="O216" s="49">
        <f t="shared" ref="O216:P216" si="1493">SUM(K216,M216)</f>
        <v>40</v>
      </c>
      <c r="P216" s="50">
        <f t="shared" si="1493"/>
        <v>118</v>
      </c>
      <c r="Q216" s="73">
        <f t="shared" si="1277"/>
        <v>17</v>
      </c>
      <c r="R216" s="50">
        <f t="shared" si="1447"/>
        <v>50</v>
      </c>
      <c r="S216" s="53">
        <f t="shared" si="1279"/>
        <v>61</v>
      </c>
      <c r="T216" s="54">
        <f t="shared" si="1448"/>
        <v>182</v>
      </c>
      <c r="U216" s="53">
        <f t="shared" si="1281"/>
        <v>23</v>
      </c>
      <c r="V216" s="54">
        <f t="shared" si="1449"/>
        <v>68</v>
      </c>
      <c r="W216" s="53">
        <f t="shared" si="1283"/>
        <v>95</v>
      </c>
      <c r="X216" s="54">
        <f t="shared" si="1450"/>
        <v>285</v>
      </c>
      <c r="Y216" s="53">
        <f t="shared" si="1285"/>
        <v>83</v>
      </c>
      <c r="Z216" s="54">
        <f t="shared" si="1451"/>
        <v>249</v>
      </c>
      <c r="AA216" s="53">
        <f t="shared" si="1287"/>
        <v>65</v>
      </c>
      <c r="AB216" s="54">
        <f t="shared" si="1452"/>
        <v>195</v>
      </c>
      <c r="AC216" s="49">
        <f t="shared" ref="AC216:AD216" si="1494">SUM(S216,U216,W216,Y216,AA216)</f>
        <v>327</v>
      </c>
      <c r="AD216" s="50">
        <f t="shared" si="1494"/>
        <v>979</v>
      </c>
      <c r="AE216" s="53">
        <f t="shared" si="1290"/>
        <v>22</v>
      </c>
      <c r="AF216" s="54">
        <f t="shared" si="1459"/>
        <v>65</v>
      </c>
      <c r="AG216" s="53">
        <f t="shared" si="1292"/>
        <v>68</v>
      </c>
      <c r="AH216" s="54">
        <f t="shared" si="1460"/>
        <v>202</v>
      </c>
      <c r="AI216" s="53">
        <f t="shared" si="1294"/>
        <v>47</v>
      </c>
      <c r="AJ216" s="54">
        <f t="shared" si="1461"/>
        <v>141</v>
      </c>
      <c r="AK216" s="53">
        <f t="shared" si="1296"/>
        <v>30</v>
      </c>
      <c r="AL216" s="54">
        <f t="shared" si="1462"/>
        <v>89</v>
      </c>
      <c r="AM216" s="53">
        <f t="shared" si="1298"/>
        <v>36</v>
      </c>
      <c r="AN216" s="54">
        <f t="shared" si="1463"/>
        <v>106</v>
      </c>
      <c r="AO216" s="53">
        <f t="shared" si="1300"/>
        <v>41</v>
      </c>
      <c r="AP216" s="54">
        <f t="shared" si="1464"/>
        <v>123</v>
      </c>
      <c r="AQ216" s="49">
        <f t="shared" ref="AQ216:AR216" si="1495">SUM(AG216,AI216,AK216,AM216,AO216)</f>
        <v>222</v>
      </c>
      <c r="AR216" s="50">
        <f t="shared" si="1495"/>
        <v>661</v>
      </c>
      <c r="AS216" s="53">
        <f t="shared" si="1303"/>
        <v>32</v>
      </c>
      <c r="AT216" s="54">
        <f t="shared" ref="AT216:AT218" si="1501">RANDBETWEEN(0,300)</f>
        <v>94</v>
      </c>
      <c r="AU216" s="53">
        <f t="shared" si="1305"/>
        <v>40</v>
      </c>
      <c r="AV216" s="54">
        <f t="shared" ref="AV216:AV218" si="1502">RANDBETWEEN(0,300)</f>
        <v>118</v>
      </c>
      <c r="AW216" s="53">
        <f t="shared" si="1307"/>
        <v>59</v>
      </c>
      <c r="AX216" s="54">
        <f t="shared" ref="AX216:AX218" si="1503">RANDBETWEEN(0,300)</f>
        <v>175</v>
      </c>
      <c r="AY216" s="53">
        <f t="shared" si="1309"/>
        <v>13</v>
      </c>
      <c r="AZ216" s="54">
        <f t="shared" ref="AZ216:AZ218" si="1504">RANDBETWEEN(0,300)</f>
        <v>38</v>
      </c>
      <c r="BA216" s="53">
        <f t="shared" si="1311"/>
        <v>76</v>
      </c>
      <c r="BB216" s="54">
        <f t="shared" ref="BB216:BB218" si="1505">RANDBETWEEN(0,300)</f>
        <v>228</v>
      </c>
      <c r="BC216" s="49">
        <f t="shared" ref="BC216:BD216" si="1496">SUM(AS216,AU216,AW216,AY216,BA216)</f>
        <v>220</v>
      </c>
      <c r="BD216" s="50">
        <f t="shared" si="1496"/>
        <v>653</v>
      </c>
      <c r="BE216" s="68">
        <f t="shared" ref="BE216:BF216" si="1497">SUM(E216,G216,I216,O216,Q216,AC216,AQ216,BC216)</f>
        <v>877</v>
      </c>
      <c r="BF216" s="69">
        <f t="shared" si="1497"/>
        <v>2610</v>
      </c>
      <c r="BG216" s="46" t="str">
        <f>BF216*'ОВгП_РАО'!$B$34</f>
        <v>#REF!</v>
      </c>
      <c r="BH216" s="46" t="str">
        <f>'ОВгП_РАО'!$B$34</f>
        <v>#REF!</v>
      </c>
    </row>
    <row r="217" ht="15.75" customHeight="1">
      <c r="A217" s="80">
        <f t="shared" si="1315"/>
        <v>46266</v>
      </c>
      <c r="B217" s="47" t="s">
        <v>163</v>
      </c>
      <c r="C217" s="47" t="s">
        <v>161</v>
      </c>
      <c r="D217" s="47" t="s">
        <v>145</v>
      </c>
      <c r="E217" s="73">
        <f t="shared" si="1266"/>
        <v>9</v>
      </c>
      <c r="F217" s="50">
        <f t="shared" si="1441"/>
        <v>27</v>
      </c>
      <c r="G217" s="73">
        <f t="shared" si="1268"/>
        <v>22</v>
      </c>
      <c r="H217" s="50">
        <f t="shared" si="1442"/>
        <v>66</v>
      </c>
      <c r="I217" s="73">
        <f t="shared" si="1270"/>
        <v>3</v>
      </c>
      <c r="J217" s="50">
        <f t="shared" si="1443"/>
        <v>9</v>
      </c>
      <c r="K217" s="53">
        <f t="shared" si="1272"/>
        <v>2</v>
      </c>
      <c r="L217" s="54">
        <f t="shared" si="1444"/>
        <v>5</v>
      </c>
      <c r="M217" s="53">
        <f t="shared" si="1274"/>
        <v>4</v>
      </c>
      <c r="N217" s="54">
        <f t="shared" si="1445"/>
        <v>10</v>
      </c>
      <c r="O217" s="49">
        <f t="shared" ref="O217:P217" si="1498">SUM(K217,M217)</f>
        <v>6</v>
      </c>
      <c r="P217" s="50">
        <f t="shared" si="1498"/>
        <v>15</v>
      </c>
      <c r="Q217" s="73">
        <f t="shared" si="1277"/>
        <v>31</v>
      </c>
      <c r="R217" s="50">
        <f t="shared" si="1447"/>
        <v>92</v>
      </c>
      <c r="S217" s="53">
        <f t="shared" si="1279"/>
        <v>55</v>
      </c>
      <c r="T217" s="54">
        <f t="shared" si="1448"/>
        <v>163</v>
      </c>
      <c r="U217" s="53">
        <f t="shared" si="1281"/>
        <v>67</v>
      </c>
      <c r="V217" s="54">
        <f t="shared" si="1449"/>
        <v>200</v>
      </c>
      <c r="W217" s="53">
        <f t="shared" si="1283"/>
        <v>11</v>
      </c>
      <c r="X217" s="54">
        <f t="shared" si="1450"/>
        <v>31</v>
      </c>
      <c r="Y217" s="53">
        <f t="shared" si="1285"/>
        <v>4</v>
      </c>
      <c r="Z217" s="54">
        <f t="shared" si="1451"/>
        <v>12</v>
      </c>
      <c r="AA217" s="53">
        <f t="shared" si="1287"/>
        <v>95</v>
      </c>
      <c r="AB217" s="54">
        <f t="shared" si="1452"/>
        <v>285</v>
      </c>
      <c r="AC217" s="49">
        <f t="shared" ref="AC217:AD217" si="1499">SUM(S217,U217,W217,Y217,AA217)</f>
        <v>232</v>
      </c>
      <c r="AD217" s="50">
        <f t="shared" si="1499"/>
        <v>691</v>
      </c>
      <c r="AE217" s="53">
        <f t="shared" si="1290"/>
        <v>77</v>
      </c>
      <c r="AF217" s="54">
        <f t="shared" si="1459"/>
        <v>230</v>
      </c>
      <c r="AG217" s="53">
        <f t="shared" si="1292"/>
        <v>10</v>
      </c>
      <c r="AH217" s="54">
        <f t="shared" si="1460"/>
        <v>28</v>
      </c>
      <c r="AI217" s="53">
        <f t="shared" si="1294"/>
        <v>86</v>
      </c>
      <c r="AJ217" s="54">
        <f t="shared" si="1461"/>
        <v>257</v>
      </c>
      <c r="AK217" s="53">
        <f t="shared" si="1296"/>
        <v>68</v>
      </c>
      <c r="AL217" s="54">
        <f t="shared" si="1462"/>
        <v>204</v>
      </c>
      <c r="AM217" s="53">
        <f t="shared" si="1298"/>
        <v>27</v>
      </c>
      <c r="AN217" s="54">
        <f t="shared" si="1463"/>
        <v>81</v>
      </c>
      <c r="AO217" s="53">
        <f t="shared" si="1300"/>
        <v>11</v>
      </c>
      <c r="AP217" s="54">
        <f t="shared" si="1464"/>
        <v>32</v>
      </c>
      <c r="AQ217" s="49">
        <f t="shared" ref="AQ217:AR217" si="1500">SUM(AG217,AI217,AK217,AM217,AO217)</f>
        <v>202</v>
      </c>
      <c r="AR217" s="50">
        <f t="shared" si="1500"/>
        <v>602</v>
      </c>
      <c r="AS217" s="53">
        <f t="shared" si="1303"/>
        <v>80</v>
      </c>
      <c r="AT217" s="54">
        <f t="shared" si="1501"/>
        <v>238</v>
      </c>
      <c r="AU217" s="53">
        <f t="shared" si="1305"/>
        <v>4</v>
      </c>
      <c r="AV217" s="54">
        <f t="shared" si="1502"/>
        <v>12</v>
      </c>
      <c r="AW217" s="53">
        <f t="shared" si="1307"/>
        <v>70</v>
      </c>
      <c r="AX217" s="54">
        <f t="shared" si="1503"/>
        <v>209</v>
      </c>
      <c r="AY217" s="53">
        <f t="shared" si="1309"/>
        <v>85</v>
      </c>
      <c r="AZ217" s="54">
        <f t="shared" si="1504"/>
        <v>254</v>
      </c>
      <c r="BA217" s="53">
        <f t="shared" si="1311"/>
        <v>1</v>
      </c>
      <c r="BB217" s="54">
        <f t="shared" si="1505"/>
        <v>3</v>
      </c>
      <c r="BC217" s="49">
        <f t="shared" ref="BC217:BD217" si="1506">SUM(AS217,AU217,AW217,AY217,BA217)</f>
        <v>240</v>
      </c>
      <c r="BD217" s="50">
        <f t="shared" si="1506"/>
        <v>716</v>
      </c>
      <c r="BE217" s="68">
        <f t="shared" ref="BE217:BF217" si="1507">SUM(E217,G217,I217,O217,Q217,AC217,AQ217,BC217)</f>
        <v>745</v>
      </c>
      <c r="BF217" s="69">
        <f t="shared" si="1507"/>
        <v>2218</v>
      </c>
      <c r="BG217" s="46" t="str">
        <f>BF217*'ОВгП_РАО'!$B$35</f>
        <v>#REF!</v>
      </c>
      <c r="BH217" s="46" t="str">
        <f>'ОВгП_РАО'!$B$35</f>
        <v>#REF!</v>
      </c>
    </row>
    <row r="218" ht="15.75" customHeight="1">
      <c r="A218" s="80">
        <f t="shared" si="1315"/>
        <v>46266</v>
      </c>
      <c r="B218" s="47" t="s">
        <v>164</v>
      </c>
      <c r="C218" s="47" t="s">
        <v>161</v>
      </c>
      <c r="D218" s="47" t="s">
        <v>148</v>
      </c>
      <c r="E218" s="73">
        <f t="shared" si="1266"/>
        <v>1</v>
      </c>
      <c r="F218" s="50">
        <f t="shared" si="1441"/>
        <v>3</v>
      </c>
      <c r="G218" s="73">
        <f t="shared" si="1268"/>
        <v>15</v>
      </c>
      <c r="H218" s="50">
        <f t="shared" si="1442"/>
        <v>44</v>
      </c>
      <c r="I218" s="73">
        <f t="shared" si="1270"/>
        <v>32</v>
      </c>
      <c r="J218" s="50">
        <f t="shared" si="1443"/>
        <v>95</v>
      </c>
      <c r="K218" s="53">
        <f t="shared" si="1272"/>
        <v>11</v>
      </c>
      <c r="L218" s="54">
        <f t="shared" si="1444"/>
        <v>31</v>
      </c>
      <c r="M218" s="53">
        <f t="shared" si="1274"/>
        <v>6</v>
      </c>
      <c r="N218" s="54">
        <f t="shared" si="1445"/>
        <v>18</v>
      </c>
      <c r="O218" s="49">
        <f t="shared" ref="O218:P218" si="1508">SUM(K218,M218)</f>
        <v>17</v>
      </c>
      <c r="P218" s="50">
        <f t="shared" si="1508"/>
        <v>49</v>
      </c>
      <c r="Q218" s="73">
        <f t="shared" si="1277"/>
        <v>20</v>
      </c>
      <c r="R218" s="50">
        <f t="shared" si="1447"/>
        <v>60</v>
      </c>
      <c r="S218" s="53">
        <f t="shared" si="1279"/>
        <v>96</v>
      </c>
      <c r="T218" s="54">
        <f t="shared" si="1448"/>
        <v>287</v>
      </c>
      <c r="U218" s="53">
        <f t="shared" si="1281"/>
        <v>68</v>
      </c>
      <c r="V218" s="54">
        <f t="shared" si="1449"/>
        <v>204</v>
      </c>
      <c r="W218" s="53">
        <f t="shared" si="1283"/>
        <v>27</v>
      </c>
      <c r="X218" s="54">
        <f t="shared" si="1450"/>
        <v>81</v>
      </c>
      <c r="Y218" s="53">
        <f t="shared" si="1285"/>
        <v>96</v>
      </c>
      <c r="Z218" s="54">
        <f t="shared" si="1451"/>
        <v>287</v>
      </c>
      <c r="AA218" s="53">
        <f t="shared" si="1287"/>
        <v>59</v>
      </c>
      <c r="AB218" s="54">
        <f t="shared" si="1452"/>
        <v>177</v>
      </c>
      <c r="AC218" s="49">
        <f t="shared" ref="AC218:AD218" si="1509">SUM(S218,U218,W218,Y218,AA218)</f>
        <v>346</v>
      </c>
      <c r="AD218" s="50">
        <f t="shared" si="1509"/>
        <v>1036</v>
      </c>
      <c r="AE218" s="53">
        <f t="shared" si="1290"/>
        <v>46</v>
      </c>
      <c r="AF218" s="54">
        <f t="shared" si="1459"/>
        <v>138</v>
      </c>
      <c r="AG218" s="53">
        <f t="shared" si="1292"/>
        <v>3</v>
      </c>
      <c r="AH218" s="54">
        <f t="shared" si="1460"/>
        <v>7</v>
      </c>
      <c r="AI218" s="53">
        <f t="shared" si="1294"/>
        <v>17</v>
      </c>
      <c r="AJ218" s="54">
        <f t="shared" si="1461"/>
        <v>50</v>
      </c>
      <c r="AK218" s="53">
        <f t="shared" si="1296"/>
        <v>9</v>
      </c>
      <c r="AL218" s="54">
        <f t="shared" si="1462"/>
        <v>26</v>
      </c>
      <c r="AM218" s="53">
        <f t="shared" si="1298"/>
        <v>99</v>
      </c>
      <c r="AN218" s="54">
        <f t="shared" si="1463"/>
        <v>295</v>
      </c>
      <c r="AO218" s="53">
        <f t="shared" si="1300"/>
        <v>2</v>
      </c>
      <c r="AP218" s="54">
        <f t="shared" si="1464"/>
        <v>4</v>
      </c>
      <c r="AQ218" s="49">
        <f t="shared" ref="AQ218:AR218" si="1510">SUM(AG218,AI218,AK218,AM218,AO218)</f>
        <v>130</v>
      </c>
      <c r="AR218" s="50">
        <f t="shared" si="1510"/>
        <v>382</v>
      </c>
      <c r="AS218" s="53">
        <f t="shared" si="1303"/>
        <v>32</v>
      </c>
      <c r="AT218" s="54">
        <f t="shared" si="1501"/>
        <v>95</v>
      </c>
      <c r="AU218" s="53">
        <f t="shared" si="1305"/>
        <v>77</v>
      </c>
      <c r="AV218" s="54">
        <f t="shared" si="1502"/>
        <v>229</v>
      </c>
      <c r="AW218" s="53">
        <f t="shared" si="1307"/>
        <v>39</v>
      </c>
      <c r="AX218" s="54">
        <f t="shared" si="1503"/>
        <v>115</v>
      </c>
      <c r="AY218" s="53">
        <f t="shared" si="1309"/>
        <v>81</v>
      </c>
      <c r="AZ218" s="54">
        <f t="shared" si="1504"/>
        <v>242</v>
      </c>
      <c r="BA218" s="53">
        <f t="shared" si="1311"/>
        <v>57</v>
      </c>
      <c r="BB218" s="54">
        <f t="shared" si="1505"/>
        <v>171</v>
      </c>
      <c r="BC218" s="49">
        <f t="shared" ref="BC218:BD218" si="1511">SUM(AS218,AU218,AW218,AY218,BA218)</f>
        <v>286</v>
      </c>
      <c r="BD218" s="50">
        <f t="shared" si="1511"/>
        <v>852</v>
      </c>
      <c r="BE218" s="68">
        <f t="shared" ref="BE218:BF218" si="1512">SUM(E218,G218,I218,O218,Q218,AC218,AQ218,BC218)</f>
        <v>847</v>
      </c>
      <c r="BF218" s="69">
        <f t="shared" si="1512"/>
        <v>2521</v>
      </c>
      <c r="BG218" s="46" t="str">
        <f>BF218*'ОВгП_РАО'!$B$36</f>
        <v>#REF!</v>
      </c>
      <c r="BH218" s="46" t="str">
        <f>'ОВгП_РАО'!B216</f>
        <v>#REF!</v>
      </c>
    </row>
    <row r="219" ht="15.75" customHeight="1">
      <c r="A219" s="161"/>
      <c r="B219" s="162"/>
      <c r="C219" s="162"/>
      <c r="D219" s="162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  <c r="BC219" s="40"/>
      <c r="BD219" s="40"/>
      <c r="BE219" s="40"/>
      <c r="BF219" s="42"/>
    </row>
    <row r="220" ht="15.75" customHeight="1">
      <c r="A220" s="44">
        <f>A218+1</f>
        <v>46267</v>
      </c>
      <c r="B220" s="163" t="s">
        <v>95</v>
      </c>
      <c r="C220" s="46" t="s">
        <v>96</v>
      </c>
      <c r="D220" s="47" t="s">
        <v>98</v>
      </c>
      <c r="E220" s="49">
        <f t="shared" ref="E220:E254" si="1518">ROUNDUP(F220/3,0)</f>
        <v>1</v>
      </c>
      <c r="F220" s="50">
        <f t="shared" ref="F220:F245" si="1519">RANDBETWEEN(0,4)</f>
        <v>1</v>
      </c>
      <c r="G220" s="49">
        <f t="shared" ref="G220:G254" si="1520">ROUNDUP(H220/3,0)</f>
        <v>1</v>
      </c>
      <c r="H220" s="50">
        <f t="shared" ref="H220:H245" si="1521">RANDBETWEEN(0,4)</f>
        <v>1</v>
      </c>
      <c r="I220" s="49">
        <f t="shared" ref="I220:I254" si="1522">ROUNDUP(J220/3,0)</f>
        <v>1</v>
      </c>
      <c r="J220" s="50">
        <f t="shared" ref="J220:J245" si="1523">RANDBETWEEN(0,4)</f>
        <v>2</v>
      </c>
      <c r="K220" s="53">
        <f t="shared" ref="K220:K254" si="1524">ROUNDUP(L220/3,0)</f>
        <v>1</v>
      </c>
      <c r="L220" s="54">
        <f t="shared" ref="L220:L245" si="1525">RANDBETWEEN(0,4)</f>
        <v>2</v>
      </c>
      <c r="M220" s="53">
        <f t="shared" ref="M220:M254" si="1526">ROUNDUP(N220/3,0)</f>
        <v>0</v>
      </c>
      <c r="N220" s="54">
        <f t="shared" ref="N220:N245" si="1527">RANDBETWEEN(0,4)</f>
        <v>0</v>
      </c>
      <c r="O220" s="49">
        <f t="shared" ref="O220:P220" si="1513">SUM(K220,M220)</f>
        <v>1</v>
      </c>
      <c r="P220" s="50">
        <f t="shared" si="1513"/>
        <v>2</v>
      </c>
      <c r="Q220" s="49">
        <f t="shared" ref="Q220:Q254" si="1529">ROUNDUP(R220/3,0)</f>
        <v>1</v>
      </c>
      <c r="R220" s="50">
        <f t="shared" ref="R220:R245" si="1530">RANDBETWEEN(0,4)</f>
        <v>3</v>
      </c>
      <c r="S220" s="53">
        <f t="shared" ref="S220:S254" si="1531">ROUNDUP(T220/3,0)</f>
        <v>0</v>
      </c>
      <c r="T220" s="54">
        <f t="shared" ref="T220:T245" si="1532">RANDBETWEEN(0,4)</f>
        <v>0</v>
      </c>
      <c r="U220" s="53">
        <f t="shared" ref="U220:U254" si="1533">ROUNDUP(V220/3,0)</f>
        <v>1</v>
      </c>
      <c r="V220" s="54">
        <f t="shared" ref="V220:V245" si="1534">RANDBETWEEN(0,4)</f>
        <v>1</v>
      </c>
      <c r="W220" s="53">
        <f t="shared" ref="W220:W254" si="1535">ROUNDUP(X220/3,0)</f>
        <v>1</v>
      </c>
      <c r="X220" s="54">
        <f t="shared" ref="X220:X245" si="1536">RANDBETWEEN(0,4)</f>
        <v>2</v>
      </c>
      <c r="Y220" s="53">
        <f t="shared" ref="Y220:Y254" si="1537">ROUNDUP(Z220/3,0)</f>
        <v>1</v>
      </c>
      <c r="Z220" s="54">
        <f t="shared" ref="Z220:Z245" si="1538">RANDBETWEEN(0,4)</f>
        <v>3</v>
      </c>
      <c r="AA220" s="53">
        <f t="shared" ref="AA220:AA254" si="1539">ROUNDUP(AB220/3,0)</f>
        <v>1</v>
      </c>
      <c r="AB220" s="54">
        <f t="shared" ref="AB220:AB245" si="1540">RANDBETWEEN(0,4)</f>
        <v>1</v>
      </c>
      <c r="AC220" s="49">
        <f t="shared" ref="AC220:AD220" si="1514">SUM(S220,U220,W220,Y220,AA220)</f>
        <v>4</v>
      </c>
      <c r="AD220" s="50">
        <f t="shared" si="1514"/>
        <v>7</v>
      </c>
      <c r="AE220" s="53">
        <f t="shared" ref="AE220:AE254" si="1542">ROUNDUP(AF220/3,0)</f>
        <v>1</v>
      </c>
      <c r="AF220" s="54">
        <f t="shared" ref="AF220:AF245" si="1543">RANDBETWEEN(0,4)</f>
        <v>2</v>
      </c>
      <c r="AG220" s="53">
        <f t="shared" ref="AG220:AG254" si="1544">ROUNDUP(AH220/3,0)</f>
        <v>2</v>
      </c>
      <c r="AH220" s="54">
        <f t="shared" ref="AH220:AH245" si="1545">RANDBETWEEN(0,4)</f>
        <v>4</v>
      </c>
      <c r="AI220" s="53">
        <f t="shared" ref="AI220:AI254" si="1546">ROUNDUP(AJ220/3,0)</f>
        <v>1</v>
      </c>
      <c r="AJ220" s="54">
        <f t="shared" ref="AJ220:AJ245" si="1547">RANDBETWEEN(0,4)</f>
        <v>3</v>
      </c>
      <c r="AK220" s="53">
        <f t="shared" ref="AK220:AK254" si="1548">ROUNDUP(AL220/3,0)</f>
        <v>1</v>
      </c>
      <c r="AL220" s="54">
        <f t="shared" ref="AL220:AL245" si="1549">RANDBETWEEN(0,4)</f>
        <v>3</v>
      </c>
      <c r="AM220" s="53">
        <f t="shared" ref="AM220:AM254" si="1550">ROUNDUP(AN220/3,0)</f>
        <v>1</v>
      </c>
      <c r="AN220" s="54">
        <f t="shared" ref="AN220:AN245" si="1551">RANDBETWEEN(0,4)</f>
        <v>3</v>
      </c>
      <c r="AO220" s="53">
        <f t="shared" ref="AO220:AO254" si="1552">ROUNDUP(AP220/3,0)</f>
        <v>1</v>
      </c>
      <c r="AP220" s="54">
        <f t="shared" ref="AP220:AP245" si="1553">RANDBETWEEN(0,4)</f>
        <v>3</v>
      </c>
      <c r="AQ220" s="49">
        <f t="shared" ref="AQ220:AR220" si="1515">SUM(AG220,AI220,AK220,AM220,AO220)</f>
        <v>6</v>
      </c>
      <c r="AR220" s="50">
        <f t="shared" si="1515"/>
        <v>16</v>
      </c>
      <c r="AS220" s="53">
        <f t="shared" ref="AS220:AS254" si="1555">ROUNDUP(AT220/3,0)</f>
        <v>1</v>
      </c>
      <c r="AT220" s="54">
        <f t="shared" ref="AT220:AT245" si="1556">RANDBETWEEN(0,4)</f>
        <v>1</v>
      </c>
      <c r="AU220" s="53">
        <f t="shared" ref="AU220:AU254" si="1557">ROUNDUP(AV220/3,0)</f>
        <v>1</v>
      </c>
      <c r="AV220" s="54">
        <f t="shared" ref="AV220:AV245" si="1558">RANDBETWEEN(0,4)</f>
        <v>3</v>
      </c>
      <c r="AW220" s="53">
        <f t="shared" ref="AW220:AW254" si="1559">ROUNDUP(AX220/3,0)</f>
        <v>1</v>
      </c>
      <c r="AX220" s="54">
        <f t="shared" ref="AX220:AX245" si="1560">RANDBETWEEN(0,4)</f>
        <v>2</v>
      </c>
      <c r="AY220" s="53">
        <f t="shared" ref="AY220:AY254" si="1561">ROUNDUP(AZ220/3,0)</f>
        <v>1</v>
      </c>
      <c r="AZ220" s="54">
        <f t="shared" ref="AZ220:AZ245" si="1562">RANDBETWEEN(0,4)</f>
        <v>2</v>
      </c>
      <c r="BA220" s="53">
        <f t="shared" ref="BA220:BA254" si="1563">ROUNDUP(BB220/3,0)</f>
        <v>1</v>
      </c>
      <c r="BB220" s="54">
        <f t="shared" ref="BB220:BB245" si="1564">RANDBETWEEN(0,4)</f>
        <v>1</v>
      </c>
      <c r="BC220" s="49">
        <f t="shared" ref="BC220:BD220" si="1516">SUM(AS220,AU220,AW220,AY220,BA220)</f>
        <v>5</v>
      </c>
      <c r="BD220" s="50">
        <f t="shared" si="1516"/>
        <v>9</v>
      </c>
      <c r="BE220" s="68">
        <f t="shared" ref="BE220:BF220" si="1517">SUM(E220,G220,I220,O220,Q220,AC220,AQ220,BC220)</f>
        <v>20</v>
      </c>
      <c r="BF220" s="69">
        <f t="shared" si="1517"/>
        <v>41</v>
      </c>
      <c r="BG220" s="46" t="str">
        <f>BF220*'ОВгП_РАО'!$B$2</f>
        <v>#REF!</v>
      </c>
      <c r="BH220" s="46" t="str">
        <f>'ОВгП_РАО'!$B$2</f>
        <v>#REF!</v>
      </c>
    </row>
    <row r="221" ht="15.75" customHeight="1">
      <c r="A221" s="71">
        <f t="shared" ref="A221:A254" si="1567">A220</f>
        <v>46267</v>
      </c>
      <c r="B221" s="45" t="s">
        <v>115</v>
      </c>
      <c r="C221" s="46" t="s">
        <v>96</v>
      </c>
      <c r="D221" s="47" t="s">
        <v>98</v>
      </c>
      <c r="E221" s="73">
        <f t="shared" si="1518"/>
        <v>1</v>
      </c>
      <c r="F221" s="50">
        <f t="shared" si="1519"/>
        <v>2</v>
      </c>
      <c r="G221" s="73">
        <f t="shared" si="1520"/>
        <v>1</v>
      </c>
      <c r="H221" s="50">
        <f t="shared" si="1521"/>
        <v>2</v>
      </c>
      <c r="I221" s="73">
        <f t="shared" si="1522"/>
        <v>0</v>
      </c>
      <c r="J221" s="50">
        <f t="shared" si="1523"/>
        <v>0</v>
      </c>
      <c r="K221" s="53">
        <f t="shared" si="1524"/>
        <v>1</v>
      </c>
      <c r="L221" s="54">
        <f t="shared" si="1525"/>
        <v>1</v>
      </c>
      <c r="M221" s="53">
        <f t="shared" si="1526"/>
        <v>1</v>
      </c>
      <c r="N221" s="54">
        <f t="shared" si="1527"/>
        <v>1</v>
      </c>
      <c r="O221" s="49">
        <f t="shared" ref="O221:P221" si="1528">SUM(K221,M221)</f>
        <v>2</v>
      </c>
      <c r="P221" s="50">
        <f t="shared" si="1528"/>
        <v>2</v>
      </c>
      <c r="Q221" s="73">
        <f t="shared" si="1529"/>
        <v>0</v>
      </c>
      <c r="R221" s="50">
        <f t="shared" si="1530"/>
        <v>0</v>
      </c>
      <c r="S221" s="53">
        <f t="shared" si="1531"/>
        <v>1</v>
      </c>
      <c r="T221" s="54">
        <f t="shared" si="1532"/>
        <v>1</v>
      </c>
      <c r="U221" s="53">
        <f t="shared" si="1533"/>
        <v>0</v>
      </c>
      <c r="V221" s="54">
        <f t="shared" si="1534"/>
        <v>0</v>
      </c>
      <c r="W221" s="53">
        <f t="shared" si="1535"/>
        <v>2</v>
      </c>
      <c r="X221" s="54">
        <f t="shared" si="1536"/>
        <v>4</v>
      </c>
      <c r="Y221" s="53">
        <f t="shared" si="1537"/>
        <v>2</v>
      </c>
      <c r="Z221" s="54">
        <f t="shared" si="1538"/>
        <v>4</v>
      </c>
      <c r="AA221" s="53">
        <f t="shared" si="1539"/>
        <v>1</v>
      </c>
      <c r="AB221" s="54">
        <f t="shared" si="1540"/>
        <v>1</v>
      </c>
      <c r="AC221" s="49">
        <f t="shared" ref="AC221:AD221" si="1541">SUM(S221,U221,W221,Y221,AA221)</f>
        <v>6</v>
      </c>
      <c r="AD221" s="50">
        <f t="shared" si="1541"/>
        <v>10</v>
      </c>
      <c r="AE221" s="53">
        <f t="shared" si="1542"/>
        <v>1</v>
      </c>
      <c r="AF221" s="54">
        <f t="shared" si="1543"/>
        <v>2</v>
      </c>
      <c r="AG221" s="53">
        <f t="shared" si="1544"/>
        <v>1</v>
      </c>
      <c r="AH221" s="54">
        <f t="shared" si="1545"/>
        <v>3</v>
      </c>
      <c r="AI221" s="53">
        <f t="shared" si="1546"/>
        <v>0</v>
      </c>
      <c r="AJ221" s="54">
        <f t="shared" si="1547"/>
        <v>0</v>
      </c>
      <c r="AK221" s="53">
        <f t="shared" si="1548"/>
        <v>2</v>
      </c>
      <c r="AL221" s="54">
        <f t="shared" si="1549"/>
        <v>4</v>
      </c>
      <c r="AM221" s="53">
        <f t="shared" si="1550"/>
        <v>1</v>
      </c>
      <c r="AN221" s="54">
        <f t="shared" si="1551"/>
        <v>2</v>
      </c>
      <c r="AO221" s="53">
        <f t="shared" si="1552"/>
        <v>1</v>
      </c>
      <c r="AP221" s="54">
        <f t="shared" si="1553"/>
        <v>2</v>
      </c>
      <c r="AQ221" s="49">
        <f t="shared" ref="AQ221:AR221" si="1554">SUM(AG221,AI221,AK221,AM221,AO221)</f>
        <v>5</v>
      </c>
      <c r="AR221" s="50">
        <f t="shared" si="1554"/>
        <v>11</v>
      </c>
      <c r="AS221" s="53">
        <f t="shared" si="1555"/>
        <v>1</v>
      </c>
      <c r="AT221" s="54">
        <f t="shared" si="1556"/>
        <v>3</v>
      </c>
      <c r="AU221" s="53">
        <f t="shared" si="1557"/>
        <v>0</v>
      </c>
      <c r="AV221" s="54">
        <f t="shared" si="1558"/>
        <v>0</v>
      </c>
      <c r="AW221" s="53">
        <f t="shared" si="1559"/>
        <v>2</v>
      </c>
      <c r="AX221" s="54">
        <f t="shared" si="1560"/>
        <v>4</v>
      </c>
      <c r="AY221" s="53">
        <f t="shared" si="1561"/>
        <v>1</v>
      </c>
      <c r="AZ221" s="54">
        <f t="shared" si="1562"/>
        <v>1</v>
      </c>
      <c r="BA221" s="53">
        <f t="shared" si="1563"/>
        <v>0</v>
      </c>
      <c r="BB221" s="54">
        <f t="shared" si="1564"/>
        <v>0</v>
      </c>
      <c r="BC221" s="49">
        <f t="shared" ref="BC221:BD221" si="1565">SUM(AS221,AU221,AW221,AY221,BA221)</f>
        <v>4</v>
      </c>
      <c r="BD221" s="50">
        <f t="shared" si="1565"/>
        <v>8</v>
      </c>
      <c r="BE221" s="68">
        <f t="shared" ref="BE221:BF221" si="1566">SUM(E221,G221,I221,O221,Q221,AC221,AQ221,BC221)</f>
        <v>19</v>
      </c>
      <c r="BF221" s="69">
        <f t="shared" si="1566"/>
        <v>35</v>
      </c>
      <c r="BG221" s="46" t="str">
        <f>BF221*'ОВгП_РАО'!$B$3</f>
        <v>#REF!</v>
      </c>
      <c r="BH221" s="46" t="str">
        <f>'ОВгП_РАО'!$B$3</f>
        <v>#REF!</v>
      </c>
    </row>
    <row r="222" ht="15.75" customHeight="1">
      <c r="A222" s="80">
        <f t="shared" si="1567"/>
        <v>46267</v>
      </c>
      <c r="B222" s="45" t="s">
        <v>116</v>
      </c>
      <c r="C222" s="46" t="s">
        <v>96</v>
      </c>
      <c r="D222" s="47" t="s">
        <v>98</v>
      </c>
      <c r="E222" s="73">
        <f t="shared" si="1518"/>
        <v>1</v>
      </c>
      <c r="F222" s="50">
        <f t="shared" si="1519"/>
        <v>3</v>
      </c>
      <c r="G222" s="73">
        <f t="shared" si="1520"/>
        <v>0</v>
      </c>
      <c r="H222" s="50">
        <f t="shared" si="1521"/>
        <v>0</v>
      </c>
      <c r="I222" s="73">
        <f t="shared" si="1522"/>
        <v>2</v>
      </c>
      <c r="J222" s="50">
        <f t="shared" si="1523"/>
        <v>4</v>
      </c>
      <c r="K222" s="53">
        <f t="shared" si="1524"/>
        <v>1</v>
      </c>
      <c r="L222" s="54">
        <f t="shared" si="1525"/>
        <v>3</v>
      </c>
      <c r="M222" s="53">
        <f t="shared" si="1526"/>
        <v>1</v>
      </c>
      <c r="N222" s="54">
        <f t="shared" si="1527"/>
        <v>3</v>
      </c>
      <c r="O222" s="49">
        <f t="shared" ref="O222:P222" si="1568">SUM(K222,M222)</f>
        <v>2</v>
      </c>
      <c r="P222" s="50">
        <f t="shared" si="1568"/>
        <v>6</v>
      </c>
      <c r="Q222" s="73">
        <f t="shared" si="1529"/>
        <v>1</v>
      </c>
      <c r="R222" s="50">
        <f t="shared" si="1530"/>
        <v>3</v>
      </c>
      <c r="S222" s="53">
        <f t="shared" si="1531"/>
        <v>2</v>
      </c>
      <c r="T222" s="54">
        <f t="shared" si="1532"/>
        <v>4</v>
      </c>
      <c r="U222" s="53">
        <f t="shared" si="1533"/>
        <v>1</v>
      </c>
      <c r="V222" s="54">
        <f t="shared" si="1534"/>
        <v>3</v>
      </c>
      <c r="W222" s="53">
        <f t="shared" si="1535"/>
        <v>1</v>
      </c>
      <c r="X222" s="54">
        <f t="shared" si="1536"/>
        <v>3</v>
      </c>
      <c r="Y222" s="53">
        <f t="shared" si="1537"/>
        <v>1</v>
      </c>
      <c r="Z222" s="54">
        <f t="shared" si="1538"/>
        <v>1</v>
      </c>
      <c r="AA222" s="53">
        <f t="shared" si="1539"/>
        <v>0</v>
      </c>
      <c r="AB222" s="54">
        <f t="shared" si="1540"/>
        <v>0</v>
      </c>
      <c r="AC222" s="49">
        <f t="shared" ref="AC222:AD222" si="1569">SUM(S222,U222,W222,Y222,AA222)</f>
        <v>5</v>
      </c>
      <c r="AD222" s="50">
        <f t="shared" si="1569"/>
        <v>11</v>
      </c>
      <c r="AE222" s="53">
        <f t="shared" si="1542"/>
        <v>1</v>
      </c>
      <c r="AF222" s="54">
        <f t="shared" si="1543"/>
        <v>2</v>
      </c>
      <c r="AG222" s="53">
        <f t="shared" si="1544"/>
        <v>1</v>
      </c>
      <c r="AH222" s="54">
        <f t="shared" si="1545"/>
        <v>1</v>
      </c>
      <c r="AI222" s="53">
        <f t="shared" si="1546"/>
        <v>2</v>
      </c>
      <c r="AJ222" s="54">
        <f t="shared" si="1547"/>
        <v>4</v>
      </c>
      <c r="AK222" s="53">
        <f t="shared" si="1548"/>
        <v>0</v>
      </c>
      <c r="AL222" s="54">
        <f t="shared" si="1549"/>
        <v>0</v>
      </c>
      <c r="AM222" s="53">
        <f t="shared" si="1550"/>
        <v>1</v>
      </c>
      <c r="AN222" s="54">
        <f t="shared" si="1551"/>
        <v>2</v>
      </c>
      <c r="AO222" s="53">
        <f t="shared" si="1552"/>
        <v>1</v>
      </c>
      <c r="AP222" s="54">
        <f t="shared" si="1553"/>
        <v>1</v>
      </c>
      <c r="AQ222" s="49">
        <f t="shared" ref="AQ222:AR222" si="1570">SUM(AG222,AI222,AK222,AM222,AO222)</f>
        <v>5</v>
      </c>
      <c r="AR222" s="50">
        <f t="shared" si="1570"/>
        <v>8</v>
      </c>
      <c r="AS222" s="53">
        <f t="shared" si="1555"/>
        <v>2</v>
      </c>
      <c r="AT222" s="54">
        <f t="shared" si="1556"/>
        <v>4</v>
      </c>
      <c r="AU222" s="53">
        <f t="shared" si="1557"/>
        <v>0</v>
      </c>
      <c r="AV222" s="54">
        <f t="shared" si="1558"/>
        <v>0</v>
      </c>
      <c r="AW222" s="53">
        <f t="shared" si="1559"/>
        <v>1</v>
      </c>
      <c r="AX222" s="54">
        <f t="shared" si="1560"/>
        <v>3</v>
      </c>
      <c r="AY222" s="53">
        <f t="shared" si="1561"/>
        <v>1</v>
      </c>
      <c r="AZ222" s="54">
        <f t="shared" si="1562"/>
        <v>2</v>
      </c>
      <c r="BA222" s="53">
        <f t="shared" si="1563"/>
        <v>1</v>
      </c>
      <c r="BB222" s="54">
        <f t="shared" si="1564"/>
        <v>2</v>
      </c>
      <c r="BC222" s="49">
        <f t="shared" ref="BC222:BD222" si="1571">SUM(AS222,AU222,AW222,AY222,BA222)</f>
        <v>5</v>
      </c>
      <c r="BD222" s="50">
        <f t="shared" si="1571"/>
        <v>11</v>
      </c>
      <c r="BE222" s="68">
        <f t="shared" ref="BE222:BF222" si="1572">SUM(E222,G222,I222,O222,Q222,AC222,AQ222,BC222)</f>
        <v>21</v>
      </c>
      <c r="BF222" s="69">
        <f t="shared" si="1572"/>
        <v>46</v>
      </c>
      <c r="BG222" s="46" t="str">
        <f>BF222*'ОВгП_РАО'!$B$4</f>
        <v>#REF!</v>
      </c>
      <c r="BH222" s="46" t="str">
        <f>'ОВгП_РАО'!$B$4</f>
        <v>#REF!</v>
      </c>
    </row>
    <row r="223" ht="15.75" customHeight="1">
      <c r="A223" s="80">
        <f t="shared" si="1567"/>
        <v>46267</v>
      </c>
      <c r="B223" s="45" t="s">
        <v>117</v>
      </c>
      <c r="C223" s="46" t="s">
        <v>96</v>
      </c>
      <c r="D223" s="47" t="s">
        <v>98</v>
      </c>
      <c r="E223" s="73">
        <f t="shared" si="1518"/>
        <v>1</v>
      </c>
      <c r="F223" s="50">
        <f t="shared" si="1519"/>
        <v>3</v>
      </c>
      <c r="G223" s="73">
        <f t="shared" si="1520"/>
        <v>0</v>
      </c>
      <c r="H223" s="50">
        <f t="shared" si="1521"/>
        <v>0</v>
      </c>
      <c r="I223" s="73">
        <f t="shared" si="1522"/>
        <v>0</v>
      </c>
      <c r="J223" s="50">
        <f t="shared" si="1523"/>
        <v>0</v>
      </c>
      <c r="K223" s="53">
        <f t="shared" si="1524"/>
        <v>1</v>
      </c>
      <c r="L223" s="54">
        <f t="shared" si="1525"/>
        <v>3</v>
      </c>
      <c r="M223" s="53">
        <f t="shared" si="1526"/>
        <v>1</v>
      </c>
      <c r="N223" s="54">
        <f t="shared" si="1527"/>
        <v>3</v>
      </c>
      <c r="O223" s="49">
        <f t="shared" ref="O223:P223" si="1573">SUM(K223,M223)</f>
        <v>2</v>
      </c>
      <c r="P223" s="50">
        <f t="shared" si="1573"/>
        <v>6</v>
      </c>
      <c r="Q223" s="73">
        <f t="shared" si="1529"/>
        <v>1</v>
      </c>
      <c r="R223" s="50">
        <f t="shared" si="1530"/>
        <v>1</v>
      </c>
      <c r="S223" s="53">
        <f t="shared" si="1531"/>
        <v>1</v>
      </c>
      <c r="T223" s="54">
        <f t="shared" si="1532"/>
        <v>2</v>
      </c>
      <c r="U223" s="53">
        <f t="shared" si="1533"/>
        <v>2</v>
      </c>
      <c r="V223" s="54">
        <f t="shared" si="1534"/>
        <v>4</v>
      </c>
      <c r="W223" s="53">
        <f t="shared" si="1535"/>
        <v>2</v>
      </c>
      <c r="X223" s="54">
        <f t="shared" si="1536"/>
        <v>4</v>
      </c>
      <c r="Y223" s="53">
        <f t="shared" si="1537"/>
        <v>2</v>
      </c>
      <c r="Z223" s="54">
        <f t="shared" si="1538"/>
        <v>4</v>
      </c>
      <c r="AA223" s="53">
        <f t="shared" si="1539"/>
        <v>2</v>
      </c>
      <c r="AB223" s="54">
        <f t="shared" si="1540"/>
        <v>4</v>
      </c>
      <c r="AC223" s="49">
        <f t="shared" ref="AC223:AD223" si="1574">SUM(S223,U223,W223,Y223,AA223)</f>
        <v>9</v>
      </c>
      <c r="AD223" s="50">
        <f t="shared" si="1574"/>
        <v>18</v>
      </c>
      <c r="AE223" s="53">
        <f t="shared" si="1542"/>
        <v>2</v>
      </c>
      <c r="AF223" s="54">
        <f t="shared" si="1543"/>
        <v>4</v>
      </c>
      <c r="AG223" s="53">
        <f t="shared" si="1544"/>
        <v>1</v>
      </c>
      <c r="AH223" s="54">
        <f t="shared" si="1545"/>
        <v>1</v>
      </c>
      <c r="AI223" s="53">
        <f t="shared" si="1546"/>
        <v>1</v>
      </c>
      <c r="AJ223" s="54">
        <f t="shared" si="1547"/>
        <v>2</v>
      </c>
      <c r="AK223" s="53">
        <f t="shared" si="1548"/>
        <v>1</v>
      </c>
      <c r="AL223" s="54">
        <f t="shared" si="1549"/>
        <v>2</v>
      </c>
      <c r="AM223" s="53">
        <f t="shared" si="1550"/>
        <v>1</v>
      </c>
      <c r="AN223" s="54">
        <f t="shared" si="1551"/>
        <v>2</v>
      </c>
      <c r="AO223" s="53">
        <f t="shared" si="1552"/>
        <v>1</v>
      </c>
      <c r="AP223" s="54">
        <f t="shared" si="1553"/>
        <v>3</v>
      </c>
      <c r="AQ223" s="49">
        <f t="shared" ref="AQ223:AR223" si="1575">SUM(AG223,AI223,AK223,AM223,AO223)</f>
        <v>5</v>
      </c>
      <c r="AR223" s="50">
        <f t="shared" si="1575"/>
        <v>10</v>
      </c>
      <c r="AS223" s="53">
        <f t="shared" si="1555"/>
        <v>1</v>
      </c>
      <c r="AT223" s="54">
        <f t="shared" si="1556"/>
        <v>3</v>
      </c>
      <c r="AU223" s="53">
        <f t="shared" si="1557"/>
        <v>0</v>
      </c>
      <c r="AV223" s="54">
        <f t="shared" si="1558"/>
        <v>0</v>
      </c>
      <c r="AW223" s="53">
        <f t="shared" si="1559"/>
        <v>1</v>
      </c>
      <c r="AX223" s="54">
        <f t="shared" si="1560"/>
        <v>3</v>
      </c>
      <c r="AY223" s="53">
        <f t="shared" si="1561"/>
        <v>0</v>
      </c>
      <c r="AZ223" s="54">
        <f t="shared" si="1562"/>
        <v>0</v>
      </c>
      <c r="BA223" s="53">
        <f t="shared" si="1563"/>
        <v>1</v>
      </c>
      <c r="BB223" s="54">
        <f t="shared" si="1564"/>
        <v>3</v>
      </c>
      <c r="BC223" s="49">
        <f t="shared" ref="BC223:BD223" si="1576">SUM(AS223,AU223,AW223,AY223,BA223)</f>
        <v>3</v>
      </c>
      <c r="BD223" s="50">
        <f t="shared" si="1576"/>
        <v>9</v>
      </c>
      <c r="BE223" s="68">
        <f t="shared" ref="BE223:BF223" si="1577">SUM(E223,G223,I223,O223,Q223,AC223,AQ223,BC223)</f>
        <v>21</v>
      </c>
      <c r="BF223" s="69">
        <f t="shared" si="1577"/>
        <v>47</v>
      </c>
      <c r="BG223" s="46" t="str">
        <f>BF223*'ОВгП_РАО'!$B$5</f>
        <v>#REF!</v>
      </c>
      <c r="BH223" s="46" t="str">
        <f>'ОВгП_РАО'!$B$5</f>
        <v>#REF!</v>
      </c>
    </row>
    <row r="224" ht="15.75" customHeight="1">
      <c r="A224" s="80">
        <f t="shared" si="1567"/>
        <v>46267</v>
      </c>
      <c r="B224" s="45" t="s">
        <v>118</v>
      </c>
      <c r="C224" s="45" t="s">
        <v>96</v>
      </c>
      <c r="D224" s="47" t="s">
        <v>98</v>
      </c>
      <c r="E224" s="73">
        <f t="shared" si="1518"/>
        <v>2</v>
      </c>
      <c r="F224" s="50">
        <f t="shared" si="1519"/>
        <v>4</v>
      </c>
      <c r="G224" s="73">
        <f t="shared" si="1520"/>
        <v>2</v>
      </c>
      <c r="H224" s="50">
        <f t="shared" si="1521"/>
        <v>4</v>
      </c>
      <c r="I224" s="73">
        <f t="shared" si="1522"/>
        <v>1</v>
      </c>
      <c r="J224" s="50">
        <f t="shared" si="1523"/>
        <v>3</v>
      </c>
      <c r="K224" s="53">
        <f t="shared" si="1524"/>
        <v>1</v>
      </c>
      <c r="L224" s="54">
        <f t="shared" si="1525"/>
        <v>1</v>
      </c>
      <c r="M224" s="53">
        <f t="shared" si="1526"/>
        <v>1</v>
      </c>
      <c r="N224" s="54">
        <f t="shared" si="1527"/>
        <v>3</v>
      </c>
      <c r="O224" s="49">
        <f t="shared" ref="O224:P224" si="1578">SUM(K224,M224)</f>
        <v>2</v>
      </c>
      <c r="P224" s="50">
        <f t="shared" si="1578"/>
        <v>4</v>
      </c>
      <c r="Q224" s="73">
        <f t="shared" si="1529"/>
        <v>1</v>
      </c>
      <c r="R224" s="50">
        <f t="shared" si="1530"/>
        <v>3</v>
      </c>
      <c r="S224" s="53">
        <f t="shared" si="1531"/>
        <v>1</v>
      </c>
      <c r="T224" s="54">
        <f t="shared" si="1532"/>
        <v>2</v>
      </c>
      <c r="U224" s="53">
        <f t="shared" si="1533"/>
        <v>2</v>
      </c>
      <c r="V224" s="54">
        <f t="shared" si="1534"/>
        <v>4</v>
      </c>
      <c r="W224" s="53">
        <f t="shared" si="1535"/>
        <v>1</v>
      </c>
      <c r="X224" s="54">
        <f t="shared" si="1536"/>
        <v>1</v>
      </c>
      <c r="Y224" s="53">
        <f t="shared" si="1537"/>
        <v>2</v>
      </c>
      <c r="Z224" s="54">
        <f t="shared" si="1538"/>
        <v>4</v>
      </c>
      <c r="AA224" s="53">
        <f t="shared" si="1539"/>
        <v>1</v>
      </c>
      <c r="AB224" s="54">
        <f t="shared" si="1540"/>
        <v>3</v>
      </c>
      <c r="AC224" s="49">
        <f t="shared" ref="AC224:AD224" si="1579">SUM(S224,U224,W224,Y224,AA224)</f>
        <v>7</v>
      </c>
      <c r="AD224" s="50">
        <f t="shared" si="1579"/>
        <v>14</v>
      </c>
      <c r="AE224" s="53">
        <f t="shared" si="1542"/>
        <v>2</v>
      </c>
      <c r="AF224" s="54">
        <f t="shared" si="1543"/>
        <v>4</v>
      </c>
      <c r="AG224" s="53">
        <f t="shared" si="1544"/>
        <v>1</v>
      </c>
      <c r="AH224" s="54">
        <f t="shared" si="1545"/>
        <v>3</v>
      </c>
      <c r="AI224" s="53">
        <f t="shared" si="1546"/>
        <v>0</v>
      </c>
      <c r="AJ224" s="54">
        <f t="shared" si="1547"/>
        <v>0</v>
      </c>
      <c r="AK224" s="53">
        <f t="shared" si="1548"/>
        <v>1</v>
      </c>
      <c r="AL224" s="54">
        <f t="shared" si="1549"/>
        <v>2</v>
      </c>
      <c r="AM224" s="53">
        <f t="shared" si="1550"/>
        <v>1</v>
      </c>
      <c r="AN224" s="54">
        <f t="shared" si="1551"/>
        <v>3</v>
      </c>
      <c r="AO224" s="53">
        <f t="shared" si="1552"/>
        <v>1</v>
      </c>
      <c r="AP224" s="54">
        <f t="shared" si="1553"/>
        <v>1</v>
      </c>
      <c r="AQ224" s="49">
        <f t="shared" ref="AQ224:AR224" si="1580">SUM(AG224,AI224,AK224,AM224,AO224)</f>
        <v>4</v>
      </c>
      <c r="AR224" s="50">
        <f t="shared" si="1580"/>
        <v>9</v>
      </c>
      <c r="AS224" s="53">
        <f t="shared" si="1555"/>
        <v>2</v>
      </c>
      <c r="AT224" s="54">
        <f t="shared" si="1556"/>
        <v>4</v>
      </c>
      <c r="AU224" s="53">
        <f t="shared" si="1557"/>
        <v>1</v>
      </c>
      <c r="AV224" s="54">
        <f t="shared" si="1558"/>
        <v>3</v>
      </c>
      <c r="AW224" s="53">
        <f t="shared" si="1559"/>
        <v>1</v>
      </c>
      <c r="AX224" s="54">
        <f t="shared" si="1560"/>
        <v>3</v>
      </c>
      <c r="AY224" s="53">
        <f t="shared" si="1561"/>
        <v>1</v>
      </c>
      <c r="AZ224" s="54">
        <f t="shared" si="1562"/>
        <v>2</v>
      </c>
      <c r="BA224" s="53">
        <f t="shared" si="1563"/>
        <v>1</v>
      </c>
      <c r="BB224" s="54">
        <f t="shared" si="1564"/>
        <v>1</v>
      </c>
      <c r="BC224" s="49">
        <f t="shared" ref="BC224:BD224" si="1581">SUM(AS224,AU224,AW224,AY224,BA224)</f>
        <v>6</v>
      </c>
      <c r="BD224" s="50">
        <f t="shared" si="1581"/>
        <v>13</v>
      </c>
      <c r="BE224" s="68">
        <f t="shared" ref="BE224:BF224" si="1582">SUM(E224,G224,I224,O224,Q224,AC224,AQ224,BC224)</f>
        <v>25</v>
      </c>
      <c r="BF224" s="69">
        <f t="shared" si="1582"/>
        <v>54</v>
      </c>
      <c r="BG224" s="46" t="str">
        <f>BF224*'ОВгП_РАО'!$B$6</f>
        <v>#REF!</v>
      </c>
      <c r="BH224" s="46" t="str">
        <f>'ОВгП_РАО'!$B$6</f>
        <v>#REF!</v>
      </c>
    </row>
    <row r="225" ht="15.75" customHeight="1">
      <c r="A225" s="80">
        <f t="shared" si="1567"/>
        <v>46267</v>
      </c>
      <c r="B225" s="46" t="s">
        <v>119</v>
      </c>
      <c r="C225" s="45" t="s">
        <v>96</v>
      </c>
      <c r="D225" s="47" t="s">
        <v>120</v>
      </c>
      <c r="E225" s="73">
        <f t="shared" si="1518"/>
        <v>1</v>
      </c>
      <c r="F225" s="50">
        <f t="shared" si="1519"/>
        <v>2</v>
      </c>
      <c r="G225" s="73">
        <f t="shared" si="1520"/>
        <v>1</v>
      </c>
      <c r="H225" s="50">
        <f t="shared" si="1521"/>
        <v>2</v>
      </c>
      <c r="I225" s="73">
        <f t="shared" si="1522"/>
        <v>0</v>
      </c>
      <c r="J225" s="50">
        <f t="shared" si="1523"/>
        <v>0</v>
      </c>
      <c r="K225" s="53">
        <f t="shared" si="1524"/>
        <v>1</v>
      </c>
      <c r="L225" s="54">
        <f t="shared" si="1525"/>
        <v>1</v>
      </c>
      <c r="M225" s="53">
        <f t="shared" si="1526"/>
        <v>1</v>
      </c>
      <c r="N225" s="54">
        <f t="shared" si="1527"/>
        <v>1</v>
      </c>
      <c r="O225" s="49">
        <f t="shared" ref="O225:P225" si="1583">SUM(K225,M225)</f>
        <v>2</v>
      </c>
      <c r="P225" s="50">
        <f t="shared" si="1583"/>
        <v>2</v>
      </c>
      <c r="Q225" s="73">
        <f t="shared" si="1529"/>
        <v>0</v>
      </c>
      <c r="R225" s="50">
        <f t="shared" si="1530"/>
        <v>0</v>
      </c>
      <c r="S225" s="53">
        <f t="shared" si="1531"/>
        <v>2</v>
      </c>
      <c r="T225" s="54">
        <f t="shared" si="1532"/>
        <v>4</v>
      </c>
      <c r="U225" s="53">
        <f t="shared" si="1533"/>
        <v>1</v>
      </c>
      <c r="V225" s="54">
        <f t="shared" si="1534"/>
        <v>3</v>
      </c>
      <c r="W225" s="53">
        <f t="shared" si="1535"/>
        <v>1</v>
      </c>
      <c r="X225" s="54">
        <f t="shared" si="1536"/>
        <v>3</v>
      </c>
      <c r="Y225" s="53">
        <f t="shared" si="1537"/>
        <v>0</v>
      </c>
      <c r="Z225" s="54">
        <f t="shared" si="1538"/>
        <v>0</v>
      </c>
      <c r="AA225" s="53">
        <f t="shared" si="1539"/>
        <v>2</v>
      </c>
      <c r="AB225" s="54">
        <f t="shared" si="1540"/>
        <v>4</v>
      </c>
      <c r="AC225" s="49">
        <f t="shared" ref="AC225:AD225" si="1584">SUM(S225,U225,W225,Y225,AA225)</f>
        <v>6</v>
      </c>
      <c r="AD225" s="50">
        <f t="shared" si="1584"/>
        <v>14</v>
      </c>
      <c r="AE225" s="53">
        <f t="shared" si="1542"/>
        <v>1</v>
      </c>
      <c r="AF225" s="54">
        <f t="shared" si="1543"/>
        <v>2</v>
      </c>
      <c r="AG225" s="53">
        <f t="shared" si="1544"/>
        <v>1</v>
      </c>
      <c r="AH225" s="54">
        <f t="shared" si="1545"/>
        <v>1</v>
      </c>
      <c r="AI225" s="53">
        <f t="shared" si="1546"/>
        <v>0</v>
      </c>
      <c r="AJ225" s="54">
        <f t="shared" si="1547"/>
        <v>0</v>
      </c>
      <c r="AK225" s="53">
        <f t="shared" si="1548"/>
        <v>2</v>
      </c>
      <c r="AL225" s="54">
        <f t="shared" si="1549"/>
        <v>4</v>
      </c>
      <c r="AM225" s="53">
        <f t="shared" si="1550"/>
        <v>2</v>
      </c>
      <c r="AN225" s="54">
        <f t="shared" si="1551"/>
        <v>4</v>
      </c>
      <c r="AO225" s="53">
        <f t="shared" si="1552"/>
        <v>1</v>
      </c>
      <c r="AP225" s="54">
        <f t="shared" si="1553"/>
        <v>2</v>
      </c>
      <c r="AQ225" s="49">
        <f t="shared" ref="AQ225:AR225" si="1585">SUM(AG225,AI225,AK225,AM225,AO225)</f>
        <v>6</v>
      </c>
      <c r="AR225" s="50">
        <f t="shared" si="1585"/>
        <v>11</v>
      </c>
      <c r="AS225" s="53">
        <f t="shared" si="1555"/>
        <v>1</v>
      </c>
      <c r="AT225" s="54">
        <f t="shared" si="1556"/>
        <v>1</v>
      </c>
      <c r="AU225" s="53">
        <f t="shared" si="1557"/>
        <v>1</v>
      </c>
      <c r="AV225" s="54">
        <f t="shared" si="1558"/>
        <v>1</v>
      </c>
      <c r="AW225" s="53">
        <f t="shared" si="1559"/>
        <v>0</v>
      </c>
      <c r="AX225" s="54">
        <f t="shared" si="1560"/>
        <v>0</v>
      </c>
      <c r="AY225" s="53">
        <f t="shared" si="1561"/>
        <v>1</v>
      </c>
      <c r="AZ225" s="54">
        <f t="shared" si="1562"/>
        <v>3</v>
      </c>
      <c r="BA225" s="53">
        <f t="shared" si="1563"/>
        <v>1</v>
      </c>
      <c r="BB225" s="54">
        <f t="shared" si="1564"/>
        <v>2</v>
      </c>
      <c r="BC225" s="49">
        <f t="shared" ref="BC225:BD225" si="1586">SUM(AS225,AU225,AW225,AY225,BA225)</f>
        <v>4</v>
      </c>
      <c r="BD225" s="50">
        <f t="shared" si="1586"/>
        <v>7</v>
      </c>
      <c r="BE225" s="68">
        <f t="shared" ref="BE225:BF225" si="1587">SUM(E225,G225,I225,O225,Q225,AC225,AQ225,BC225)</f>
        <v>20</v>
      </c>
      <c r="BF225" s="69">
        <f t="shared" si="1587"/>
        <v>38</v>
      </c>
      <c r="BG225" s="46" t="str">
        <f>BF225*'ОВгП_РАО'!$B$7</f>
        <v>#REF!</v>
      </c>
      <c r="BH225" s="46" t="str">
        <f>'ОВгП_РАО'!$B$7</f>
        <v>#REF!</v>
      </c>
    </row>
    <row r="226" ht="15.75" customHeight="1">
      <c r="A226" s="80">
        <f t="shared" si="1567"/>
        <v>46267</v>
      </c>
      <c r="B226" s="45" t="s">
        <v>121</v>
      </c>
      <c r="C226" s="47" t="s">
        <v>122</v>
      </c>
      <c r="D226" s="47" t="s">
        <v>123</v>
      </c>
      <c r="E226" s="73">
        <f t="shared" si="1518"/>
        <v>1</v>
      </c>
      <c r="F226" s="50">
        <f t="shared" si="1519"/>
        <v>2</v>
      </c>
      <c r="G226" s="73">
        <f t="shared" si="1520"/>
        <v>1</v>
      </c>
      <c r="H226" s="50">
        <f t="shared" si="1521"/>
        <v>1</v>
      </c>
      <c r="I226" s="73">
        <f t="shared" si="1522"/>
        <v>2</v>
      </c>
      <c r="J226" s="50">
        <f t="shared" si="1523"/>
        <v>4</v>
      </c>
      <c r="K226" s="53">
        <f t="shared" si="1524"/>
        <v>0</v>
      </c>
      <c r="L226" s="54">
        <f t="shared" si="1525"/>
        <v>0</v>
      </c>
      <c r="M226" s="53">
        <f t="shared" si="1526"/>
        <v>0</v>
      </c>
      <c r="N226" s="54">
        <f t="shared" si="1527"/>
        <v>0</v>
      </c>
      <c r="O226" s="49">
        <f t="shared" ref="O226:P226" si="1588">SUM(K226,M226)</f>
        <v>0</v>
      </c>
      <c r="P226" s="50">
        <f t="shared" si="1588"/>
        <v>0</v>
      </c>
      <c r="Q226" s="73">
        <f t="shared" si="1529"/>
        <v>1</v>
      </c>
      <c r="R226" s="50">
        <f t="shared" si="1530"/>
        <v>1</v>
      </c>
      <c r="S226" s="53">
        <f t="shared" si="1531"/>
        <v>1</v>
      </c>
      <c r="T226" s="54">
        <f t="shared" si="1532"/>
        <v>2</v>
      </c>
      <c r="U226" s="53">
        <f t="shared" si="1533"/>
        <v>2</v>
      </c>
      <c r="V226" s="54">
        <f t="shared" si="1534"/>
        <v>4</v>
      </c>
      <c r="W226" s="53">
        <f t="shared" si="1535"/>
        <v>1</v>
      </c>
      <c r="X226" s="54">
        <f t="shared" si="1536"/>
        <v>2</v>
      </c>
      <c r="Y226" s="53">
        <f t="shared" si="1537"/>
        <v>1</v>
      </c>
      <c r="Z226" s="54">
        <f t="shared" si="1538"/>
        <v>1</v>
      </c>
      <c r="AA226" s="53">
        <f t="shared" si="1539"/>
        <v>0</v>
      </c>
      <c r="AB226" s="54">
        <f t="shared" si="1540"/>
        <v>0</v>
      </c>
      <c r="AC226" s="49">
        <f t="shared" ref="AC226:AD226" si="1589">SUM(S226,U226,W226,Y226,AA226)</f>
        <v>5</v>
      </c>
      <c r="AD226" s="50">
        <f t="shared" si="1589"/>
        <v>9</v>
      </c>
      <c r="AE226" s="53">
        <f t="shared" si="1542"/>
        <v>2</v>
      </c>
      <c r="AF226" s="54">
        <f t="shared" si="1543"/>
        <v>4</v>
      </c>
      <c r="AG226" s="53">
        <f t="shared" si="1544"/>
        <v>0</v>
      </c>
      <c r="AH226" s="54">
        <f t="shared" si="1545"/>
        <v>0</v>
      </c>
      <c r="AI226" s="53">
        <f t="shared" si="1546"/>
        <v>1</v>
      </c>
      <c r="AJ226" s="54">
        <f t="shared" si="1547"/>
        <v>1</v>
      </c>
      <c r="AK226" s="53">
        <f t="shared" si="1548"/>
        <v>2</v>
      </c>
      <c r="AL226" s="54">
        <f t="shared" si="1549"/>
        <v>4</v>
      </c>
      <c r="AM226" s="53">
        <f t="shared" si="1550"/>
        <v>1</v>
      </c>
      <c r="AN226" s="54">
        <f t="shared" si="1551"/>
        <v>3</v>
      </c>
      <c r="AO226" s="53">
        <f t="shared" si="1552"/>
        <v>1</v>
      </c>
      <c r="AP226" s="54">
        <f t="shared" si="1553"/>
        <v>2</v>
      </c>
      <c r="AQ226" s="49">
        <f t="shared" ref="AQ226:AR226" si="1590">SUM(AG226,AI226,AK226,AM226,AO226)</f>
        <v>5</v>
      </c>
      <c r="AR226" s="50">
        <f t="shared" si="1590"/>
        <v>10</v>
      </c>
      <c r="AS226" s="53">
        <f t="shared" si="1555"/>
        <v>2</v>
      </c>
      <c r="AT226" s="54">
        <f t="shared" si="1556"/>
        <v>4</v>
      </c>
      <c r="AU226" s="53">
        <f t="shared" si="1557"/>
        <v>1</v>
      </c>
      <c r="AV226" s="54">
        <f t="shared" si="1558"/>
        <v>3</v>
      </c>
      <c r="AW226" s="53">
        <f t="shared" si="1559"/>
        <v>1</v>
      </c>
      <c r="AX226" s="54">
        <f t="shared" si="1560"/>
        <v>2</v>
      </c>
      <c r="AY226" s="53">
        <f t="shared" si="1561"/>
        <v>1</v>
      </c>
      <c r="AZ226" s="54">
        <f t="shared" si="1562"/>
        <v>2</v>
      </c>
      <c r="BA226" s="53">
        <f t="shared" si="1563"/>
        <v>2</v>
      </c>
      <c r="BB226" s="54">
        <f t="shared" si="1564"/>
        <v>4</v>
      </c>
      <c r="BC226" s="49">
        <f t="shared" ref="BC226:BD226" si="1591">SUM(AS226,AU226,AW226,AY226,BA226)</f>
        <v>7</v>
      </c>
      <c r="BD226" s="50">
        <f t="shared" si="1591"/>
        <v>15</v>
      </c>
      <c r="BE226" s="68">
        <f t="shared" ref="BE226:BF226" si="1592">SUM(E226,G226,I226,O226,Q226,AC226,AQ226,BC226)</f>
        <v>22</v>
      </c>
      <c r="BF226" s="69">
        <f t="shared" si="1592"/>
        <v>42</v>
      </c>
      <c r="BG226" s="46" t="str">
        <f>BF226*'ОВгП_РАО'!$B$8</f>
        <v>#REF!</v>
      </c>
      <c r="BH226" s="46" t="str">
        <f>'ОВгП_РАО'!$B$8</f>
        <v>#REF!</v>
      </c>
    </row>
    <row r="227" ht="15.75" customHeight="1">
      <c r="A227" s="80">
        <f t="shared" si="1567"/>
        <v>46267</v>
      </c>
      <c r="B227" s="46" t="s">
        <v>124</v>
      </c>
      <c r="C227" s="46" t="s">
        <v>125</v>
      </c>
      <c r="D227" s="46" t="s">
        <v>126</v>
      </c>
      <c r="E227" s="73">
        <f t="shared" si="1518"/>
        <v>0</v>
      </c>
      <c r="F227" s="50">
        <f t="shared" si="1519"/>
        <v>0</v>
      </c>
      <c r="G227" s="73">
        <f t="shared" si="1520"/>
        <v>1</v>
      </c>
      <c r="H227" s="50">
        <f t="shared" si="1521"/>
        <v>3</v>
      </c>
      <c r="I227" s="73">
        <f t="shared" si="1522"/>
        <v>0</v>
      </c>
      <c r="J227" s="50">
        <f t="shared" si="1523"/>
        <v>0</v>
      </c>
      <c r="K227" s="53">
        <f t="shared" si="1524"/>
        <v>1</v>
      </c>
      <c r="L227" s="54">
        <f t="shared" si="1525"/>
        <v>1</v>
      </c>
      <c r="M227" s="53">
        <f t="shared" si="1526"/>
        <v>0</v>
      </c>
      <c r="N227" s="54">
        <f t="shared" si="1527"/>
        <v>0</v>
      </c>
      <c r="O227" s="49">
        <f t="shared" ref="O227:P227" si="1593">SUM(K227,M227)</f>
        <v>1</v>
      </c>
      <c r="P227" s="50">
        <f t="shared" si="1593"/>
        <v>1</v>
      </c>
      <c r="Q227" s="73">
        <f t="shared" si="1529"/>
        <v>2</v>
      </c>
      <c r="R227" s="50">
        <f t="shared" si="1530"/>
        <v>4</v>
      </c>
      <c r="S227" s="53">
        <f t="shared" si="1531"/>
        <v>2</v>
      </c>
      <c r="T227" s="54">
        <f t="shared" si="1532"/>
        <v>4</v>
      </c>
      <c r="U227" s="53">
        <f t="shared" si="1533"/>
        <v>1</v>
      </c>
      <c r="V227" s="54">
        <f t="shared" si="1534"/>
        <v>1</v>
      </c>
      <c r="W227" s="53">
        <f t="shared" si="1535"/>
        <v>0</v>
      </c>
      <c r="X227" s="54">
        <f t="shared" si="1536"/>
        <v>0</v>
      </c>
      <c r="Y227" s="53">
        <f t="shared" si="1537"/>
        <v>0</v>
      </c>
      <c r="Z227" s="54">
        <f t="shared" si="1538"/>
        <v>0</v>
      </c>
      <c r="AA227" s="53">
        <f t="shared" si="1539"/>
        <v>2</v>
      </c>
      <c r="AB227" s="54">
        <f t="shared" si="1540"/>
        <v>4</v>
      </c>
      <c r="AC227" s="49">
        <f t="shared" ref="AC227:AD227" si="1594">SUM(S227,U227,W227,Y227,AA227)</f>
        <v>5</v>
      </c>
      <c r="AD227" s="50">
        <f t="shared" si="1594"/>
        <v>9</v>
      </c>
      <c r="AE227" s="53">
        <f t="shared" si="1542"/>
        <v>1</v>
      </c>
      <c r="AF227" s="54">
        <f t="shared" si="1543"/>
        <v>2</v>
      </c>
      <c r="AG227" s="53">
        <f t="shared" si="1544"/>
        <v>0</v>
      </c>
      <c r="AH227" s="54">
        <f t="shared" si="1545"/>
        <v>0</v>
      </c>
      <c r="AI227" s="53">
        <f t="shared" si="1546"/>
        <v>1</v>
      </c>
      <c r="AJ227" s="54">
        <f t="shared" si="1547"/>
        <v>3</v>
      </c>
      <c r="AK227" s="53">
        <f t="shared" si="1548"/>
        <v>2</v>
      </c>
      <c r="AL227" s="54">
        <f t="shared" si="1549"/>
        <v>4</v>
      </c>
      <c r="AM227" s="53">
        <f t="shared" si="1550"/>
        <v>1</v>
      </c>
      <c r="AN227" s="54">
        <f t="shared" si="1551"/>
        <v>1</v>
      </c>
      <c r="AO227" s="53">
        <f t="shared" si="1552"/>
        <v>0</v>
      </c>
      <c r="AP227" s="54">
        <f t="shared" si="1553"/>
        <v>0</v>
      </c>
      <c r="AQ227" s="49">
        <f t="shared" ref="AQ227:AR227" si="1595">SUM(AG227,AI227,AK227,AM227,AO227)</f>
        <v>4</v>
      </c>
      <c r="AR227" s="50">
        <f t="shared" si="1595"/>
        <v>8</v>
      </c>
      <c r="AS227" s="53">
        <f t="shared" si="1555"/>
        <v>2</v>
      </c>
      <c r="AT227" s="54">
        <f t="shared" si="1556"/>
        <v>4</v>
      </c>
      <c r="AU227" s="53">
        <f t="shared" si="1557"/>
        <v>1</v>
      </c>
      <c r="AV227" s="54">
        <f t="shared" si="1558"/>
        <v>1</v>
      </c>
      <c r="AW227" s="53">
        <f t="shared" si="1559"/>
        <v>1</v>
      </c>
      <c r="AX227" s="54">
        <f t="shared" si="1560"/>
        <v>1</v>
      </c>
      <c r="AY227" s="53">
        <f t="shared" si="1561"/>
        <v>0</v>
      </c>
      <c r="AZ227" s="54">
        <f t="shared" si="1562"/>
        <v>0</v>
      </c>
      <c r="BA227" s="53">
        <f t="shared" si="1563"/>
        <v>1</v>
      </c>
      <c r="BB227" s="54">
        <f t="shared" si="1564"/>
        <v>3</v>
      </c>
      <c r="BC227" s="49">
        <f t="shared" ref="BC227:BD227" si="1596">SUM(AS227,AU227,AW227,AY227,BA227)</f>
        <v>5</v>
      </c>
      <c r="BD227" s="50">
        <f t="shared" si="1596"/>
        <v>9</v>
      </c>
      <c r="BE227" s="68">
        <f t="shared" ref="BE227:BF227" si="1597">SUM(E227,G227,I227,O227,Q227,AC227,AQ227,BC227)</f>
        <v>18</v>
      </c>
      <c r="BF227" s="69">
        <f t="shared" si="1597"/>
        <v>34</v>
      </c>
      <c r="BG227" s="46" t="str">
        <f>BF227*'ОВгП_РАО'!$B$9</f>
        <v>#REF!</v>
      </c>
      <c r="BH227" s="46" t="str">
        <f>'ОВгП_РАО'!$B$9</f>
        <v>#REF!</v>
      </c>
    </row>
    <row r="228" ht="15.75" customHeight="1">
      <c r="A228" s="80">
        <f t="shared" si="1567"/>
        <v>46267</v>
      </c>
      <c r="B228" s="46" t="s">
        <v>127</v>
      </c>
      <c r="C228" s="46" t="s">
        <v>125</v>
      </c>
      <c r="D228" s="46" t="s">
        <v>126</v>
      </c>
      <c r="E228" s="73">
        <f t="shared" si="1518"/>
        <v>1</v>
      </c>
      <c r="F228" s="50">
        <f t="shared" si="1519"/>
        <v>1</v>
      </c>
      <c r="G228" s="73">
        <f t="shared" si="1520"/>
        <v>1</v>
      </c>
      <c r="H228" s="50">
        <f t="shared" si="1521"/>
        <v>3</v>
      </c>
      <c r="I228" s="73">
        <f t="shared" si="1522"/>
        <v>1</v>
      </c>
      <c r="J228" s="50">
        <f t="shared" si="1523"/>
        <v>1</v>
      </c>
      <c r="K228" s="53">
        <f t="shared" si="1524"/>
        <v>1</v>
      </c>
      <c r="L228" s="54">
        <f t="shared" si="1525"/>
        <v>3</v>
      </c>
      <c r="M228" s="53">
        <f t="shared" si="1526"/>
        <v>1</v>
      </c>
      <c r="N228" s="54">
        <f t="shared" si="1527"/>
        <v>1</v>
      </c>
      <c r="O228" s="49">
        <f t="shared" ref="O228:P228" si="1598">SUM(K228,M228)</f>
        <v>2</v>
      </c>
      <c r="P228" s="50">
        <f t="shared" si="1598"/>
        <v>4</v>
      </c>
      <c r="Q228" s="73">
        <f t="shared" si="1529"/>
        <v>1</v>
      </c>
      <c r="R228" s="50">
        <f t="shared" si="1530"/>
        <v>2</v>
      </c>
      <c r="S228" s="53">
        <f t="shared" si="1531"/>
        <v>1</v>
      </c>
      <c r="T228" s="54">
        <f t="shared" si="1532"/>
        <v>2</v>
      </c>
      <c r="U228" s="53">
        <f t="shared" si="1533"/>
        <v>1</v>
      </c>
      <c r="V228" s="54">
        <f t="shared" si="1534"/>
        <v>3</v>
      </c>
      <c r="W228" s="53">
        <f t="shared" si="1535"/>
        <v>0</v>
      </c>
      <c r="X228" s="54">
        <f t="shared" si="1536"/>
        <v>0</v>
      </c>
      <c r="Y228" s="53">
        <f t="shared" si="1537"/>
        <v>0</v>
      </c>
      <c r="Z228" s="54">
        <f t="shared" si="1538"/>
        <v>0</v>
      </c>
      <c r="AA228" s="53">
        <f t="shared" si="1539"/>
        <v>1</v>
      </c>
      <c r="AB228" s="54">
        <f t="shared" si="1540"/>
        <v>2</v>
      </c>
      <c r="AC228" s="49">
        <f t="shared" ref="AC228:AD228" si="1599">SUM(S228,U228,W228,Y228,AA228)</f>
        <v>3</v>
      </c>
      <c r="AD228" s="50">
        <f t="shared" si="1599"/>
        <v>7</v>
      </c>
      <c r="AE228" s="53">
        <f t="shared" si="1542"/>
        <v>2</v>
      </c>
      <c r="AF228" s="54">
        <f t="shared" si="1543"/>
        <v>4</v>
      </c>
      <c r="AG228" s="53">
        <f t="shared" si="1544"/>
        <v>1</v>
      </c>
      <c r="AH228" s="54">
        <f t="shared" si="1545"/>
        <v>3</v>
      </c>
      <c r="AI228" s="53">
        <f t="shared" si="1546"/>
        <v>1</v>
      </c>
      <c r="AJ228" s="54">
        <f t="shared" si="1547"/>
        <v>2</v>
      </c>
      <c r="AK228" s="53">
        <f t="shared" si="1548"/>
        <v>1</v>
      </c>
      <c r="AL228" s="54">
        <f t="shared" si="1549"/>
        <v>2</v>
      </c>
      <c r="AM228" s="53">
        <f t="shared" si="1550"/>
        <v>1</v>
      </c>
      <c r="AN228" s="54">
        <f t="shared" si="1551"/>
        <v>1</v>
      </c>
      <c r="AO228" s="53">
        <f t="shared" si="1552"/>
        <v>0</v>
      </c>
      <c r="AP228" s="54">
        <f t="shared" si="1553"/>
        <v>0</v>
      </c>
      <c r="AQ228" s="49">
        <f t="shared" ref="AQ228:AR228" si="1600">SUM(AG228,AI228,AK228,AM228,AO228)</f>
        <v>4</v>
      </c>
      <c r="AR228" s="50">
        <f t="shared" si="1600"/>
        <v>8</v>
      </c>
      <c r="AS228" s="53">
        <f t="shared" si="1555"/>
        <v>2</v>
      </c>
      <c r="AT228" s="54">
        <f t="shared" si="1556"/>
        <v>4</v>
      </c>
      <c r="AU228" s="53">
        <f t="shared" si="1557"/>
        <v>1</v>
      </c>
      <c r="AV228" s="54">
        <f t="shared" si="1558"/>
        <v>1</v>
      </c>
      <c r="AW228" s="53">
        <f t="shared" si="1559"/>
        <v>1</v>
      </c>
      <c r="AX228" s="54">
        <f t="shared" si="1560"/>
        <v>3</v>
      </c>
      <c r="AY228" s="53">
        <f t="shared" si="1561"/>
        <v>2</v>
      </c>
      <c r="AZ228" s="54">
        <f t="shared" si="1562"/>
        <v>4</v>
      </c>
      <c r="BA228" s="53">
        <f t="shared" si="1563"/>
        <v>2</v>
      </c>
      <c r="BB228" s="54">
        <f t="shared" si="1564"/>
        <v>4</v>
      </c>
      <c r="BC228" s="49">
        <f t="shared" ref="BC228:BD228" si="1601">SUM(AS228,AU228,AW228,AY228,BA228)</f>
        <v>8</v>
      </c>
      <c r="BD228" s="50">
        <f t="shared" si="1601"/>
        <v>16</v>
      </c>
      <c r="BE228" s="68">
        <f t="shared" ref="BE228:BF228" si="1602">SUM(E228,G228,I228,O228,Q228,AC228,AQ228,BC228)</f>
        <v>21</v>
      </c>
      <c r="BF228" s="69">
        <f t="shared" si="1602"/>
        <v>42</v>
      </c>
      <c r="BG228" s="46" t="str">
        <f>BF228*'ОВгП_РАО'!$B$10</f>
        <v>#REF!</v>
      </c>
      <c r="BH228" s="46" t="str">
        <f>'ОВгП_РАО'!$B$10</f>
        <v>#REF!</v>
      </c>
    </row>
    <row r="229" ht="15.75" customHeight="1">
      <c r="A229" s="80">
        <f t="shared" si="1567"/>
        <v>46267</v>
      </c>
      <c r="B229" s="46" t="s">
        <v>128</v>
      </c>
      <c r="C229" s="46" t="s">
        <v>125</v>
      </c>
      <c r="D229" s="46" t="s">
        <v>126</v>
      </c>
      <c r="E229" s="73">
        <f t="shared" si="1518"/>
        <v>1</v>
      </c>
      <c r="F229" s="50">
        <f t="shared" si="1519"/>
        <v>3</v>
      </c>
      <c r="G229" s="73">
        <f t="shared" si="1520"/>
        <v>0</v>
      </c>
      <c r="H229" s="50">
        <f t="shared" si="1521"/>
        <v>0</v>
      </c>
      <c r="I229" s="73">
        <f t="shared" si="1522"/>
        <v>2</v>
      </c>
      <c r="J229" s="50">
        <f t="shared" si="1523"/>
        <v>4</v>
      </c>
      <c r="K229" s="53">
        <f t="shared" si="1524"/>
        <v>1</v>
      </c>
      <c r="L229" s="54">
        <f t="shared" si="1525"/>
        <v>2</v>
      </c>
      <c r="M229" s="53">
        <f t="shared" si="1526"/>
        <v>1</v>
      </c>
      <c r="N229" s="54">
        <f t="shared" si="1527"/>
        <v>2</v>
      </c>
      <c r="O229" s="49">
        <f t="shared" ref="O229:P229" si="1603">SUM(K229,M229)</f>
        <v>2</v>
      </c>
      <c r="P229" s="50">
        <f t="shared" si="1603"/>
        <v>4</v>
      </c>
      <c r="Q229" s="73">
        <f t="shared" si="1529"/>
        <v>2</v>
      </c>
      <c r="R229" s="50">
        <f t="shared" si="1530"/>
        <v>4</v>
      </c>
      <c r="S229" s="53">
        <f t="shared" si="1531"/>
        <v>1</v>
      </c>
      <c r="T229" s="54">
        <f t="shared" si="1532"/>
        <v>2</v>
      </c>
      <c r="U229" s="53">
        <f t="shared" si="1533"/>
        <v>1</v>
      </c>
      <c r="V229" s="54">
        <f t="shared" si="1534"/>
        <v>2</v>
      </c>
      <c r="W229" s="53">
        <f t="shared" si="1535"/>
        <v>1</v>
      </c>
      <c r="X229" s="54">
        <f t="shared" si="1536"/>
        <v>1</v>
      </c>
      <c r="Y229" s="53">
        <f t="shared" si="1537"/>
        <v>1</v>
      </c>
      <c r="Z229" s="54">
        <f t="shared" si="1538"/>
        <v>2</v>
      </c>
      <c r="AA229" s="53">
        <f t="shared" si="1539"/>
        <v>0</v>
      </c>
      <c r="AB229" s="54">
        <f t="shared" si="1540"/>
        <v>0</v>
      </c>
      <c r="AC229" s="49">
        <f t="shared" ref="AC229:AD229" si="1604">SUM(S229,U229,W229,Y229,AA229)</f>
        <v>4</v>
      </c>
      <c r="AD229" s="50">
        <f t="shared" si="1604"/>
        <v>7</v>
      </c>
      <c r="AE229" s="53">
        <f t="shared" si="1542"/>
        <v>0</v>
      </c>
      <c r="AF229" s="54">
        <f t="shared" si="1543"/>
        <v>0</v>
      </c>
      <c r="AG229" s="53">
        <f t="shared" si="1544"/>
        <v>1</v>
      </c>
      <c r="AH229" s="54">
        <f t="shared" si="1545"/>
        <v>2</v>
      </c>
      <c r="AI229" s="53">
        <f t="shared" si="1546"/>
        <v>1</v>
      </c>
      <c r="AJ229" s="54">
        <f t="shared" si="1547"/>
        <v>3</v>
      </c>
      <c r="AK229" s="53">
        <f t="shared" si="1548"/>
        <v>1</v>
      </c>
      <c r="AL229" s="54">
        <f t="shared" si="1549"/>
        <v>3</v>
      </c>
      <c r="AM229" s="53">
        <f t="shared" si="1550"/>
        <v>1</v>
      </c>
      <c r="AN229" s="54">
        <f t="shared" si="1551"/>
        <v>2</v>
      </c>
      <c r="AO229" s="53">
        <f t="shared" si="1552"/>
        <v>2</v>
      </c>
      <c r="AP229" s="54">
        <f t="shared" si="1553"/>
        <v>4</v>
      </c>
      <c r="AQ229" s="49">
        <f t="shared" ref="AQ229:AR229" si="1605">SUM(AG229,AI229,AK229,AM229,AO229)</f>
        <v>6</v>
      </c>
      <c r="AR229" s="50">
        <f t="shared" si="1605"/>
        <v>14</v>
      </c>
      <c r="AS229" s="53">
        <f t="shared" si="1555"/>
        <v>0</v>
      </c>
      <c r="AT229" s="54">
        <f t="shared" si="1556"/>
        <v>0</v>
      </c>
      <c r="AU229" s="53">
        <f t="shared" si="1557"/>
        <v>1</v>
      </c>
      <c r="AV229" s="54">
        <f t="shared" si="1558"/>
        <v>3</v>
      </c>
      <c r="AW229" s="53">
        <f t="shared" si="1559"/>
        <v>1</v>
      </c>
      <c r="AX229" s="54">
        <f t="shared" si="1560"/>
        <v>2</v>
      </c>
      <c r="AY229" s="53">
        <f t="shared" si="1561"/>
        <v>0</v>
      </c>
      <c r="AZ229" s="54">
        <f t="shared" si="1562"/>
        <v>0</v>
      </c>
      <c r="BA229" s="53">
        <f t="shared" si="1563"/>
        <v>1</v>
      </c>
      <c r="BB229" s="54">
        <f t="shared" si="1564"/>
        <v>1</v>
      </c>
      <c r="BC229" s="49">
        <f t="shared" ref="BC229:BD229" si="1606">SUM(AS229,AU229,AW229,AY229,BA229)</f>
        <v>3</v>
      </c>
      <c r="BD229" s="50">
        <f t="shared" si="1606"/>
        <v>6</v>
      </c>
      <c r="BE229" s="68">
        <f t="shared" ref="BE229:BF229" si="1607">SUM(E229,G229,I229,O229,Q229,AC229,AQ229,BC229)</f>
        <v>20</v>
      </c>
      <c r="BF229" s="69">
        <f t="shared" si="1607"/>
        <v>42</v>
      </c>
      <c r="BG229" s="46" t="str">
        <f>BF229*'ОВгП_РАО'!$B$11</f>
        <v>#REF!</v>
      </c>
      <c r="BH229" s="46" t="str">
        <f>'ОВгП_РАО'!$B$11</f>
        <v>#REF!</v>
      </c>
    </row>
    <row r="230" ht="15.75" customHeight="1">
      <c r="A230" s="80">
        <f t="shared" si="1567"/>
        <v>46267</v>
      </c>
      <c r="B230" s="45" t="s">
        <v>129</v>
      </c>
      <c r="C230" s="46" t="s">
        <v>125</v>
      </c>
      <c r="D230" s="45" t="s">
        <v>130</v>
      </c>
      <c r="E230" s="73">
        <f t="shared" si="1518"/>
        <v>2</v>
      </c>
      <c r="F230" s="50">
        <f t="shared" si="1519"/>
        <v>4</v>
      </c>
      <c r="G230" s="73">
        <f t="shared" si="1520"/>
        <v>1</v>
      </c>
      <c r="H230" s="50">
        <f t="shared" si="1521"/>
        <v>1</v>
      </c>
      <c r="I230" s="73">
        <f t="shared" si="1522"/>
        <v>1</v>
      </c>
      <c r="J230" s="50">
        <f t="shared" si="1523"/>
        <v>2</v>
      </c>
      <c r="K230" s="53">
        <f t="shared" si="1524"/>
        <v>1</v>
      </c>
      <c r="L230" s="54">
        <f t="shared" si="1525"/>
        <v>2</v>
      </c>
      <c r="M230" s="53">
        <f t="shared" si="1526"/>
        <v>1</v>
      </c>
      <c r="N230" s="54">
        <f t="shared" si="1527"/>
        <v>1</v>
      </c>
      <c r="O230" s="49">
        <f t="shared" ref="O230:P230" si="1608">SUM(K230,M230)</f>
        <v>2</v>
      </c>
      <c r="P230" s="50">
        <f t="shared" si="1608"/>
        <v>3</v>
      </c>
      <c r="Q230" s="73">
        <f t="shared" si="1529"/>
        <v>1</v>
      </c>
      <c r="R230" s="50">
        <f t="shared" si="1530"/>
        <v>1</v>
      </c>
      <c r="S230" s="53">
        <f t="shared" si="1531"/>
        <v>2</v>
      </c>
      <c r="T230" s="54">
        <f t="shared" si="1532"/>
        <v>4</v>
      </c>
      <c r="U230" s="53">
        <f t="shared" si="1533"/>
        <v>1</v>
      </c>
      <c r="V230" s="54">
        <f t="shared" si="1534"/>
        <v>3</v>
      </c>
      <c r="W230" s="53">
        <f t="shared" si="1535"/>
        <v>1</v>
      </c>
      <c r="X230" s="54">
        <f t="shared" si="1536"/>
        <v>1</v>
      </c>
      <c r="Y230" s="53">
        <f t="shared" si="1537"/>
        <v>2</v>
      </c>
      <c r="Z230" s="54">
        <f t="shared" si="1538"/>
        <v>4</v>
      </c>
      <c r="AA230" s="53">
        <f t="shared" si="1539"/>
        <v>1</v>
      </c>
      <c r="AB230" s="54">
        <f t="shared" si="1540"/>
        <v>1</v>
      </c>
      <c r="AC230" s="49">
        <f t="shared" ref="AC230:AD230" si="1609">SUM(S230,U230,W230,Y230,AA230)</f>
        <v>7</v>
      </c>
      <c r="AD230" s="50">
        <f t="shared" si="1609"/>
        <v>13</v>
      </c>
      <c r="AE230" s="53">
        <f t="shared" si="1542"/>
        <v>1</v>
      </c>
      <c r="AF230" s="54">
        <f t="shared" si="1543"/>
        <v>3</v>
      </c>
      <c r="AG230" s="53">
        <f t="shared" si="1544"/>
        <v>2</v>
      </c>
      <c r="AH230" s="54">
        <f t="shared" si="1545"/>
        <v>4</v>
      </c>
      <c r="AI230" s="53">
        <f t="shared" si="1546"/>
        <v>0</v>
      </c>
      <c r="AJ230" s="54">
        <f t="shared" si="1547"/>
        <v>0</v>
      </c>
      <c r="AK230" s="53">
        <f t="shared" si="1548"/>
        <v>0</v>
      </c>
      <c r="AL230" s="54">
        <f t="shared" si="1549"/>
        <v>0</v>
      </c>
      <c r="AM230" s="53">
        <f t="shared" si="1550"/>
        <v>2</v>
      </c>
      <c r="AN230" s="54">
        <f t="shared" si="1551"/>
        <v>4</v>
      </c>
      <c r="AO230" s="53">
        <f t="shared" si="1552"/>
        <v>1</v>
      </c>
      <c r="AP230" s="54">
        <f t="shared" si="1553"/>
        <v>2</v>
      </c>
      <c r="AQ230" s="49">
        <f t="shared" ref="AQ230:AR230" si="1610">SUM(AG230,AI230,AK230,AM230,AO230)</f>
        <v>5</v>
      </c>
      <c r="AR230" s="50">
        <f t="shared" si="1610"/>
        <v>10</v>
      </c>
      <c r="AS230" s="53">
        <f t="shared" si="1555"/>
        <v>0</v>
      </c>
      <c r="AT230" s="54">
        <f t="shared" si="1556"/>
        <v>0</v>
      </c>
      <c r="AU230" s="53">
        <f t="shared" si="1557"/>
        <v>2</v>
      </c>
      <c r="AV230" s="54">
        <f t="shared" si="1558"/>
        <v>4</v>
      </c>
      <c r="AW230" s="53">
        <f t="shared" si="1559"/>
        <v>0</v>
      </c>
      <c r="AX230" s="54">
        <f t="shared" si="1560"/>
        <v>0</v>
      </c>
      <c r="AY230" s="53">
        <f t="shared" si="1561"/>
        <v>0</v>
      </c>
      <c r="AZ230" s="54">
        <f t="shared" si="1562"/>
        <v>0</v>
      </c>
      <c r="BA230" s="53">
        <f t="shared" si="1563"/>
        <v>1</v>
      </c>
      <c r="BB230" s="54">
        <f t="shared" si="1564"/>
        <v>3</v>
      </c>
      <c r="BC230" s="49">
        <f t="shared" ref="BC230:BD230" si="1611">SUM(AS230,AU230,AW230,AY230,BA230)</f>
        <v>3</v>
      </c>
      <c r="BD230" s="50">
        <f t="shared" si="1611"/>
        <v>7</v>
      </c>
      <c r="BE230" s="68">
        <f t="shared" ref="BE230:BF230" si="1612">SUM(E230,G230,I230,O230,Q230,AC230,AQ230,BC230)</f>
        <v>22</v>
      </c>
      <c r="BF230" s="69">
        <f t="shared" si="1612"/>
        <v>41</v>
      </c>
      <c r="BG230" s="46" t="str">
        <f>BF230*'ОВгП_РАО'!$B$12</f>
        <v>#REF!</v>
      </c>
      <c r="BH230" s="46" t="str">
        <f>'ОВгП_РАО'!$B$12</f>
        <v>#REF!</v>
      </c>
    </row>
    <row r="231" ht="15.75" customHeight="1">
      <c r="A231" s="80">
        <f t="shared" si="1567"/>
        <v>46267</v>
      </c>
      <c r="B231" s="47" t="s">
        <v>131</v>
      </c>
      <c r="C231" s="47" t="s">
        <v>122</v>
      </c>
      <c r="D231" s="47" t="s">
        <v>123</v>
      </c>
      <c r="E231" s="73">
        <f t="shared" si="1518"/>
        <v>2</v>
      </c>
      <c r="F231" s="50">
        <f t="shared" si="1519"/>
        <v>4</v>
      </c>
      <c r="G231" s="73">
        <f t="shared" si="1520"/>
        <v>1</v>
      </c>
      <c r="H231" s="50">
        <f t="shared" si="1521"/>
        <v>3</v>
      </c>
      <c r="I231" s="73">
        <f t="shared" si="1522"/>
        <v>2</v>
      </c>
      <c r="J231" s="50">
        <f t="shared" si="1523"/>
        <v>4</v>
      </c>
      <c r="K231" s="53">
        <f t="shared" si="1524"/>
        <v>1</v>
      </c>
      <c r="L231" s="54">
        <f t="shared" si="1525"/>
        <v>2</v>
      </c>
      <c r="M231" s="53">
        <f t="shared" si="1526"/>
        <v>1</v>
      </c>
      <c r="N231" s="54">
        <f t="shared" si="1527"/>
        <v>2</v>
      </c>
      <c r="O231" s="49">
        <f t="shared" ref="O231:P231" si="1613">SUM(K231,M231)</f>
        <v>2</v>
      </c>
      <c r="P231" s="50">
        <f t="shared" si="1613"/>
        <v>4</v>
      </c>
      <c r="Q231" s="73">
        <f t="shared" si="1529"/>
        <v>2</v>
      </c>
      <c r="R231" s="50">
        <f t="shared" si="1530"/>
        <v>4</v>
      </c>
      <c r="S231" s="53">
        <f t="shared" si="1531"/>
        <v>1</v>
      </c>
      <c r="T231" s="54">
        <f t="shared" si="1532"/>
        <v>2</v>
      </c>
      <c r="U231" s="53">
        <f t="shared" si="1533"/>
        <v>0</v>
      </c>
      <c r="V231" s="54">
        <f t="shared" si="1534"/>
        <v>0</v>
      </c>
      <c r="W231" s="53">
        <f t="shared" si="1535"/>
        <v>2</v>
      </c>
      <c r="X231" s="54">
        <f t="shared" si="1536"/>
        <v>4</v>
      </c>
      <c r="Y231" s="53">
        <f t="shared" si="1537"/>
        <v>1</v>
      </c>
      <c r="Z231" s="54">
        <f t="shared" si="1538"/>
        <v>3</v>
      </c>
      <c r="AA231" s="53">
        <f t="shared" si="1539"/>
        <v>2</v>
      </c>
      <c r="AB231" s="54">
        <f t="shared" si="1540"/>
        <v>4</v>
      </c>
      <c r="AC231" s="49">
        <f t="shared" ref="AC231:AD231" si="1614">SUM(S231,U231,W231,Y231,AA231)</f>
        <v>6</v>
      </c>
      <c r="AD231" s="50">
        <f t="shared" si="1614"/>
        <v>13</v>
      </c>
      <c r="AE231" s="53">
        <f t="shared" si="1542"/>
        <v>1</v>
      </c>
      <c r="AF231" s="54">
        <f t="shared" si="1543"/>
        <v>3</v>
      </c>
      <c r="AG231" s="53">
        <f t="shared" si="1544"/>
        <v>0</v>
      </c>
      <c r="AH231" s="54">
        <f t="shared" si="1545"/>
        <v>0</v>
      </c>
      <c r="AI231" s="53">
        <f t="shared" si="1546"/>
        <v>0</v>
      </c>
      <c r="AJ231" s="54">
        <f t="shared" si="1547"/>
        <v>0</v>
      </c>
      <c r="AK231" s="53">
        <f t="shared" si="1548"/>
        <v>1</v>
      </c>
      <c r="AL231" s="54">
        <f t="shared" si="1549"/>
        <v>1</v>
      </c>
      <c r="AM231" s="53">
        <f t="shared" si="1550"/>
        <v>0</v>
      </c>
      <c r="AN231" s="54">
        <f t="shared" si="1551"/>
        <v>0</v>
      </c>
      <c r="AO231" s="53">
        <f t="shared" si="1552"/>
        <v>1</v>
      </c>
      <c r="AP231" s="54">
        <f t="shared" si="1553"/>
        <v>1</v>
      </c>
      <c r="AQ231" s="49">
        <f t="shared" ref="AQ231:AR231" si="1615">SUM(AG231,AI231,AK231,AM231,AO231)</f>
        <v>2</v>
      </c>
      <c r="AR231" s="50">
        <f t="shared" si="1615"/>
        <v>2</v>
      </c>
      <c r="AS231" s="53">
        <f t="shared" si="1555"/>
        <v>2</v>
      </c>
      <c r="AT231" s="54">
        <f t="shared" si="1556"/>
        <v>4</v>
      </c>
      <c r="AU231" s="53">
        <f t="shared" si="1557"/>
        <v>1</v>
      </c>
      <c r="AV231" s="54">
        <f t="shared" si="1558"/>
        <v>1</v>
      </c>
      <c r="AW231" s="53">
        <f t="shared" si="1559"/>
        <v>1</v>
      </c>
      <c r="AX231" s="54">
        <f t="shared" si="1560"/>
        <v>3</v>
      </c>
      <c r="AY231" s="53">
        <f t="shared" si="1561"/>
        <v>0</v>
      </c>
      <c r="AZ231" s="54">
        <f t="shared" si="1562"/>
        <v>0</v>
      </c>
      <c r="BA231" s="53">
        <f t="shared" si="1563"/>
        <v>2</v>
      </c>
      <c r="BB231" s="54">
        <f t="shared" si="1564"/>
        <v>4</v>
      </c>
      <c r="BC231" s="49">
        <f t="shared" ref="BC231:BD231" si="1616">SUM(AS231,AU231,AW231,AY231,BA231)</f>
        <v>6</v>
      </c>
      <c r="BD231" s="50">
        <f t="shared" si="1616"/>
        <v>12</v>
      </c>
      <c r="BE231" s="68">
        <f t="shared" ref="BE231:BF231" si="1617">SUM(E231,G231,I231,O231,Q231,AC231,AQ231,BC231)</f>
        <v>23</v>
      </c>
      <c r="BF231" s="69">
        <f t="shared" si="1617"/>
        <v>46</v>
      </c>
      <c r="BG231" s="46" t="str">
        <f>BF231*'ОВгП_РАО'!$B$13</f>
        <v>#REF!</v>
      </c>
      <c r="BH231" s="46" t="str">
        <f>'ОВгП_РАО'!$B$13</f>
        <v>#REF!</v>
      </c>
    </row>
    <row r="232" ht="15.75" customHeight="1">
      <c r="A232" s="80">
        <f t="shared" si="1567"/>
        <v>46267</v>
      </c>
      <c r="B232" s="47" t="s">
        <v>132</v>
      </c>
      <c r="C232" s="47" t="s">
        <v>122</v>
      </c>
      <c r="D232" s="47" t="s">
        <v>123</v>
      </c>
      <c r="E232" s="73">
        <f t="shared" si="1518"/>
        <v>1</v>
      </c>
      <c r="F232" s="50">
        <f t="shared" si="1519"/>
        <v>2</v>
      </c>
      <c r="G232" s="73">
        <f t="shared" si="1520"/>
        <v>1</v>
      </c>
      <c r="H232" s="50">
        <f t="shared" si="1521"/>
        <v>1</v>
      </c>
      <c r="I232" s="73">
        <f t="shared" si="1522"/>
        <v>0</v>
      </c>
      <c r="J232" s="50">
        <f t="shared" si="1523"/>
        <v>0</v>
      </c>
      <c r="K232" s="53">
        <f t="shared" si="1524"/>
        <v>2</v>
      </c>
      <c r="L232" s="54">
        <f t="shared" si="1525"/>
        <v>4</v>
      </c>
      <c r="M232" s="53">
        <f t="shared" si="1526"/>
        <v>1</v>
      </c>
      <c r="N232" s="54">
        <f t="shared" si="1527"/>
        <v>1</v>
      </c>
      <c r="O232" s="49">
        <f t="shared" ref="O232:P232" si="1618">SUM(K232,M232)</f>
        <v>3</v>
      </c>
      <c r="P232" s="50">
        <f t="shared" si="1618"/>
        <v>5</v>
      </c>
      <c r="Q232" s="73">
        <f t="shared" si="1529"/>
        <v>1</v>
      </c>
      <c r="R232" s="50">
        <f t="shared" si="1530"/>
        <v>1</v>
      </c>
      <c r="S232" s="53">
        <f t="shared" si="1531"/>
        <v>0</v>
      </c>
      <c r="T232" s="54">
        <f t="shared" si="1532"/>
        <v>0</v>
      </c>
      <c r="U232" s="53">
        <f t="shared" si="1533"/>
        <v>1</v>
      </c>
      <c r="V232" s="54">
        <f t="shared" si="1534"/>
        <v>3</v>
      </c>
      <c r="W232" s="53">
        <f t="shared" si="1535"/>
        <v>0</v>
      </c>
      <c r="X232" s="54">
        <f t="shared" si="1536"/>
        <v>0</v>
      </c>
      <c r="Y232" s="53">
        <f t="shared" si="1537"/>
        <v>0</v>
      </c>
      <c r="Z232" s="54">
        <f t="shared" si="1538"/>
        <v>0</v>
      </c>
      <c r="AA232" s="53">
        <f t="shared" si="1539"/>
        <v>1</v>
      </c>
      <c r="AB232" s="54">
        <f t="shared" si="1540"/>
        <v>1</v>
      </c>
      <c r="AC232" s="49">
        <f t="shared" ref="AC232:AD232" si="1619">SUM(S232,U232,W232,Y232,AA232)</f>
        <v>2</v>
      </c>
      <c r="AD232" s="50">
        <f t="shared" si="1619"/>
        <v>4</v>
      </c>
      <c r="AE232" s="53">
        <f t="shared" si="1542"/>
        <v>1</v>
      </c>
      <c r="AF232" s="54">
        <f t="shared" si="1543"/>
        <v>2</v>
      </c>
      <c r="AG232" s="53">
        <f t="shared" si="1544"/>
        <v>1</v>
      </c>
      <c r="AH232" s="54">
        <f t="shared" si="1545"/>
        <v>3</v>
      </c>
      <c r="AI232" s="53">
        <f t="shared" si="1546"/>
        <v>1</v>
      </c>
      <c r="AJ232" s="54">
        <f t="shared" si="1547"/>
        <v>1</v>
      </c>
      <c r="AK232" s="53">
        <f t="shared" si="1548"/>
        <v>0</v>
      </c>
      <c r="AL232" s="54">
        <f t="shared" si="1549"/>
        <v>0</v>
      </c>
      <c r="AM232" s="53">
        <f t="shared" si="1550"/>
        <v>2</v>
      </c>
      <c r="AN232" s="54">
        <f t="shared" si="1551"/>
        <v>4</v>
      </c>
      <c r="AO232" s="53">
        <f t="shared" si="1552"/>
        <v>1</v>
      </c>
      <c r="AP232" s="54">
        <f t="shared" si="1553"/>
        <v>3</v>
      </c>
      <c r="AQ232" s="49">
        <f t="shared" ref="AQ232:AR232" si="1620">SUM(AG232,AI232,AK232,AM232,AO232)</f>
        <v>5</v>
      </c>
      <c r="AR232" s="50">
        <f t="shared" si="1620"/>
        <v>11</v>
      </c>
      <c r="AS232" s="53">
        <f t="shared" si="1555"/>
        <v>1</v>
      </c>
      <c r="AT232" s="54">
        <f t="shared" si="1556"/>
        <v>2</v>
      </c>
      <c r="AU232" s="53">
        <f t="shared" si="1557"/>
        <v>0</v>
      </c>
      <c r="AV232" s="54">
        <f t="shared" si="1558"/>
        <v>0</v>
      </c>
      <c r="AW232" s="53">
        <f t="shared" si="1559"/>
        <v>0</v>
      </c>
      <c r="AX232" s="54">
        <f t="shared" si="1560"/>
        <v>0</v>
      </c>
      <c r="AY232" s="53">
        <f t="shared" si="1561"/>
        <v>1</v>
      </c>
      <c r="AZ232" s="54">
        <f t="shared" si="1562"/>
        <v>2</v>
      </c>
      <c r="BA232" s="53">
        <f t="shared" si="1563"/>
        <v>0</v>
      </c>
      <c r="BB232" s="54">
        <f t="shared" si="1564"/>
        <v>0</v>
      </c>
      <c r="BC232" s="49">
        <f t="shared" ref="BC232:BD232" si="1621">SUM(AS232,AU232,AW232,AY232,BA232)</f>
        <v>2</v>
      </c>
      <c r="BD232" s="50">
        <f t="shared" si="1621"/>
        <v>4</v>
      </c>
      <c r="BE232" s="68">
        <f t="shared" ref="BE232:BF232" si="1622">SUM(E232,G232,I232,O232,Q232,AC232,AQ232,BC232)</f>
        <v>15</v>
      </c>
      <c r="BF232" s="69">
        <f t="shared" si="1622"/>
        <v>28</v>
      </c>
      <c r="BG232" s="46" t="str">
        <f>BF232*'ОВгП_РАО'!$B$14</f>
        <v>#REF!</v>
      </c>
      <c r="BH232" s="46" t="str">
        <f>'ОВгП_РАО'!$B$14</f>
        <v>#REF!</v>
      </c>
    </row>
    <row r="233" ht="15.75" customHeight="1">
      <c r="A233" s="80">
        <f t="shared" si="1567"/>
        <v>46267</v>
      </c>
      <c r="B233" s="47" t="s">
        <v>133</v>
      </c>
      <c r="C233" s="47" t="s">
        <v>122</v>
      </c>
      <c r="D233" s="47" t="s">
        <v>123</v>
      </c>
      <c r="E233" s="73">
        <f t="shared" si="1518"/>
        <v>0</v>
      </c>
      <c r="F233" s="50">
        <f t="shared" si="1519"/>
        <v>0</v>
      </c>
      <c r="G233" s="73">
        <f t="shared" si="1520"/>
        <v>2</v>
      </c>
      <c r="H233" s="50">
        <f t="shared" si="1521"/>
        <v>4</v>
      </c>
      <c r="I233" s="73">
        <f t="shared" si="1522"/>
        <v>1</v>
      </c>
      <c r="J233" s="50">
        <f t="shared" si="1523"/>
        <v>1</v>
      </c>
      <c r="K233" s="53">
        <f t="shared" si="1524"/>
        <v>1</v>
      </c>
      <c r="L233" s="54">
        <f t="shared" si="1525"/>
        <v>1</v>
      </c>
      <c r="M233" s="53">
        <f t="shared" si="1526"/>
        <v>2</v>
      </c>
      <c r="N233" s="54">
        <f t="shared" si="1527"/>
        <v>4</v>
      </c>
      <c r="O233" s="49">
        <f t="shared" ref="O233:P233" si="1623">SUM(K233,M233)</f>
        <v>3</v>
      </c>
      <c r="P233" s="50">
        <f t="shared" si="1623"/>
        <v>5</v>
      </c>
      <c r="Q233" s="73">
        <f t="shared" si="1529"/>
        <v>2</v>
      </c>
      <c r="R233" s="50">
        <f t="shared" si="1530"/>
        <v>4</v>
      </c>
      <c r="S233" s="53">
        <f t="shared" si="1531"/>
        <v>1</v>
      </c>
      <c r="T233" s="54">
        <f t="shared" si="1532"/>
        <v>2</v>
      </c>
      <c r="U233" s="53">
        <f t="shared" si="1533"/>
        <v>1</v>
      </c>
      <c r="V233" s="54">
        <f t="shared" si="1534"/>
        <v>1</v>
      </c>
      <c r="W233" s="53">
        <f t="shared" si="1535"/>
        <v>1</v>
      </c>
      <c r="X233" s="54">
        <f t="shared" si="1536"/>
        <v>2</v>
      </c>
      <c r="Y233" s="53">
        <f t="shared" si="1537"/>
        <v>2</v>
      </c>
      <c r="Z233" s="54">
        <f t="shared" si="1538"/>
        <v>4</v>
      </c>
      <c r="AA233" s="53">
        <f t="shared" si="1539"/>
        <v>1</v>
      </c>
      <c r="AB233" s="54">
        <f t="shared" si="1540"/>
        <v>2</v>
      </c>
      <c r="AC233" s="49">
        <f t="shared" ref="AC233:AD233" si="1624">SUM(S233,U233,W233,Y233,AA233)</f>
        <v>6</v>
      </c>
      <c r="AD233" s="50">
        <f t="shared" si="1624"/>
        <v>11</v>
      </c>
      <c r="AE233" s="53">
        <f t="shared" si="1542"/>
        <v>0</v>
      </c>
      <c r="AF233" s="54">
        <f t="shared" si="1543"/>
        <v>0</v>
      </c>
      <c r="AG233" s="53">
        <f t="shared" si="1544"/>
        <v>1</v>
      </c>
      <c r="AH233" s="54">
        <f t="shared" si="1545"/>
        <v>3</v>
      </c>
      <c r="AI233" s="53">
        <f t="shared" si="1546"/>
        <v>1</v>
      </c>
      <c r="AJ233" s="54">
        <f t="shared" si="1547"/>
        <v>3</v>
      </c>
      <c r="AK233" s="53">
        <f t="shared" si="1548"/>
        <v>1</v>
      </c>
      <c r="AL233" s="54">
        <f t="shared" si="1549"/>
        <v>1</v>
      </c>
      <c r="AM233" s="53">
        <f t="shared" si="1550"/>
        <v>1</v>
      </c>
      <c r="AN233" s="54">
        <f t="shared" si="1551"/>
        <v>1</v>
      </c>
      <c r="AO233" s="53">
        <f t="shared" si="1552"/>
        <v>1</v>
      </c>
      <c r="AP233" s="54">
        <f t="shared" si="1553"/>
        <v>3</v>
      </c>
      <c r="AQ233" s="49">
        <f t="shared" ref="AQ233:AR233" si="1625">SUM(AG233,AI233,AK233,AM233,AO233)</f>
        <v>5</v>
      </c>
      <c r="AR233" s="50">
        <f t="shared" si="1625"/>
        <v>11</v>
      </c>
      <c r="AS233" s="53">
        <f t="shared" si="1555"/>
        <v>1</v>
      </c>
      <c r="AT233" s="54">
        <f t="shared" si="1556"/>
        <v>3</v>
      </c>
      <c r="AU233" s="53">
        <f t="shared" si="1557"/>
        <v>2</v>
      </c>
      <c r="AV233" s="54">
        <f t="shared" si="1558"/>
        <v>4</v>
      </c>
      <c r="AW233" s="53">
        <f t="shared" si="1559"/>
        <v>2</v>
      </c>
      <c r="AX233" s="54">
        <f t="shared" si="1560"/>
        <v>4</v>
      </c>
      <c r="AY233" s="53">
        <f t="shared" si="1561"/>
        <v>2</v>
      </c>
      <c r="AZ233" s="54">
        <f t="shared" si="1562"/>
        <v>4</v>
      </c>
      <c r="BA233" s="53">
        <f t="shared" si="1563"/>
        <v>2</v>
      </c>
      <c r="BB233" s="54">
        <f t="shared" si="1564"/>
        <v>4</v>
      </c>
      <c r="BC233" s="49">
        <f t="shared" ref="BC233:BD233" si="1626">SUM(AS233,AU233,AW233,AY233,BA233)</f>
        <v>9</v>
      </c>
      <c r="BD233" s="50">
        <f t="shared" si="1626"/>
        <v>19</v>
      </c>
      <c r="BE233" s="68">
        <f t="shared" ref="BE233:BF233" si="1627">SUM(E233,G233,I233,O233,Q233,AC233,AQ233,BC233)</f>
        <v>28</v>
      </c>
      <c r="BF233" s="69">
        <f t="shared" si="1627"/>
        <v>55</v>
      </c>
      <c r="BG233" s="46" t="str">
        <f>BF233*'ОВгП_РАО'!$B$15</f>
        <v>#REF!</v>
      </c>
      <c r="BH233" s="46" t="str">
        <f>'ОВгП_РАО'!$B$15</f>
        <v>#REF!</v>
      </c>
    </row>
    <row r="234" ht="15.75" customHeight="1">
      <c r="A234" s="80">
        <f t="shared" si="1567"/>
        <v>46267</v>
      </c>
      <c r="B234" s="47" t="s">
        <v>134</v>
      </c>
      <c r="C234" s="47" t="s">
        <v>122</v>
      </c>
      <c r="D234" s="47" t="s">
        <v>123</v>
      </c>
      <c r="E234" s="73">
        <f t="shared" si="1518"/>
        <v>2</v>
      </c>
      <c r="F234" s="50">
        <f t="shared" si="1519"/>
        <v>4</v>
      </c>
      <c r="G234" s="73">
        <f t="shared" si="1520"/>
        <v>0</v>
      </c>
      <c r="H234" s="50">
        <f t="shared" si="1521"/>
        <v>0</v>
      </c>
      <c r="I234" s="73">
        <f t="shared" si="1522"/>
        <v>1</v>
      </c>
      <c r="J234" s="50">
        <f t="shared" si="1523"/>
        <v>2</v>
      </c>
      <c r="K234" s="53">
        <f t="shared" si="1524"/>
        <v>1</v>
      </c>
      <c r="L234" s="54">
        <f t="shared" si="1525"/>
        <v>1</v>
      </c>
      <c r="M234" s="53">
        <f t="shared" si="1526"/>
        <v>0</v>
      </c>
      <c r="N234" s="54">
        <f t="shared" si="1527"/>
        <v>0</v>
      </c>
      <c r="O234" s="49">
        <f t="shared" ref="O234:P234" si="1628">SUM(K234,M234)</f>
        <v>1</v>
      </c>
      <c r="P234" s="50">
        <f t="shared" si="1628"/>
        <v>1</v>
      </c>
      <c r="Q234" s="73">
        <f t="shared" si="1529"/>
        <v>2</v>
      </c>
      <c r="R234" s="50">
        <f t="shared" si="1530"/>
        <v>4</v>
      </c>
      <c r="S234" s="53">
        <f t="shared" si="1531"/>
        <v>1</v>
      </c>
      <c r="T234" s="54">
        <f t="shared" si="1532"/>
        <v>3</v>
      </c>
      <c r="U234" s="53">
        <f t="shared" si="1533"/>
        <v>1</v>
      </c>
      <c r="V234" s="54">
        <f t="shared" si="1534"/>
        <v>3</v>
      </c>
      <c r="W234" s="53">
        <f t="shared" si="1535"/>
        <v>1</v>
      </c>
      <c r="X234" s="54">
        <f t="shared" si="1536"/>
        <v>3</v>
      </c>
      <c r="Y234" s="53">
        <f t="shared" si="1537"/>
        <v>2</v>
      </c>
      <c r="Z234" s="54">
        <f t="shared" si="1538"/>
        <v>4</v>
      </c>
      <c r="AA234" s="53">
        <f t="shared" si="1539"/>
        <v>1</v>
      </c>
      <c r="AB234" s="54">
        <f t="shared" si="1540"/>
        <v>1</v>
      </c>
      <c r="AC234" s="49">
        <f t="shared" ref="AC234:AD234" si="1629">SUM(S234,U234,W234,Y234,AA234)</f>
        <v>6</v>
      </c>
      <c r="AD234" s="50">
        <f t="shared" si="1629"/>
        <v>14</v>
      </c>
      <c r="AE234" s="53">
        <f t="shared" si="1542"/>
        <v>1</v>
      </c>
      <c r="AF234" s="54">
        <f t="shared" si="1543"/>
        <v>3</v>
      </c>
      <c r="AG234" s="53">
        <f t="shared" si="1544"/>
        <v>1</v>
      </c>
      <c r="AH234" s="54">
        <f t="shared" si="1545"/>
        <v>1</v>
      </c>
      <c r="AI234" s="53">
        <f t="shared" si="1546"/>
        <v>1</v>
      </c>
      <c r="AJ234" s="54">
        <f t="shared" si="1547"/>
        <v>3</v>
      </c>
      <c r="AK234" s="53">
        <f t="shared" si="1548"/>
        <v>1</v>
      </c>
      <c r="AL234" s="54">
        <f t="shared" si="1549"/>
        <v>3</v>
      </c>
      <c r="AM234" s="53">
        <f t="shared" si="1550"/>
        <v>0</v>
      </c>
      <c r="AN234" s="54">
        <f t="shared" si="1551"/>
        <v>0</v>
      </c>
      <c r="AO234" s="53">
        <f t="shared" si="1552"/>
        <v>0</v>
      </c>
      <c r="AP234" s="54">
        <f t="shared" si="1553"/>
        <v>0</v>
      </c>
      <c r="AQ234" s="49">
        <f t="shared" ref="AQ234:AR234" si="1630">SUM(AG234,AI234,AK234,AM234,AO234)</f>
        <v>3</v>
      </c>
      <c r="AR234" s="50">
        <f t="shared" si="1630"/>
        <v>7</v>
      </c>
      <c r="AS234" s="53">
        <f t="shared" si="1555"/>
        <v>1</v>
      </c>
      <c r="AT234" s="54">
        <f t="shared" si="1556"/>
        <v>2</v>
      </c>
      <c r="AU234" s="53">
        <f t="shared" si="1557"/>
        <v>2</v>
      </c>
      <c r="AV234" s="54">
        <f t="shared" si="1558"/>
        <v>4</v>
      </c>
      <c r="AW234" s="53">
        <f t="shared" si="1559"/>
        <v>1</v>
      </c>
      <c r="AX234" s="54">
        <f t="shared" si="1560"/>
        <v>3</v>
      </c>
      <c r="AY234" s="53">
        <f t="shared" si="1561"/>
        <v>1</v>
      </c>
      <c r="AZ234" s="54">
        <f t="shared" si="1562"/>
        <v>1</v>
      </c>
      <c r="BA234" s="53">
        <f t="shared" si="1563"/>
        <v>1</v>
      </c>
      <c r="BB234" s="54">
        <f t="shared" si="1564"/>
        <v>2</v>
      </c>
      <c r="BC234" s="49">
        <f t="shared" ref="BC234:BD234" si="1631">SUM(AS234,AU234,AW234,AY234,BA234)</f>
        <v>6</v>
      </c>
      <c r="BD234" s="50">
        <f t="shared" si="1631"/>
        <v>12</v>
      </c>
      <c r="BE234" s="68">
        <f t="shared" ref="BE234:BF234" si="1632">SUM(E234,G234,I234,O234,Q234,AC234,AQ234,BC234)</f>
        <v>21</v>
      </c>
      <c r="BF234" s="69">
        <f t="shared" si="1632"/>
        <v>44</v>
      </c>
      <c r="BG234" s="46" t="str">
        <f>BF234*'ОВгП_РАО'!$B$16</f>
        <v>#REF!</v>
      </c>
      <c r="BH234" s="46" t="str">
        <f>'ОВгП_РАО'!$B$16</f>
        <v>#REF!</v>
      </c>
    </row>
    <row r="235" ht="15.75" customHeight="1">
      <c r="A235" s="80">
        <f t="shared" si="1567"/>
        <v>46267</v>
      </c>
      <c r="B235" s="129" t="s">
        <v>135</v>
      </c>
      <c r="C235" s="47" t="s">
        <v>122</v>
      </c>
      <c r="D235" s="47" t="s">
        <v>136</v>
      </c>
      <c r="E235" s="73">
        <f t="shared" si="1518"/>
        <v>1</v>
      </c>
      <c r="F235" s="50">
        <f t="shared" si="1519"/>
        <v>2</v>
      </c>
      <c r="G235" s="73">
        <f t="shared" si="1520"/>
        <v>1</v>
      </c>
      <c r="H235" s="50">
        <f t="shared" si="1521"/>
        <v>2</v>
      </c>
      <c r="I235" s="73">
        <f t="shared" si="1522"/>
        <v>1</v>
      </c>
      <c r="J235" s="50">
        <f t="shared" si="1523"/>
        <v>3</v>
      </c>
      <c r="K235" s="53">
        <f t="shared" si="1524"/>
        <v>0</v>
      </c>
      <c r="L235" s="54">
        <f t="shared" si="1525"/>
        <v>0</v>
      </c>
      <c r="M235" s="53">
        <f t="shared" si="1526"/>
        <v>2</v>
      </c>
      <c r="N235" s="54">
        <f t="shared" si="1527"/>
        <v>4</v>
      </c>
      <c r="O235" s="49">
        <f t="shared" ref="O235:P235" si="1633">SUM(K235,M235)</f>
        <v>2</v>
      </c>
      <c r="P235" s="50">
        <f t="shared" si="1633"/>
        <v>4</v>
      </c>
      <c r="Q235" s="73">
        <f t="shared" si="1529"/>
        <v>1</v>
      </c>
      <c r="R235" s="50">
        <f t="shared" si="1530"/>
        <v>1</v>
      </c>
      <c r="S235" s="53">
        <f t="shared" si="1531"/>
        <v>2</v>
      </c>
      <c r="T235" s="54">
        <f t="shared" si="1532"/>
        <v>4</v>
      </c>
      <c r="U235" s="53">
        <f t="shared" si="1533"/>
        <v>2</v>
      </c>
      <c r="V235" s="54">
        <f t="shared" si="1534"/>
        <v>4</v>
      </c>
      <c r="W235" s="53">
        <f t="shared" si="1535"/>
        <v>0</v>
      </c>
      <c r="X235" s="54">
        <f t="shared" si="1536"/>
        <v>0</v>
      </c>
      <c r="Y235" s="53">
        <f t="shared" si="1537"/>
        <v>1</v>
      </c>
      <c r="Z235" s="54">
        <f t="shared" si="1538"/>
        <v>2</v>
      </c>
      <c r="AA235" s="53">
        <f t="shared" si="1539"/>
        <v>2</v>
      </c>
      <c r="AB235" s="54">
        <f t="shared" si="1540"/>
        <v>4</v>
      </c>
      <c r="AC235" s="49">
        <f t="shared" ref="AC235:AD235" si="1634">SUM(S235,U235,W235,Y235,AA235)</f>
        <v>7</v>
      </c>
      <c r="AD235" s="50">
        <f t="shared" si="1634"/>
        <v>14</v>
      </c>
      <c r="AE235" s="53">
        <f t="shared" si="1542"/>
        <v>0</v>
      </c>
      <c r="AF235" s="54">
        <f t="shared" si="1543"/>
        <v>0</v>
      </c>
      <c r="AG235" s="53">
        <f t="shared" si="1544"/>
        <v>2</v>
      </c>
      <c r="AH235" s="54">
        <f t="shared" si="1545"/>
        <v>4</v>
      </c>
      <c r="AI235" s="53">
        <f t="shared" si="1546"/>
        <v>0</v>
      </c>
      <c r="AJ235" s="54">
        <f t="shared" si="1547"/>
        <v>0</v>
      </c>
      <c r="AK235" s="53">
        <f t="shared" si="1548"/>
        <v>1</v>
      </c>
      <c r="AL235" s="54">
        <f t="shared" si="1549"/>
        <v>1</v>
      </c>
      <c r="AM235" s="53">
        <f t="shared" si="1550"/>
        <v>2</v>
      </c>
      <c r="AN235" s="54">
        <f t="shared" si="1551"/>
        <v>4</v>
      </c>
      <c r="AO235" s="53">
        <f t="shared" si="1552"/>
        <v>0</v>
      </c>
      <c r="AP235" s="54">
        <f t="shared" si="1553"/>
        <v>0</v>
      </c>
      <c r="AQ235" s="49">
        <f t="shared" ref="AQ235:AR235" si="1635">SUM(AG235,AI235,AK235,AM235,AO235)</f>
        <v>5</v>
      </c>
      <c r="AR235" s="50">
        <f t="shared" si="1635"/>
        <v>9</v>
      </c>
      <c r="AS235" s="53">
        <f t="shared" si="1555"/>
        <v>1</v>
      </c>
      <c r="AT235" s="54">
        <f t="shared" si="1556"/>
        <v>3</v>
      </c>
      <c r="AU235" s="53">
        <f t="shared" si="1557"/>
        <v>1</v>
      </c>
      <c r="AV235" s="54">
        <f t="shared" si="1558"/>
        <v>1</v>
      </c>
      <c r="AW235" s="53">
        <f t="shared" si="1559"/>
        <v>1</v>
      </c>
      <c r="AX235" s="54">
        <f t="shared" si="1560"/>
        <v>1</v>
      </c>
      <c r="AY235" s="53">
        <f t="shared" si="1561"/>
        <v>0</v>
      </c>
      <c r="AZ235" s="54">
        <f t="shared" si="1562"/>
        <v>0</v>
      </c>
      <c r="BA235" s="53">
        <f t="shared" si="1563"/>
        <v>0</v>
      </c>
      <c r="BB235" s="54">
        <f t="shared" si="1564"/>
        <v>0</v>
      </c>
      <c r="BC235" s="49">
        <f t="shared" ref="BC235:BD235" si="1636">SUM(AS235,AU235,AW235,AY235,BA235)</f>
        <v>3</v>
      </c>
      <c r="BD235" s="50">
        <f t="shared" si="1636"/>
        <v>5</v>
      </c>
      <c r="BE235" s="68">
        <f t="shared" ref="BE235:BF235" si="1637">SUM(E235,G235,I235,O235,Q235,AC235,AQ235,BC235)</f>
        <v>21</v>
      </c>
      <c r="BF235" s="69">
        <f t="shared" si="1637"/>
        <v>40</v>
      </c>
      <c r="BG235" s="46" t="str">
        <f>BF235*'ОВгП_РАО'!$B$17</f>
        <v>#REF!</v>
      </c>
      <c r="BH235" s="46" t="str">
        <f>'ОВгП_РАО'!$B$17</f>
        <v>#REF!</v>
      </c>
    </row>
    <row r="236" ht="15.75" customHeight="1">
      <c r="A236" s="80">
        <f t="shared" si="1567"/>
        <v>46267</v>
      </c>
      <c r="B236" s="129" t="s">
        <v>137</v>
      </c>
      <c r="C236" s="47" t="s">
        <v>122</v>
      </c>
      <c r="D236" s="47" t="s">
        <v>136</v>
      </c>
      <c r="E236" s="73">
        <f t="shared" si="1518"/>
        <v>1</v>
      </c>
      <c r="F236" s="50">
        <f t="shared" si="1519"/>
        <v>2</v>
      </c>
      <c r="G236" s="73">
        <f t="shared" si="1520"/>
        <v>1</v>
      </c>
      <c r="H236" s="50">
        <f t="shared" si="1521"/>
        <v>2</v>
      </c>
      <c r="I236" s="73">
        <f t="shared" si="1522"/>
        <v>0</v>
      </c>
      <c r="J236" s="50">
        <f t="shared" si="1523"/>
        <v>0</v>
      </c>
      <c r="K236" s="53">
        <f t="shared" si="1524"/>
        <v>2</v>
      </c>
      <c r="L236" s="54">
        <f t="shared" si="1525"/>
        <v>4</v>
      </c>
      <c r="M236" s="53">
        <f t="shared" si="1526"/>
        <v>1</v>
      </c>
      <c r="N236" s="54">
        <f t="shared" si="1527"/>
        <v>1</v>
      </c>
      <c r="O236" s="49">
        <f t="shared" ref="O236:P236" si="1638">SUM(K236,M236)</f>
        <v>3</v>
      </c>
      <c r="P236" s="50">
        <f t="shared" si="1638"/>
        <v>5</v>
      </c>
      <c r="Q236" s="73">
        <f t="shared" si="1529"/>
        <v>1</v>
      </c>
      <c r="R236" s="50">
        <f t="shared" si="1530"/>
        <v>1</v>
      </c>
      <c r="S236" s="53">
        <f t="shared" si="1531"/>
        <v>1</v>
      </c>
      <c r="T236" s="54">
        <f t="shared" si="1532"/>
        <v>3</v>
      </c>
      <c r="U236" s="53">
        <f t="shared" si="1533"/>
        <v>1</v>
      </c>
      <c r="V236" s="54">
        <f t="shared" si="1534"/>
        <v>3</v>
      </c>
      <c r="W236" s="53">
        <f t="shared" si="1535"/>
        <v>2</v>
      </c>
      <c r="X236" s="54">
        <f t="shared" si="1536"/>
        <v>4</v>
      </c>
      <c r="Y236" s="53">
        <f t="shared" si="1537"/>
        <v>0</v>
      </c>
      <c r="Z236" s="54">
        <f t="shared" si="1538"/>
        <v>0</v>
      </c>
      <c r="AA236" s="53">
        <f t="shared" si="1539"/>
        <v>1</v>
      </c>
      <c r="AB236" s="54">
        <f t="shared" si="1540"/>
        <v>2</v>
      </c>
      <c r="AC236" s="49">
        <f t="shared" ref="AC236:AD236" si="1639">SUM(S236,U236,W236,Y236,AA236)</f>
        <v>5</v>
      </c>
      <c r="AD236" s="50">
        <f t="shared" si="1639"/>
        <v>12</v>
      </c>
      <c r="AE236" s="53">
        <f t="shared" si="1542"/>
        <v>1</v>
      </c>
      <c r="AF236" s="54">
        <f t="shared" si="1543"/>
        <v>2</v>
      </c>
      <c r="AG236" s="53">
        <f t="shared" si="1544"/>
        <v>1</v>
      </c>
      <c r="AH236" s="54">
        <f t="shared" si="1545"/>
        <v>2</v>
      </c>
      <c r="AI236" s="53">
        <f t="shared" si="1546"/>
        <v>1</v>
      </c>
      <c r="AJ236" s="54">
        <f t="shared" si="1547"/>
        <v>3</v>
      </c>
      <c r="AK236" s="53">
        <f t="shared" si="1548"/>
        <v>0</v>
      </c>
      <c r="AL236" s="54">
        <f t="shared" si="1549"/>
        <v>0</v>
      </c>
      <c r="AM236" s="53">
        <f t="shared" si="1550"/>
        <v>2</v>
      </c>
      <c r="AN236" s="54">
        <f t="shared" si="1551"/>
        <v>4</v>
      </c>
      <c r="AO236" s="53">
        <f t="shared" si="1552"/>
        <v>1</v>
      </c>
      <c r="AP236" s="54">
        <f t="shared" si="1553"/>
        <v>2</v>
      </c>
      <c r="AQ236" s="49">
        <f t="shared" ref="AQ236:AR236" si="1640">SUM(AG236,AI236,AK236,AM236,AO236)</f>
        <v>5</v>
      </c>
      <c r="AR236" s="50">
        <f t="shared" si="1640"/>
        <v>11</v>
      </c>
      <c r="AS236" s="53">
        <f t="shared" si="1555"/>
        <v>1</v>
      </c>
      <c r="AT236" s="54">
        <f t="shared" si="1556"/>
        <v>3</v>
      </c>
      <c r="AU236" s="53">
        <f t="shared" si="1557"/>
        <v>2</v>
      </c>
      <c r="AV236" s="54">
        <f t="shared" si="1558"/>
        <v>4</v>
      </c>
      <c r="AW236" s="53">
        <f t="shared" si="1559"/>
        <v>1</v>
      </c>
      <c r="AX236" s="54">
        <f t="shared" si="1560"/>
        <v>1</v>
      </c>
      <c r="AY236" s="53">
        <f t="shared" si="1561"/>
        <v>1</v>
      </c>
      <c r="AZ236" s="54">
        <f t="shared" si="1562"/>
        <v>3</v>
      </c>
      <c r="BA236" s="53">
        <f t="shared" si="1563"/>
        <v>0</v>
      </c>
      <c r="BB236" s="54">
        <f t="shared" si="1564"/>
        <v>0</v>
      </c>
      <c r="BC236" s="49">
        <f t="shared" ref="BC236:BD236" si="1641">SUM(AS236,AU236,AW236,AY236,BA236)</f>
        <v>5</v>
      </c>
      <c r="BD236" s="50">
        <f t="shared" si="1641"/>
        <v>11</v>
      </c>
      <c r="BE236" s="68">
        <f t="shared" ref="BE236:BF236" si="1642">SUM(E236,G236,I236,O236,Q236,AC236,AQ236,BC236)</f>
        <v>21</v>
      </c>
      <c r="BF236" s="69">
        <f t="shared" si="1642"/>
        <v>44</v>
      </c>
      <c r="BG236" s="46" t="str">
        <f>BF236*'ОВгП_РАО'!$B$18</f>
        <v>#REF!</v>
      </c>
      <c r="BH236" s="46" t="str">
        <f>'ОВгП_РАО'!$B$18</f>
        <v>#REF!</v>
      </c>
    </row>
    <row r="237" ht="15.75" customHeight="1">
      <c r="A237" s="80">
        <f t="shared" si="1567"/>
        <v>46267</v>
      </c>
      <c r="B237" s="129" t="s">
        <v>138</v>
      </c>
      <c r="C237" s="47" t="s">
        <v>122</v>
      </c>
      <c r="D237" s="47" t="s">
        <v>139</v>
      </c>
      <c r="E237" s="73">
        <f t="shared" si="1518"/>
        <v>2</v>
      </c>
      <c r="F237" s="50">
        <f t="shared" si="1519"/>
        <v>4</v>
      </c>
      <c r="G237" s="73">
        <f t="shared" si="1520"/>
        <v>2</v>
      </c>
      <c r="H237" s="50">
        <f t="shared" si="1521"/>
        <v>4</v>
      </c>
      <c r="I237" s="73">
        <f t="shared" si="1522"/>
        <v>1</v>
      </c>
      <c r="J237" s="50">
        <f t="shared" si="1523"/>
        <v>1</v>
      </c>
      <c r="K237" s="53">
        <f t="shared" si="1524"/>
        <v>1</v>
      </c>
      <c r="L237" s="54">
        <f t="shared" si="1525"/>
        <v>3</v>
      </c>
      <c r="M237" s="53">
        <f t="shared" si="1526"/>
        <v>1</v>
      </c>
      <c r="N237" s="54">
        <f t="shared" si="1527"/>
        <v>2</v>
      </c>
      <c r="O237" s="49">
        <f t="shared" ref="O237:P237" si="1643">SUM(K237,M237)</f>
        <v>2</v>
      </c>
      <c r="P237" s="50">
        <f t="shared" si="1643"/>
        <v>5</v>
      </c>
      <c r="Q237" s="73">
        <f t="shared" si="1529"/>
        <v>0</v>
      </c>
      <c r="R237" s="50">
        <f t="shared" si="1530"/>
        <v>0</v>
      </c>
      <c r="S237" s="53">
        <f t="shared" si="1531"/>
        <v>1</v>
      </c>
      <c r="T237" s="54">
        <f t="shared" si="1532"/>
        <v>2</v>
      </c>
      <c r="U237" s="53">
        <f t="shared" si="1533"/>
        <v>1</v>
      </c>
      <c r="V237" s="54">
        <f t="shared" si="1534"/>
        <v>3</v>
      </c>
      <c r="W237" s="53">
        <f t="shared" si="1535"/>
        <v>0</v>
      </c>
      <c r="X237" s="54">
        <f t="shared" si="1536"/>
        <v>0</v>
      </c>
      <c r="Y237" s="53">
        <f t="shared" si="1537"/>
        <v>2</v>
      </c>
      <c r="Z237" s="54">
        <f t="shared" si="1538"/>
        <v>4</v>
      </c>
      <c r="AA237" s="53">
        <f t="shared" si="1539"/>
        <v>0</v>
      </c>
      <c r="AB237" s="54">
        <f t="shared" si="1540"/>
        <v>0</v>
      </c>
      <c r="AC237" s="49">
        <f t="shared" ref="AC237:AD237" si="1644">SUM(S237,U237,W237,Y237,AA237)</f>
        <v>4</v>
      </c>
      <c r="AD237" s="50">
        <f t="shared" si="1644"/>
        <v>9</v>
      </c>
      <c r="AE237" s="53">
        <f t="shared" si="1542"/>
        <v>0</v>
      </c>
      <c r="AF237" s="54">
        <f t="shared" si="1543"/>
        <v>0</v>
      </c>
      <c r="AG237" s="53">
        <f t="shared" si="1544"/>
        <v>2</v>
      </c>
      <c r="AH237" s="54">
        <f t="shared" si="1545"/>
        <v>4</v>
      </c>
      <c r="AI237" s="53">
        <f t="shared" si="1546"/>
        <v>1</v>
      </c>
      <c r="AJ237" s="54">
        <f t="shared" si="1547"/>
        <v>1</v>
      </c>
      <c r="AK237" s="53">
        <f t="shared" si="1548"/>
        <v>0</v>
      </c>
      <c r="AL237" s="54">
        <f t="shared" si="1549"/>
        <v>0</v>
      </c>
      <c r="AM237" s="53">
        <f t="shared" si="1550"/>
        <v>0</v>
      </c>
      <c r="AN237" s="54">
        <f t="shared" si="1551"/>
        <v>0</v>
      </c>
      <c r="AO237" s="53">
        <f t="shared" si="1552"/>
        <v>2</v>
      </c>
      <c r="AP237" s="54">
        <f t="shared" si="1553"/>
        <v>4</v>
      </c>
      <c r="AQ237" s="49">
        <f t="shared" ref="AQ237:AR237" si="1645">SUM(AG237,AI237,AK237,AM237,AO237)</f>
        <v>5</v>
      </c>
      <c r="AR237" s="50">
        <f t="shared" si="1645"/>
        <v>9</v>
      </c>
      <c r="AS237" s="53">
        <f t="shared" si="1555"/>
        <v>0</v>
      </c>
      <c r="AT237" s="54">
        <f t="shared" si="1556"/>
        <v>0</v>
      </c>
      <c r="AU237" s="53">
        <f t="shared" si="1557"/>
        <v>1</v>
      </c>
      <c r="AV237" s="54">
        <f t="shared" si="1558"/>
        <v>1</v>
      </c>
      <c r="AW237" s="53">
        <f t="shared" si="1559"/>
        <v>0</v>
      </c>
      <c r="AX237" s="54">
        <f t="shared" si="1560"/>
        <v>0</v>
      </c>
      <c r="AY237" s="53">
        <f t="shared" si="1561"/>
        <v>2</v>
      </c>
      <c r="AZ237" s="54">
        <f t="shared" si="1562"/>
        <v>4</v>
      </c>
      <c r="BA237" s="53">
        <f t="shared" si="1563"/>
        <v>0</v>
      </c>
      <c r="BB237" s="54">
        <f t="shared" si="1564"/>
        <v>0</v>
      </c>
      <c r="BC237" s="49">
        <f t="shared" ref="BC237:BD237" si="1646">SUM(AS237,AU237,AW237,AY237,BA237)</f>
        <v>3</v>
      </c>
      <c r="BD237" s="50">
        <f t="shared" si="1646"/>
        <v>5</v>
      </c>
      <c r="BE237" s="68">
        <f t="shared" ref="BE237:BF237" si="1647">SUM(E237,G237,I237,O237,Q237,AC237,AQ237,BC237)</f>
        <v>19</v>
      </c>
      <c r="BF237" s="69">
        <f t="shared" si="1647"/>
        <v>37</v>
      </c>
      <c r="BG237" s="46" t="str">
        <f>BF237*'ОВгП_РАО'!$B$19</f>
        <v>#REF!</v>
      </c>
      <c r="BH237" s="46" t="str">
        <f>'ОВгП_РАО'!$B$19</f>
        <v>#REF!</v>
      </c>
    </row>
    <row r="238" ht="15.75" customHeight="1">
      <c r="A238" s="80">
        <f t="shared" si="1567"/>
        <v>46267</v>
      </c>
      <c r="B238" s="129" t="s">
        <v>140</v>
      </c>
      <c r="C238" s="47" t="s">
        <v>122</v>
      </c>
      <c r="D238" s="47" t="s">
        <v>139</v>
      </c>
      <c r="E238" s="73">
        <f t="shared" si="1518"/>
        <v>2</v>
      </c>
      <c r="F238" s="50">
        <f t="shared" si="1519"/>
        <v>4</v>
      </c>
      <c r="G238" s="73">
        <f t="shared" si="1520"/>
        <v>0</v>
      </c>
      <c r="H238" s="50">
        <f t="shared" si="1521"/>
        <v>0</v>
      </c>
      <c r="I238" s="73">
        <f t="shared" si="1522"/>
        <v>1</v>
      </c>
      <c r="J238" s="50">
        <f t="shared" si="1523"/>
        <v>1</v>
      </c>
      <c r="K238" s="53">
        <f t="shared" si="1524"/>
        <v>1</v>
      </c>
      <c r="L238" s="54">
        <f t="shared" si="1525"/>
        <v>2</v>
      </c>
      <c r="M238" s="53">
        <f t="shared" si="1526"/>
        <v>0</v>
      </c>
      <c r="N238" s="54">
        <f t="shared" si="1527"/>
        <v>0</v>
      </c>
      <c r="O238" s="49">
        <f t="shared" ref="O238:P238" si="1648">SUM(K238,M238)</f>
        <v>1</v>
      </c>
      <c r="P238" s="50">
        <f t="shared" si="1648"/>
        <v>2</v>
      </c>
      <c r="Q238" s="73">
        <f t="shared" si="1529"/>
        <v>1</v>
      </c>
      <c r="R238" s="50">
        <f t="shared" si="1530"/>
        <v>1</v>
      </c>
      <c r="S238" s="53">
        <f t="shared" si="1531"/>
        <v>1</v>
      </c>
      <c r="T238" s="54">
        <f t="shared" si="1532"/>
        <v>2</v>
      </c>
      <c r="U238" s="53">
        <f t="shared" si="1533"/>
        <v>2</v>
      </c>
      <c r="V238" s="54">
        <f t="shared" si="1534"/>
        <v>4</v>
      </c>
      <c r="W238" s="53">
        <f t="shared" si="1535"/>
        <v>1</v>
      </c>
      <c r="X238" s="54">
        <f t="shared" si="1536"/>
        <v>1</v>
      </c>
      <c r="Y238" s="53">
        <f t="shared" si="1537"/>
        <v>1</v>
      </c>
      <c r="Z238" s="54">
        <f t="shared" si="1538"/>
        <v>3</v>
      </c>
      <c r="AA238" s="53">
        <f t="shared" si="1539"/>
        <v>1</v>
      </c>
      <c r="AB238" s="54">
        <f t="shared" si="1540"/>
        <v>1</v>
      </c>
      <c r="AC238" s="49">
        <f t="shared" ref="AC238:AD238" si="1649">SUM(S238,U238,W238,Y238,AA238)</f>
        <v>6</v>
      </c>
      <c r="AD238" s="50">
        <f t="shared" si="1649"/>
        <v>11</v>
      </c>
      <c r="AE238" s="53">
        <f t="shared" si="1542"/>
        <v>1</v>
      </c>
      <c r="AF238" s="54">
        <f t="shared" si="1543"/>
        <v>3</v>
      </c>
      <c r="AG238" s="53">
        <f t="shared" si="1544"/>
        <v>2</v>
      </c>
      <c r="AH238" s="54">
        <f t="shared" si="1545"/>
        <v>4</v>
      </c>
      <c r="AI238" s="53">
        <f t="shared" si="1546"/>
        <v>1</v>
      </c>
      <c r="AJ238" s="54">
        <f t="shared" si="1547"/>
        <v>2</v>
      </c>
      <c r="AK238" s="53">
        <f t="shared" si="1548"/>
        <v>1</v>
      </c>
      <c r="AL238" s="54">
        <f t="shared" si="1549"/>
        <v>1</v>
      </c>
      <c r="AM238" s="53">
        <f t="shared" si="1550"/>
        <v>0</v>
      </c>
      <c r="AN238" s="54">
        <f t="shared" si="1551"/>
        <v>0</v>
      </c>
      <c r="AO238" s="53">
        <f t="shared" si="1552"/>
        <v>0</v>
      </c>
      <c r="AP238" s="54">
        <f t="shared" si="1553"/>
        <v>0</v>
      </c>
      <c r="AQ238" s="49">
        <f t="shared" ref="AQ238:AR238" si="1650">SUM(AG238,AI238,AK238,AM238,AO238)</f>
        <v>4</v>
      </c>
      <c r="AR238" s="50">
        <f t="shared" si="1650"/>
        <v>7</v>
      </c>
      <c r="AS238" s="53">
        <f t="shared" si="1555"/>
        <v>1</v>
      </c>
      <c r="AT238" s="54">
        <f t="shared" si="1556"/>
        <v>1</v>
      </c>
      <c r="AU238" s="53">
        <f t="shared" si="1557"/>
        <v>1</v>
      </c>
      <c r="AV238" s="54">
        <f t="shared" si="1558"/>
        <v>3</v>
      </c>
      <c r="AW238" s="53">
        <f t="shared" si="1559"/>
        <v>2</v>
      </c>
      <c r="AX238" s="54">
        <f t="shared" si="1560"/>
        <v>4</v>
      </c>
      <c r="AY238" s="53">
        <f t="shared" si="1561"/>
        <v>1</v>
      </c>
      <c r="AZ238" s="54">
        <f t="shared" si="1562"/>
        <v>1</v>
      </c>
      <c r="BA238" s="53">
        <f t="shared" si="1563"/>
        <v>2</v>
      </c>
      <c r="BB238" s="54">
        <f t="shared" si="1564"/>
        <v>4</v>
      </c>
      <c r="BC238" s="49">
        <f t="shared" ref="BC238:BD238" si="1651">SUM(AS238,AU238,AW238,AY238,BA238)</f>
        <v>7</v>
      </c>
      <c r="BD238" s="50">
        <f t="shared" si="1651"/>
        <v>13</v>
      </c>
      <c r="BE238" s="68">
        <f t="shared" ref="BE238:BF238" si="1652">SUM(E238,G238,I238,O238,Q238,AC238,AQ238,BC238)</f>
        <v>22</v>
      </c>
      <c r="BF238" s="69">
        <f t="shared" si="1652"/>
        <v>39</v>
      </c>
      <c r="BG238" s="46" t="str">
        <f>BF238*'ОВгП_РАО'!$B$20</f>
        <v>#REF!</v>
      </c>
      <c r="BH238" s="46" t="str">
        <f>'ОВгП_РАО'!$B$20</f>
        <v>#REF!</v>
      </c>
    </row>
    <row r="239" ht="15.75" customHeight="1">
      <c r="A239" s="80">
        <f t="shared" si="1567"/>
        <v>46267</v>
      </c>
      <c r="B239" s="129" t="s">
        <v>141</v>
      </c>
      <c r="C239" s="47" t="s">
        <v>122</v>
      </c>
      <c r="D239" s="47" t="s">
        <v>139</v>
      </c>
      <c r="E239" s="73">
        <f t="shared" si="1518"/>
        <v>1</v>
      </c>
      <c r="F239" s="50">
        <f t="shared" si="1519"/>
        <v>2</v>
      </c>
      <c r="G239" s="73">
        <f t="shared" si="1520"/>
        <v>2</v>
      </c>
      <c r="H239" s="50">
        <f t="shared" si="1521"/>
        <v>4</v>
      </c>
      <c r="I239" s="73">
        <f t="shared" si="1522"/>
        <v>2</v>
      </c>
      <c r="J239" s="50">
        <f t="shared" si="1523"/>
        <v>4</v>
      </c>
      <c r="K239" s="53">
        <f t="shared" si="1524"/>
        <v>1</v>
      </c>
      <c r="L239" s="54">
        <f t="shared" si="1525"/>
        <v>1</v>
      </c>
      <c r="M239" s="53">
        <f t="shared" si="1526"/>
        <v>1</v>
      </c>
      <c r="N239" s="54">
        <f t="shared" si="1527"/>
        <v>2</v>
      </c>
      <c r="O239" s="49">
        <f t="shared" ref="O239:P239" si="1653">SUM(K239,M239)</f>
        <v>2</v>
      </c>
      <c r="P239" s="50">
        <f t="shared" si="1653"/>
        <v>3</v>
      </c>
      <c r="Q239" s="73">
        <f t="shared" si="1529"/>
        <v>0</v>
      </c>
      <c r="R239" s="50">
        <f t="shared" si="1530"/>
        <v>0</v>
      </c>
      <c r="S239" s="53">
        <f t="shared" si="1531"/>
        <v>1</v>
      </c>
      <c r="T239" s="54">
        <f t="shared" si="1532"/>
        <v>2</v>
      </c>
      <c r="U239" s="53">
        <f t="shared" si="1533"/>
        <v>2</v>
      </c>
      <c r="V239" s="54">
        <f t="shared" si="1534"/>
        <v>4</v>
      </c>
      <c r="W239" s="53">
        <f t="shared" si="1535"/>
        <v>1</v>
      </c>
      <c r="X239" s="54">
        <f t="shared" si="1536"/>
        <v>3</v>
      </c>
      <c r="Y239" s="53">
        <f t="shared" si="1537"/>
        <v>0</v>
      </c>
      <c r="Z239" s="54">
        <f t="shared" si="1538"/>
        <v>0</v>
      </c>
      <c r="AA239" s="53">
        <f t="shared" si="1539"/>
        <v>1</v>
      </c>
      <c r="AB239" s="54">
        <f t="shared" si="1540"/>
        <v>3</v>
      </c>
      <c r="AC239" s="49">
        <f t="shared" ref="AC239:AD239" si="1654">SUM(S239,U239,W239,Y239,AA239)</f>
        <v>5</v>
      </c>
      <c r="AD239" s="50">
        <f t="shared" si="1654"/>
        <v>12</v>
      </c>
      <c r="AE239" s="53">
        <f t="shared" si="1542"/>
        <v>0</v>
      </c>
      <c r="AF239" s="54">
        <f t="shared" si="1543"/>
        <v>0</v>
      </c>
      <c r="AG239" s="53">
        <f t="shared" si="1544"/>
        <v>1</v>
      </c>
      <c r="AH239" s="54">
        <f t="shared" si="1545"/>
        <v>1</v>
      </c>
      <c r="AI239" s="53">
        <f t="shared" si="1546"/>
        <v>1</v>
      </c>
      <c r="AJ239" s="54">
        <f t="shared" si="1547"/>
        <v>2</v>
      </c>
      <c r="AK239" s="53">
        <f t="shared" si="1548"/>
        <v>2</v>
      </c>
      <c r="AL239" s="54">
        <f t="shared" si="1549"/>
        <v>4</v>
      </c>
      <c r="AM239" s="53">
        <f t="shared" si="1550"/>
        <v>1</v>
      </c>
      <c r="AN239" s="54">
        <f t="shared" si="1551"/>
        <v>2</v>
      </c>
      <c r="AO239" s="53">
        <f t="shared" si="1552"/>
        <v>0</v>
      </c>
      <c r="AP239" s="54">
        <f t="shared" si="1553"/>
        <v>0</v>
      </c>
      <c r="AQ239" s="49">
        <f t="shared" ref="AQ239:AR239" si="1655">SUM(AG239,AI239,AK239,AM239,AO239)</f>
        <v>5</v>
      </c>
      <c r="AR239" s="50">
        <f t="shared" si="1655"/>
        <v>9</v>
      </c>
      <c r="AS239" s="53">
        <f t="shared" si="1555"/>
        <v>1</v>
      </c>
      <c r="AT239" s="54">
        <f t="shared" si="1556"/>
        <v>1</v>
      </c>
      <c r="AU239" s="53">
        <f t="shared" si="1557"/>
        <v>1</v>
      </c>
      <c r="AV239" s="54">
        <f t="shared" si="1558"/>
        <v>2</v>
      </c>
      <c r="AW239" s="53">
        <f t="shared" si="1559"/>
        <v>1</v>
      </c>
      <c r="AX239" s="54">
        <f t="shared" si="1560"/>
        <v>3</v>
      </c>
      <c r="AY239" s="53">
        <f t="shared" si="1561"/>
        <v>1</v>
      </c>
      <c r="AZ239" s="54">
        <f t="shared" si="1562"/>
        <v>3</v>
      </c>
      <c r="BA239" s="53">
        <f t="shared" si="1563"/>
        <v>0</v>
      </c>
      <c r="BB239" s="54">
        <f t="shared" si="1564"/>
        <v>0</v>
      </c>
      <c r="BC239" s="49">
        <f t="shared" ref="BC239:BD239" si="1656">SUM(AS239,AU239,AW239,AY239,BA239)</f>
        <v>4</v>
      </c>
      <c r="BD239" s="50">
        <f t="shared" si="1656"/>
        <v>9</v>
      </c>
      <c r="BE239" s="68">
        <f t="shared" ref="BE239:BF239" si="1657">SUM(E239,G239,I239,O239,Q239,AC239,AQ239,BC239)</f>
        <v>21</v>
      </c>
      <c r="BF239" s="69">
        <f t="shared" si="1657"/>
        <v>43</v>
      </c>
      <c r="BG239" s="46" t="str">
        <f>BF239*'ОВгП_РАО'!$B$21</f>
        <v>#REF!</v>
      </c>
      <c r="BH239" s="46" t="str">
        <f>'ОВгП_РАО'!$B$21</f>
        <v>#REF!</v>
      </c>
    </row>
    <row r="240" ht="15.75" customHeight="1">
      <c r="A240" s="80">
        <f t="shared" si="1567"/>
        <v>46267</v>
      </c>
      <c r="B240" s="47" t="s">
        <v>142</v>
      </c>
      <c r="C240" s="46" t="s">
        <v>96</v>
      </c>
      <c r="D240" s="47" t="s">
        <v>98</v>
      </c>
      <c r="E240" s="73">
        <f t="shared" si="1518"/>
        <v>1</v>
      </c>
      <c r="F240" s="50">
        <f t="shared" si="1519"/>
        <v>1</v>
      </c>
      <c r="G240" s="73">
        <f t="shared" si="1520"/>
        <v>2</v>
      </c>
      <c r="H240" s="50">
        <f t="shared" si="1521"/>
        <v>4</v>
      </c>
      <c r="I240" s="73">
        <f t="shared" si="1522"/>
        <v>1</v>
      </c>
      <c r="J240" s="50">
        <f t="shared" si="1523"/>
        <v>1</v>
      </c>
      <c r="K240" s="53">
        <f t="shared" si="1524"/>
        <v>2</v>
      </c>
      <c r="L240" s="54">
        <f t="shared" si="1525"/>
        <v>4</v>
      </c>
      <c r="M240" s="53">
        <f t="shared" si="1526"/>
        <v>1</v>
      </c>
      <c r="N240" s="54">
        <f t="shared" si="1527"/>
        <v>2</v>
      </c>
      <c r="O240" s="49">
        <f t="shared" ref="O240:P240" si="1658">SUM(K240,M240)</f>
        <v>3</v>
      </c>
      <c r="P240" s="50">
        <f t="shared" si="1658"/>
        <v>6</v>
      </c>
      <c r="Q240" s="73">
        <f t="shared" si="1529"/>
        <v>0</v>
      </c>
      <c r="R240" s="50">
        <f t="shared" si="1530"/>
        <v>0</v>
      </c>
      <c r="S240" s="53">
        <f t="shared" si="1531"/>
        <v>1</v>
      </c>
      <c r="T240" s="54">
        <f t="shared" si="1532"/>
        <v>1</v>
      </c>
      <c r="U240" s="53">
        <f t="shared" si="1533"/>
        <v>1</v>
      </c>
      <c r="V240" s="54">
        <f t="shared" si="1534"/>
        <v>2</v>
      </c>
      <c r="W240" s="53">
        <f t="shared" si="1535"/>
        <v>0</v>
      </c>
      <c r="X240" s="54">
        <f t="shared" si="1536"/>
        <v>0</v>
      </c>
      <c r="Y240" s="53">
        <f t="shared" si="1537"/>
        <v>1</v>
      </c>
      <c r="Z240" s="54">
        <f t="shared" si="1538"/>
        <v>3</v>
      </c>
      <c r="AA240" s="53">
        <f t="shared" si="1539"/>
        <v>2</v>
      </c>
      <c r="AB240" s="54">
        <f t="shared" si="1540"/>
        <v>4</v>
      </c>
      <c r="AC240" s="49">
        <f t="shared" ref="AC240:AD240" si="1659">SUM(S240,U240,W240,Y240,AA240)</f>
        <v>5</v>
      </c>
      <c r="AD240" s="50">
        <f t="shared" si="1659"/>
        <v>10</v>
      </c>
      <c r="AE240" s="53">
        <f t="shared" si="1542"/>
        <v>1</v>
      </c>
      <c r="AF240" s="54">
        <f t="shared" si="1543"/>
        <v>2</v>
      </c>
      <c r="AG240" s="53">
        <f t="shared" si="1544"/>
        <v>1</v>
      </c>
      <c r="AH240" s="54">
        <f t="shared" si="1545"/>
        <v>3</v>
      </c>
      <c r="AI240" s="53">
        <f t="shared" si="1546"/>
        <v>1</v>
      </c>
      <c r="AJ240" s="54">
        <f t="shared" si="1547"/>
        <v>2</v>
      </c>
      <c r="AK240" s="53">
        <f t="shared" si="1548"/>
        <v>1</v>
      </c>
      <c r="AL240" s="54">
        <f t="shared" si="1549"/>
        <v>1</v>
      </c>
      <c r="AM240" s="53">
        <f t="shared" si="1550"/>
        <v>0</v>
      </c>
      <c r="AN240" s="54">
        <f t="shared" si="1551"/>
        <v>0</v>
      </c>
      <c r="AO240" s="53">
        <f t="shared" si="1552"/>
        <v>1</v>
      </c>
      <c r="AP240" s="54">
        <f t="shared" si="1553"/>
        <v>3</v>
      </c>
      <c r="AQ240" s="49">
        <f t="shared" ref="AQ240:AR240" si="1660">SUM(AG240,AI240,AK240,AM240,AO240)</f>
        <v>4</v>
      </c>
      <c r="AR240" s="50">
        <f t="shared" si="1660"/>
        <v>9</v>
      </c>
      <c r="AS240" s="53">
        <f t="shared" si="1555"/>
        <v>0</v>
      </c>
      <c r="AT240" s="54">
        <f t="shared" si="1556"/>
        <v>0</v>
      </c>
      <c r="AU240" s="53">
        <f t="shared" si="1557"/>
        <v>0</v>
      </c>
      <c r="AV240" s="54">
        <f t="shared" si="1558"/>
        <v>0</v>
      </c>
      <c r="AW240" s="53">
        <f t="shared" si="1559"/>
        <v>0</v>
      </c>
      <c r="AX240" s="54">
        <f t="shared" si="1560"/>
        <v>0</v>
      </c>
      <c r="AY240" s="53">
        <f t="shared" si="1561"/>
        <v>0</v>
      </c>
      <c r="AZ240" s="54">
        <f t="shared" si="1562"/>
        <v>0</v>
      </c>
      <c r="BA240" s="53">
        <f t="shared" si="1563"/>
        <v>1</v>
      </c>
      <c r="BB240" s="54">
        <f t="shared" si="1564"/>
        <v>1</v>
      </c>
      <c r="BC240" s="49">
        <f t="shared" ref="BC240:BD240" si="1661">SUM(AS240,AU240,AW240,AY240,BA240)</f>
        <v>1</v>
      </c>
      <c r="BD240" s="50">
        <f t="shared" si="1661"/>
        <v>1</v>
      </c>
      <c r="BE240" s="68">
        <f t="shared" ref="BE240:BF240" si="1662">SUM(E240,G240,I240,O240,Q240,AC240,AQ240,BC240)</f>
        <v>17</v>
      </c>
      <c r="BF240" s="69">
        <f t="shared" si="1662"/>
        <v>32</v>
      </c>
      <c r="BG240" s="46" t="str">
        <f>BF240*'ОВгП_РАО'!$B$22</f>
        <v>#REF!</v>
      </c>
      <c r="BH240" s="46" t="str">
        <f>'ОВгП_РАО'!$B$22</f>
        <v>#REF!</v>
      </c>
    </row>
    <row r="241" ht="15.75" customHeight="1">
      <c r="A241" s="80">
        <f t="shared" si="1567"/>
        <v>46267</v>
      </c>
      <c r="B241" s="47" t="s">
        <v>143</v>
      </c>
      <c r="C241" s="46" t="s">
        <v>96</v>
      </c>
      <c r="D241" s="47" t="s">
        <v>98</v>
      </c>
      <c r="E241" s="73">
        <f t="shared" si="1518"/>
        <v>0</v>
      </c>
      <c r="F241" s="50">
        <f t="shared" si="1519"/>
        <v>0</v>
      </c>
      <c r="G241" s="73">
        <f t="shared" si="1520"/>
        <v>1</v>
      </c>
      <c r="H241" s="50">
        <f t="shared" si="1521"/>
        <v>3</v>
      </c>
      <c r="I241" s="73">
        <f t="shared" si="1522"/>
        <v>1</v>
      </c>
      <c r="J241" s="50">
        <f t="shared" si="1523"/>
        <v>1</v>
      </c>
      <c r="K241" s="53">
        <f t="shared" si="1524"/>
        <v>0</v>
      </c>
      <c r="L241" s="54">
        <f t="shared" si="1525"/>
        <v>0</v>
      </c>
      <c r="M241" s="53">
        <f t="shared" si="1526"/>
        <v>1</v>
      </c>
      <c r="N241" s="54">
        <f t="shared" si="1527"/>
        <v>3</v>
      </c>
      <c r="O241" s="49">
        <f t="shared" ref="O241:P241" si="1663">SUM(K241,M241)</f>
        <v>1</v>
      </c>
      <c r="P241" s="50">
        <f t="shared" si="1663"/>
        <v>3</v>
      </c>
      <c r="Q241" s="73">
        <f t="shared" si="1529"/>
        <v>0</v>
      </c>
      <c r="R241" s="50">
        <f t="shared" si="1530"/>
        <v>0</v>
      </c>
      <c r="S241" s="53">
        <f t="shared" si="1531"/>
        <v>1</v>
      </c>
      <c r="T241" s="54">
        <f t="shared" si="1532"/>
        <v>2</v>
      </c>
      <c r="U241" s="53">
        <f t="shared" si="1533"/>
        <v>2</v>
      </c>
      <c r="V241" s="54">
        <f t="shared" si="1534"/>
        <v>4</v>
      </c>
      <c r="W241" s="53">
        <f t="shared" si="1535"/>
        <v>2</v>
      </c>
      <c r="X241" s="54">
        <f t="shared" si="1536"/>
        <v>4</v>
      </c>
      <c r="Y241" s="53">
        <f t="shared" si="1537"/>
        <v>0</v>
      </c>
      <c r="Z241" s="54">
        <f t="shared" si="1538"/>
        <v>0</v>
      </c>
      <c r="AA241" s="53">
        <f t="shared" si="1539"/>
        <v>1</v>
      </c>
      <c r="AB241" s="54">
        <f t="shared" si="1540"/>
        <v>1</v>
      </c>
      <c r="AC241" s="49">
        <f t="shared" ref="AC241:AD241" si="1664">SUM(S241,U241,W241,Y241,AA241)</f>
        <v>6</v>
      </c>
      <c r="AD241" s="50">
        <f t="shared" si="1664"/>
        <v>11</v>
      </c>
      <c r="AE241" s="53">
        <f t="shared" si="1542"/>
        <v>1</v>
      </c>
      <c r="AF241" s="54">
        <f t="shared" si="1543"/>
        <v>3</v>
      </c>
      <c r="AG241" s="53">
        <f t="shared" si="1544"/>
        <v>0</v>
      </c>
      <c r="AH241" s="54">
        <f t="shared" si="1545"/>
        <v>0</v>
      </c>
      <c r="AI241" s="53">
        <f t="shared" si="1546"/>
        <v>2</v>
      </c>
      <c r="AJ241" s="54">
        <f t="shared" si="1547"/>
        <v>4</v>
      </c>
      <c r="AK241" s="53">
        <f t="shared" si="1548"/>
        <v>1</v>
      </c>
      <c r="AL241" s="54">
        <f t="shared" si="1549"/>
        <v>1</v>
      </c>
      <c r="AM241" s="53">
        <f t="shared" si="1550"/>
        <v>2</v>
      </c>
      <c r="AN241" s="54">
        <f t="shared" si="1551"/>
        <v>4</v>
      </c>
      <c r="AO241" s="53">
        <f t="shared" si="1552"/>
        <v>1</v>
      </c>
      <c r="AP241" s="54">
        <f t="shared" si="1553"/>
        <v>2</v>
      </c>
      <c r="AQ241" s="49">
        <f t="shared" ref="AQ241:AR241" si="1665">SUM(AG241,AI241,AK241,AM241,AO241)</f>
        <v>6</v>
      </c>
      <c r="AR241" s="50">
        <f t="shared" si="1665"/>
        <v>11</v>
      </c>
      <c r="AS241" s="53">
        <f t="shared" si="1555"/>
        <v>1</v>
      </c>
      <c r="AT241" s="54">
        <f t="shared" si="1556"/>
        <v>3</v>
      </c>
      <c r="AU241" s="53">
        <f t="shared" si="1557"/>
        <v>0</v>
      </c>
      <c r="AV241" s="54">
        <f t="shared" si="1558"/>
        <v>0</v>
      </c>
      <c r="AW241" s="53">
        <f t="shared" si="1559"/>
        <v>1</v>
      </c>
      <c r="AX241" s="54">
        <f t="shared" si="1560"/>
        <v>3</v>
      </c>
      <c r="AY241" s="53">
        <f t="shared" si="1561"/>
        <v>0</v>
      </c>
      <c r="AZ241" s="54">
        <f t="shared" si="1562"/>
        <v>0</v>
      </c>
      <c r="BA241" s="53">
        <f t="shared" si="1563"/>
        <v>1</v>
      </c>
      <c r="BB241" s="54">
        <f t="shared" si="1564"/>
        <v>1</v>
      </c>
      <c r="BC241" s="49">
        <f t="shared" ref="BC241:BD241" si="1666">SUM(AS241,AU241,AW241,AY241,BA241)</f>
        <v>3</v>
      </c>
      <c r="BD241" s="50">
        <f t="shared" si="1666"/>
        <v>7</v>
      </c>
      <c r="BE241" s="68">
        <f t="shared" ref="BE241:BF241" si="1667">SUM(E241,G241,I241,O241,Q241,AC241,AQ241,BC241)</f>
        <v>18</v>
      </c>
      <c r="BF241" s="69">
        <f t="shared" si="1667"/>
        <v>36</v>
      </c>
      <c r="BG241" s="46" t="str">
        <f>BF241*'ОВгП_РАО'!$B$23</f>
        <v>#REF!</v>
      </c>
      <c r="BH241" s="46" t="str">
        <f>'ОВгП_РАО'!$B$23</f>
        <v>#REF!</v>
      </c>
    </row>
    <row r="242" ht="15.75" customHeight="1">
      <c r="A242" s="80">
        <f t="shared" si="1567"/>
        <v>46267</v>
      </c>
      <c r="B242" s="47" t="s">
        <v>144</v>
      </c>
      <c r="C242" s="46" t="s">
        <v>96</v>
      </c>
      <c r="D242" s="47" t="s">
        <v>145</v>
      </c>
      <c r="E242" s="73">
        <f t="shared" si="1518"/>
        <v>2</v>
      </c>
      <c r="F242" s="50">
        <f t="shared" si="1519"/>
        <v>4</v>
      </c>
      <c r="G242" s="73">
        <f t="shared" si="1520"/>
        <v>1</v>
      </c>
      <c r="H242" s="50">
        <f t="shared" si="1521"/>
        <v>2</v>
      </c>
      <c r="I242" s="73">
        <f t="shared" si="1522"/>
        <v>1</v>
      </c>
      <c r="J242" s="50">
        <f t="shared" si="1523"/>
        <v>1</v>
      </c>
      <c r="K242" s="53">
        <f t="shared" si="1524"/>
        <v>1</v>
      </c>
      <c r="L242" s="54">
        <f t="shared" si="1525"/>
        <v>2</v>
      </c>
      <c r="M242" s="53">
        <f t="shared" si="1526"/>
        <v>1</v>
      </c>
      <c r="N242" s="54">
        <f t="shared" si="1527"/>
        <v>1</v>
      </c>
      <c r="O242" s="49">
        <f t="shared" ref="O242:P242" si="1668">SUM(K242,M242)</f>
        <v>2</v>
      </c>
      <c r="P242" s="50">
        <f t="shared" si="1668"/>
        <v>3</v>
      </c>
      <c r="Q242" s="73">
        <f t="shared" si="1529"/>
        <v>1</v>
      </c>
      <c r="R242" s="50">
        <f t="shared" si="1530"/>
        <v>3</v>
      </c>
      <c r="S242" s="53">
        <f t="shared" si="1531"/>
        <v>1</v>
      </c>
      <c r="T242" s="54">
        <f t="shared" si="1532"/>
        <v>1</v>
      </c>
      <c r="U242" s="53">
        <f t="shared" si="1533"/>
        <v>1</v>
      </c>
      <c r="V242" s="54">
        <f t="shared" si="1534"/>
        <v>3</v>
      </c>
      <c r="W242" s="53">
        <f t="shared" si="1535"/>
        <v>1</v>
      </c>
      <c r="X242" s="54">
        <f t="shared" si="1536"/>
        <v>3</v>
      </c>
      <c r="Y242" s="53">
        <f t="shared" si="1537"/>
        <v>0</v>
      </c>
      <c r="Z242" s="54">
        <f t="shared" si="1538"/>
        <v>0</v>
      </c>
      <c r="AA242" s="53">
        <f t="shared" si="1539"/>
        <v>2</v>
      </c>
      <c r="AB242" s="54">
        <f t="shared" si="1540"/>
        <v>4</v>
      </c>
      <c r="AC242" s="49">
        <f t="shared" ref="AC242:AD242" si="1669">SUM(S242,U242,W242,Y242,AA242)</f>
        <v>5</v>
      </c>
      <c r="AD242" s="50">
        <f t="shared" si="1669"/>
        <v>11</v>
      </c>
      <c r="AE242" s="53">
        <f t="shared" si="1542"/>
        <v>2</v>
      </c>
      <c r="AF242" s="54">
        <f t="shared" si="1543"/>
        <v>4</v>
      </c>
      <c r="AG242" s="53">
        <f t="shared" si="1544"/>
        <v>1</v>
      </c>
      <c r="AH242" s="54">
        <f t="shared" si="1545"/>
        <v>3</v>
      </c>
      <c r="AI242" s="53">
        <f t="shared" si="1546"/>
        <v>1</v>
      </c>
      <c r="AJ242" s="54">
        <f t="shared" si="1547"/>
        <v>3</v>
      </c>
      <c r="AK242" s="53">
        <f t="shared" si="1548"/>
        <v>2</v>
      </c>
      <c r="AL242" s="54">
        <f t="shared" si="1549"/>
        <v>4</v>
      </c>
      <c r="AM242" s="53">
        <f t="shared" si="1550"/>
        <v>1</v>
      </c>
      <c r="AN242" s="54">
        <f t="shared" si="1551"/>
        <v>1</v>
      </c>
      <c r="AO242" s="53">
        <f t="shared" si="1552"/>
        <v>1</v>
      </c>
      <c r="AP242" s="54">
        <f t="shared" si="1553"/>
        <v>1</v>
      </c>
      <c r="AQ242" s="49">
        <f t="shared" ref="AQ242:AR242" si="1670">SUM(AG242,AI242,AK242,AM242,AO242)</f>
        <v>6</v>
      </c>
      <c r="AR242" s="50">
        <f t="shared" si="1670"/>
        <v>12</v>
      </c>
      <c r="AS242" s="53">
        <f t="shared" si="1555"/>
        <v>1</v>
      </c>
      <c r="AT242" s="54">
        <f t="shared" si="1556"/>
        <v>1</v>
      </c>
      <c r="AU242" s="53">
        <f t="shared" si="1557"/>
        <v>2</v>
      </c>
      <c r="AV242" s="54">
        <f t="shared" si="1558"/>
        <v>4</v>
      </c>
      <c r="AW242" s="53">
        <f t="shared" si="1559"/>
        <v>2</v>
      </c>
      <c r="AX242" s="54">
        <f t="shared" si="1560"/>
        <v>4</v>
      </c>
      <c r="AY242" s="53">
        <f t="shared" si="1561"/>
        <v>1</v>
      </c>
      <c r="AZ242" s="54">
        <f t="shared" si="1562"/>
        <v>2</v>
      </c>
      <c r="BA242" s="53">
        <f t="shared" si="1563"/>
        <v>1</v>
      </c>
      <c r="BB242" s="54">
        <f t="shared" si="1564"/>
        <v>1</v>
      </c>
      <c r="BC242" s="49">
        <f t="shared" ref="BC242:BD242" si="1671">SUM(AS242,AU242,AW242,AY242,BA242)</f>
        <v>7</v>
      </c>
      <c r="BD242" s="50">
        <f t="shared" si="1671"/>
        <v>12</v>
      </c>
      <c r="BE242" s="68">
        <f t="shared" ref="BE242:BF242" si="1672">SUM(E242,G242,I242,O242,Q242,AC242,AQ242,BC242)</f>
        <v>25</v>
      </c>
      <c r="BF242" s="69">
        <f t="shared" si="1672"/>
        <v>48</v>
      </c>
      <c r="BG242" s="46" t="str">
        <f>BF242*'ОВгП_РАО'!$B$24</f>
        <v>#REF!</v>
      </c>
      <c r="BH242" s="46" t="str">
        <f>'ОВгП_РАО'!$B$24</f>
        <v>#REF!</v>
      </c>
    </row>
    <row r="243" ht="15.75" customHeight="1">
      <c r="A243" s="80">
        <f t="shared" si="1567"/>
        <v>46267</v>
      </c>
      <c r="B243" s="47" t="s">
        <v>146</v>
      </c>
      <c r="C243" s="46" t="s">
        <v>96</v>
      </c>
      <c r="D243" s="47" t="s">
        <v>145</v>
      </c>
      <c r="E243" s="73">
        <f t="shared" si="1518"/>
        <v>1</v>
      </c>
      <c r="F243" s="50">
        <f t="shared" si="1519"/>
        <v>1</v>
      </c>
      <c r="G243" s="73">
        <f t="shared" si="1520"/>
        <v>0</v>
      </c>
      <c r="H243" s="50">
        <f t="shared" si="1521"/>
        <v>0</v>
      </c>
      <c r="I243" s="73">
        <f t="shared" si="1522"/>
        <v>1</v>
      </c>
      <c r="J243" s="50">
        <f t="shared" si="1523"/>
        <v>2</v>
      </c>
      <c r="K243" s="53">
        <f t="shared" si="1524"/>
        <v>1</v>
      </c>
      <c r="L243" s="54">
        <f t="shared" si="1525"/>
        <v>1</v>
      </c>
      <c r="M243" s="53">
        <f t="shared" si="1526"/>
        <v>1</v>
      </c>
      <c r="N243" s="54">
        <f t="shared" si="1527"/>
        <v>3</v>
      </c>
      <c r="O243" s="49">
        <f t="shared" ref="O243:P243" si="1673">SUM(K243,M243)</f>
        <v>2</v>
      </c>
      <c r="P243" s="50">
        <f t="shared" si="1673"/>
        <v>4</v>
      </c>
      <c r="Q243" s="73">
        <f t="shared" si="1529"/>
        <v>1</v>
      </c>
      <c r="R243" s="50">
        <f t="shared" si="1530"/>
        <v>1</v>
      </c>
      <c r="S243" s="53">
        <f t="shared" si="1531"/>
        <v>0</v>
      </c>
      <c r="T243" s="54">
        <f t="shared" si="1532"/>
        <v>0</v>
      </c>
      <c r="U243" s="53">
        <f t="shared" si="1533"/>
        <v>1</v>
      </c>
      <c r="V243" s="54">
        <f t="shared" si="1534"/>
        <v>2</v>
      </c>
      <c r="W243" s="53">
        <f t="shared" si="1535"/>
        <v>1</v>
      </c>
      <c r="X243" s="54">
        <f t="shared" si="1536"/>
        <v>2</v>
      </c>
      <c r="Y243" s="53">
        <f t="shared" si="1537"/>
        <v>1</v>
      </c>
      <c r="Z243" s="54">
        <f t="shared" si="1538"/>
        <v>2</v>
      </c>
      <c r="AA243" s="53">
        <f t="shared" si="1539"/>
        <v>2</v>
      </c>
      <c r="AB243" s="54">
        <f t="shared" si="1540"/>
        <v>4</v>
      </c>
      <c r="AC243" s="49">
        <f t="shared" ref="AC243:AD243" si="1674">SUM(S243,U243,W243,Y243,AA243)</f>
        <v>5</v>
      </c>
      <c r="AD243" s="50">
        <f t="shared" si="1674"/>
        <v>10</v>
      </c>
      <c r="AE243" s="53">
        <f t="shared" si="1542"/>
        <v>1</v>
      </c>
      <c r="AF243" s="54">
        <f t="shared" si="1543"/>
        <v>1</v>
      </c>
      <c r="AG243" s="53">
        <f t="shared" si="1544"/>
        <v>1</v>
      </c>
      <c r="AH243" s="54">
        <f t="shared" si="1545"/>
        <v>3</v>
      </c>
      <c r="AI243" s="53">
        <f t="shared" si="1546"/>
        <v>1</v>
      </c>
      <c r="AJ243" s="54">
        <f t="shared" si="1547"/>
        <v>1</v>
      </c>
      <c r="AK243" s="53">
        <f t="shared" si="1548"/>
        <v>0</v>
      </c>
      <c r="AL243" s="54">
        <f t="shared" si="1549"/>
        <v>0</v>
      </c>
      <c r="AM243" s="53">
        <f t="shared" si="1550"/>
        <v>2</v>
      </c>
      <c r="AN243" s="54">
        <f t="shared" si="1551"/>
        <v>4</v>
      </c>
      <c r="AO243" s="53">
        <f t="shared" si="1552"/>
        <v>1</v>
      </c>
      <c r="AP243" s="54">
        <f t="shared" si="1553"/>
        <v>3</v>
      </c>
      <c r="AQ243" s="49">
        <f t="shared" ref="AQ243:AR243" si="1675">SUM(AG243,AI243,AK243,AM243,AO243)</f>
        <v>5</v>
      </c>
      <c r="AR243" s="50">
        <f t="shared" si="1675"/>
        <v>11</v>
      </c>
      <c r="AS243" s="53">
        <f t="shared" si="1555"/>
        <v>1</v>
      </c>
      <c r="AT243" s="54">
        <f t="shared" si="1556"/>
        <v>1</v>
      </c>
      <c r="AU243" s="53">
        <f t="shared" si="1557"/>
        <v>1</v>
      </c>
      <c r="AV243" s="54">
        <f t="shared" si="1558"/>
        <v>3</v>
      </c>
      <c r="AW243" s="53">
        <f t="shared" si="1559"/>
        <v>1</v>
      </c>
      <c r="AX243" s="54">
        <f t="shared" si="1560"/>
        <v>3</v>
      </c>
      <c r="AY243" s="53">
        <f t="shared" si="1561"/>
        <v>1</v>
      </c>
      <c r="AZ243" s="54">
        <f t="shared" si="1562"/>
        <v>1</v>
      </c>
      <c r="BA243" s="53">
        <f t="shared" si="1563"/>
        <v>1</v>
      </c>
      <c r="BB243" s="54">
        <f t="shared" si="1564"/>
        <v>2</v>
      </c>
      <c r="BC243" s="49">
        <f t="shared" ref="BC243:BD243" si="1676">SUM(AS243,AU243,AW243,AY243,BA243)</f>
        <v>5</v>
      </c>
      <c r="BD243" s="50">
        <f t="shared" si="1676"/>
        <v>10</v>
      </c>
      <c r="BE243" s="68">
        <f t="shared" ref="BE243:BF243" si="1677">SUM(E243,G243,I243,O243,Q243,AC243,AQ243,BC243)</f>
        <v>20</v>
      </c>
      <c r="BF243" s="69">
        <f t="shared" si="1677"/>
        <v>39</v>
      </c>
      <c r="BG243" s="46" t="str">
        <f>BF243*'ОВгП_РАО'!$B$25</f>
        <v>#REF!</v>
      </c>
      <c r="BH243" s="46" t="str">
        <f>'ОВгП_РАО'!$B$25</f>
        <v>#REF!</v>
      </c>
    </row>
    <row r="244" ht="15.75" customHeight="1">
      <c r="A244" s="80">
        <f t="shared" si="1567"/>
        <v>46267</v>
      </c>
      <c r="B244" s="47" t="s">
        <v>147</v>
      </c>
      <c r="C244" s="46" t="s">
        <v>96</v>
      </c>
      <c r="D244" s="47" t="s">
        <v>148</v>
      </c>
      <c r="E244" s="73">
        <f t="shared" si="1518"/>
        <v>1</v>
      </c>
      <c r="F244" s="50">
        <f t="shared" si="1519"/>
        <v>3</v>
      </c>
      <c r="G244" s="73">
        <f t="shared" si="1520"/>
        <v>1</v>
      </c>
      <c r="H244" s="50">
        <f t="shared" si="1521"/>
        <v>3</v>
      </c>
      <c r="I244" s="73">
        <f t="shared" si="1522"/>
        <v>1</v>
      </c>
      <c r="J244" s="50">
        <f t="shared" si="1523"/>
        <v>1</v>
      </c>
      <c r="K244" s="53">
        <f t="shared" si="1524"/>
        <v>1</v>
      </c>
      <c r="L244" s="54">
        <f t="shared" si="1525"/>
        <v>3</v>
      </c>
      <c r="M244" s="53">
        <f t="shared" si="1526"/>
        <v>2</v>
      </c>
      <c r="N244" s="54">
        <f t="shared" si="1527"/>
        <v>4</v>
      </c>
      <c r="O244" s="49">
        <f t="shared" ref="O244:P244" si="1678">SUM(K244,M244)</f>
        <v>3</v>
      </c>
      <c r="P244" s="50">
        <f t="shared" si="1678"/>
        <v>7</v>
      </c>
      <c r="Q244" s="73">
        <f t="shared" si="1529"/>
        <v>1</v>
      </c>
      <c r="R244" s="50">
        <f t="shared" si="1530"/>
        <v>3</v>
      </c>
      <c r="S244" s="53">
        <f t="shared" si="1531"/>
        <v>2</v>
      </c>
      <c r="T244" s="54">
        <f t="shared" si="1532"/>
        <v>4</v>
      </c>
      <c r="U244" s="53">
        <f t="shared" si="1533"/>
        <v>1</v>
      </c>
      <c r="V244" s="54">
        <f t="shared" si="1534"/>
        <v>2</v>
      </c>
      <c r="W244" s="53">
        <f t="shared" si="1535"/>
        <v>0</v>
      </c>
      <c r="X244" s="54">
        <f t="shared" si="1536"/>
        <v>0</v>
      </c>
      <c r="Y244" s="53">
        <f t="shared" si="1537"/>
        <v>2</v>
      </c>
      <c r="Z244" s="54">
        <f t="shared" si="1538"/>
        <v>4</v>
      </c>
      <c r="AA244" s="53">
        <f t="shared" si="1539"/>
        <v>2</v>
      </c>
      <c r="AB244" s="54">
        <f t="shared" si="1540"/>
        <v>4</v>
      </c>
      <c r="AC244" s="49">
        <f t="shared" ref="AC244:AD244" si="1679">SUM(S244,U244,W244,Y244,AA244)</f>
        <v>7</v>
      </c>
      <c r="AD244" s="50">
        <f t="shared" si="1679"/>
        <v>14</v>
      </c>
      <c r="AE244" s="53">
        <f t="shared" si="1542"/>
        <v>1</v>
      </c>
      <c r="AF244" s="54">
        <f t="shared" si="1543"/>
        <v>3</v>
      </c>
      <c r="AG244" s="53">
        <f t="shared" si="1544"/>
        <v>1</v>
      </c>
      <c r="AH244" s="54">
        <f t="shared" si="1545"/>
        <v>2</v>
      </c>
      <c r="AI244" s="53">
        <f t="shared" si="1546"/>
        <v>0</v>
      </c>
      <c r="AJ244" s="54">
        <f t="shared" si="1547"/>
        <v>0</v>
      </c>
      <c r="AK244" s="53">
        <f t="shared" si="1548"/>
        <v>0</v>
      </c>
      <c r="AL244" s="54">
        <f t="shared" si="1549"/>
        <v>0</v>
      </c>
      <c r="AM244" s="53">
        <f t="shared" si="1550"/>
        <v>1</v>
      </c>
      <c r="AN244" s="54">
        <f t="shared" si="1551"/>
        <v>3</v>
      </c>
      <c r="AO244" s="53">
        <f t="shared" si="1552"/>
        <v>1</v>
      </c>
      <c r="AP244" s="54">
        <f t="shared" si="1553"/>
        <v>2</v>
      </c>
      <c r="AQ244" s="49">
        <f t="shared" ref="AQ244:AR244" si="1680">SUM(AG244,AI244,AK244,AM244,AO244)</f>
        <v>3</v>
      </c>
      <c r="AR244" s="50">
        <f t="shared" si="1680"/>
        <v>7</v>
      </c>
      <c r="AS244" s="53">
        <f t="shared" si="1555"/>
        <v>1</v>
      </c>
      <c r="AT244" s="54">
        <f t="shared" si="1556"/>
        <v>1</v>
      </c>
      <c r="AU244" s="53">
        <f t="shared" si="1557"/>
        <v>2</v>
      </c>
      <c r="AV244" s="54">
        <f t="shared" si="1558"/>
        <v>4</v>
      </c>
      <c r="AW244" s="53">
        <f t="shared" si="1559"/>
        <v>1</v>
      </c>
      <c r="AX244" s="54">
        <f t="shared" si="1560"/>
        <v>3</v>
      </c>
      <c r="AY244" s="53">
        <f t="shared" si="1561"/>
        <v>1</v>
      </c>
      <c r="AZ244" s="54">
        <f t="shared" si="1562"/>
        <v>1</v>
      </c>
      <c r="BA244" s="53">
        <f t="shared" si="1563"/>
        <v>1</v>
      </c>
      <c r="BB244" s="54">
        <f t="shared" si="1564"/>
        <v>3</v>
      </c>
      <c r="BC244" s="49">
        <f t="shared" ref="BC244:BD244" si="1681">SUM(AS244,AU244,AW244,AY244,BA244)</f>
        <v>6</v>
      </c>
      <c r="BD244" s="50">
        <f t="shared" si="1681"/>
        <v>12</v>
      </c>
      <c r="BE244" s="68">
        <f t="shared" ref="BE244:BF244" si="1682">SUM(E244,G244,I244,O244,Q244,AC244,AQ244,BC244)</f>
        <v>23</v>
      </c>
      <c r="BF244" s="69">
        <f t="shared" si="1682"/>
        <v>50</v>
      </c>
      <c r="BG244" s="46" t="str">
        <f>BF244*'ОВгП_РАО'!$B$26</f>
        <v>#REF!</v>
      </c>
      <c r="BH244" s="46" t="str">
        <f>'ОВгП_РАО'!$B$26</f>
        <v>#REF!</v>
      </c>
    </row>
    <row r="245" ht="15.75" customHeight="1">
      <c r="A245" s="80">
        <f t="shared" si="1567"/>
        <v>46267</v>
      </c>
      <c r="B245" s="47" t="s">
        <v>149</v>
      </c>
      <c r="C245" s="47" t="s">
        <v>122</v>
      </c>
      <c r="D245" s="47" t="s">
        <v>150</v>
      </c>
      <c r="E245" s="73">
        <f t="shared" si="1518"/>
        <v>2</v>
      </c>
      <c r="F245" s="50">
        <f t="shared" si="1519"/>
        <v>4</v>
      </c>
      <c r="G245" s="73">
        <f t="shared" si="1520"/>
        <v>1</v>
      </c>
      <c r="H245" s="50">
        <f t="shared" si="1521"/>
        <v>1</v>
      </c>
      <c r="I245" s="73">
        <f t="shared" si="1522"/>
        <v>2</v>
      </c>
      <c r="J245" s="50">
        <f t="shared" si="1523"/>
        <v>4</v>
      </c>
      <c r="K245" s="53">
        <f t="shared" si="1524"/>
        <v>2</v>
      </c>
      <c r="L245" s="54">
        <f t="shared" si="1525"/>
        <v>4</v>
      </c>
      <c r="M245" s="53">
        <f t="shared" si="1526"/>
        <v>1</v>
      </c>
      <c r="N245" s="54">
        <f t="shared" si="1527"/>
        <v>2</v>
      </c>
      <c r="O245" s="49">
        <f t="shared" ref="O245:P245" si="1683">SUM(K245,M245)</f>
        <v>3</v>
      </c>
      <c r="P245" s="50">
        <f t="shared" si="1683"/>
        <v>6</v>
      </c>
      <c r="Q245" s="73">
        <f t="shared" si="1529"/>
        <v>2</v>
      </c>
      <c r="R245" s="50">
        <f t="shared" si="1530"/>
        <v>4</v>
      </c>
      <c r="S245" s="53">
        <f t="shared" si="1531"/>
        <v>1</v>
      </c>
      <c r="T245" s="54">
        <f t="shared" si="1532"/>
        <v>3</v>
      </c>
      <c r="U245" s="53">
        <f t="shared" si="1533"/>
        <v>1</v>
      </c>
      <c r="V245" s="54">
        <f t="shared" si="1534"/>
        <v>3</v>
      </c>
      <c r="W245" s="53">
        <f t="shared" si="1535"/>
        <v>0</v>
      </c>
      <c r="X245" s="54">
        <f t="shared" si="1536"/>
        <v>0</v>
      </c>
      <c r="Y245" s="53">
        <f t="shared" si="1537"/>
        <v>1</v>
      </c>
      <c r="Z245" s="54">
        <f t="shared" si="1538"/>
        <v>3</v>
      </c>
      <c r="AA245" s="53">
        <f t="shared" si="1539"/>
        <v>1</v>
      </c>
      <c r="AB245" s="54">
        <f t="shared" si="1540"/>
        <v>1</v>
      </c>
      <c r="AC245" s="49">
        <f t="shared" ref="AC245:AD245" si="1684">SUM(S245,U245,W245,Y245,AA245)</f>
        <v>4</v>
      </c>
      <c r="AD245" s="50">
        <f t="shared" si="1684"/>
        <v>10</v>
      </c>
      <c r="AE245" s="53">
        <f t="shared" si="1542"/>
        <v>0</v>
      </c>
      <c r="AF245" s="54">
        <f t="shared" si="1543"/>
        <v>0</v>
      </c>
      <c r="AG245" s="53">
        <f t="shared" si="1544"/>
        <v>0</v>
      </c>
      <c r="AH245" s="54">
        <f t="shared" si="1545"/>
        <v>0</v>
      </c>
      <c r="AI245" s="53">
        <f t="shared" si="1546"/>
        <v>0</v>
      </c>
      <c r="AJ245" s="54">
        <f t="shared" si="1547"/>
        <v>0</v>
      </c>
      <c r="AK245" s="53">
        <f t="shared" si="1548"/>
        <v>1</v>
      </c>
      <c r="AL245" s="54">
        <f t="shared" si="1549"/>
        <v>2</v>
      </c>
      <c r="AM245" s="53">
        <f t="shared" si="1550"/>
        <v>1</v>
      </c>
      <c r="AN245" s="54">
        <f t="shared" si="1551"/>
        <v>2</v>
      </c>
      <c r="AO245" s="53">
        <f t="shared" si="1552"/>
        <v>1</v>
      </c>
      <c r="AP245" s="54">
        <f t="shared" si="1553"/>
        <v>3</v>
      </c>
      <c r="AQ245" s="49">
        <f t="shared" ref="AQ245:AR245" si="1685">SUM(AG245,AI245,AK245,AM245,AO245)</f>
        <v>3</v>
      </c>
      <c r="AR245" s="50">
        <f t="shared" si="1685"/>
        <v>7</v>
      </c>
      <c r="AS245" s="53">
        <f t="shared" si="1555"/>
        <v>1</v>
      </c>
      <c r="AT245" s="54">
        <f t="shared" si="1556"/>
        <v>2</v>
      </c>
      <c r="AU245" s="53">
        <f t="shared" si="1557"/>
        <v>2</v>
      </c>
      <c r="AV245" s="54">
        <f t="shared" si="1558"/>
        <v>4</v>
      </c>
      <c r="AW245" s="53">
        <f t="shared" si="1559"/>
        <v>0</v>
      </c>
      <c r="AX245" s="54">
        <f t="shared" si="1560"/>
        <v>0</v>
      </c>
      <c r="AY245" s="53">
        <f t="shared" si="1561"/>
        <v>2</v>
      </c>
      <c r="AZ245" s="54">
        <f t="shared" si="1562"/>
        <v>4</v>
      </c>
      <c r="BA245" s="53">
        <f t="shared" si="1563"/>
        <v>1</v>
      </c>
      <c r="BB245" s="54">
        <f t="shared" si="1564"/>
        <v>1</v>
      </c>
      <c r="BC245" s="49">
        <f t="shared" ref="BC245:BD245" si="1686">SUM(AS245,AU245,AW245,AY245,BA245)</f>
        <v>6</v>
      </c>
      <c r="BD245" s="50">
        <f t="shared" si="1686"/>
        <v>11</v>
      </c>
      <c r="BE245" s="68">
        <f t="shared" ref="BE245:BF245" si="1687">SUM(E245,G245,I245,O245,Q245,AC245,AQ245,BC245)</f>
        <v>23</v>
      </c>
      <c r="BF245" s="69">
        <f t="shared" si="1687"/>
        <v>47</v>
      </c>
      <c r="BG245" s="46" t="str">
        <f>BF245*'ОВгП_РАО'!$B$27</f>
        <v>#REF!</v>
      </c>
      <c r="BH245" s="46" t="str">
        <f>'ОВгП_РАО'!$B$27</f>
        <v>#REF!</v>
      </c>
    </row>
    <row r="246" ht="15.75" customHeight="1">
      <c r="A246" s="80">
        <f t="shared" si="1567"/>
        <v>46267</v>
      </c>
      <c r="B246" s="47" t="s">
        <v>151</v>
      </c>
      <c r="C246" s="47" t="s">
        <v>122</v>
      </c>
      <c r="D246" s="47" t="s">
        <v>152</v>
      </c>
      <c r="E246" s="73">
        <f t="shared" si="1518"/>
        <v>25</v>
      </c>
      <c r="F246" s="50">
        <f t="shared" ref="F246:F254" si="1693">RANDBETWEEN(0,100)</f>
        <v>73</v>
      </c>
      <c r="G246" s="73">
        <f t="shared" si="1520"/>
        <v>15</v>
      </c>
      <c r="H246" s="50">
        <f t="shared" ref="H246:H254" si="1694">RANDBETWEEN(0,100)</f>
        <v>44</v>
      </c>
      <c r="I246" s="73">
        <f t="shared" si="1522"/>
        <v>14</v>
      </c>
      <c r="J246" s="50">
        <f t="shared" ref="J246:J254" si="1695">RANDBETWEEN(0,100)</f>
        <v>40</v>
      </c>
      <c r="K246" s="53">
        <f t="shared" si="1524"/>
        <v>31</v>
      </c>
      <c r="L246" s="54">
        <f t="shared" ref="L246:L254" si="1696">RANDBETWEEN(0,100)</f>
        <v>92</v>
      </c>
      <c r="M246" s="53">
        <f t="shared" si="1526"/>
        <v>25</v>
      </c>
      <c r="N246" s="54">
        <f t="shared" ref="N246:N254" si="1697">RANDBETWEEN(0,100)</f>
        <v>75</v>
      </c>
      <c r="O246" s="49">
        <f t="shared" ref="O246:P246" si="1688">SUM(K246,M246)</f>
        <v>56</v>
      </c>
      <c r="P246" s="50">
        <f t="shared" si="1688"/>
        <v>167</v>
      </c>
      <c r="Q246" s="73">
        <f t="shared" si="1529"/>
        <v>19</v>
      </c>
      <c r="R246" s="50">
        <f t="shared" ref="R246:R254" si="1699">RANDBETWEEN(0,100)</f>
        <v>57</v>
      </c>
      <c r="S246" s="53">
        <f t="shared" si="1531"/>
        <v>32</v>
      </c>
      <c r="T246" s="54">
        <f t="shared" ref="T246:T254" si="1700">RANDBETWEEN(0,300)</f>
        <v>95</v>
      </c>
      <c r="U246" s="53">
        <f t="shared" si="1533"/>
        <v>60</v>
      </c>
      <c r="V246" s="54">
        <f t="shared" ref="V246:V254" si="1701">RANDBETWEEN(0,300)</f>
        <v>179</v>
      </c>
      <c r="W246" s="53">
        <f t="shared" si="1535"/>
        <v>61</v>
      </c>
      <c r="X246" s="54">
        <f t="shared" ref="X246:X254" si="1702">RANDBETWEEN(0,300)</f>
        <v>182</v>
      </c>
      <c r="Y246" s="53">
        <f t="shared" si="1537"/>
        <v>34</v>
      </c>
      <c r="Z246" s="54">
        <f t="shared" ref="Z246:Z254" si="1703">RANDBETWEEN(0,300)</f>
        <v>101</v>
      </c>
      <c r="AA246" s="53">
        <f t="shared" si="1539"/>
        <v>11</v>
      </c>
      <c r="AB246" s="54">
        <f t="shared" ref="AB246:AB254" si="1704">RANDBETWEEN(0,300)</f>
        <v>33</v>
      </c>
      <c r="AC246" s="49">
        <f t="shared" ref="AC246:AD246" si="1689">SUM(S246,U246,W246,Y246,AA246)</f>
        <v>198</v>
      </c>
      <c r="AD246" s="50">
        <f t="shared" si="1689"/>
        <v>590</v>
      </c>
      <c r="AE246" s="53">
        <f t="shared" si="1542"/>
        <v>91</v>
      </c>
      <c r="AF246" s="54">
        <f>RANDBETWEEN(100,500)</f>
        <v>271</v>
      </c>
      <c r="AG246" s="53">
        <f t="shared" si="1544"/>
        <v>73</v>
      </c>
      <c r="AH246" s="54">
        <f>RANDBETWEEN(100,500)</f>
        <v>218</v>
      </c>
      <c r="AI246" s="53">
        <f t="shared" si="1546"/>
        <v>155</v>
      </c>
      <c r="AJ246" s="54">
        <f>RANDBETWEEN(100,500)</f>
        <v>464</v>
      </c>
      <c r="AK246" s="53">
        <f t="shared" si="1548"/>
        <v>161</v>
      </c>
      <c r="AL246" s="54">
        <f>RANDBETWEEN(100,500)</f>
        <v>482</v>
      </c>
      <c r="AM246" s="53">
        <f t="shared" si="1550"/>
        <v>112</v>
      </c>
      <c r="AN246" s="54">
        <f>RANDBETWEEN(100,500)</f>
        <v>334</v>
      </c>
      <c r="AO246" s="53">
        <f t="shared" si="1552"/>
        <v>81</v>
      </c>
      <c r="AP246" s="54">
        <f>RANDBETWEEN(100,500)</f>
        <v>241</v>
      </c>
      <c r="AQ246" s="49">
        <f t="shared" ref="AQ246:AR246" si="1690">SUM(AG246,AI246,AK246,AM246,AO246)</f>
        <v>582</v>
      </c>
      <c r="AR246" s="50">
        <f t="shared" si="1690"/>
        <v>1739</v>
      </c>
      <c r="AS246" s="53">
        <f t="shared" si="1555"/>
        <v>146</v>
      </c>
      <c r="AT246" s="54">
        <f>RANDBETWEEN(100,500)</f>
        <v>437</v>
      </c>
      <c r="AU246" s="53">
        <f t="shared" si="1557"/>
        <v>56</v>
      </c>
      <c r="AV246" s="54">
        <f>RANDBETWEEN(100,500)</f>
        <v>166</v>
      </c>
      <c r="AW246" s="53">
        <f t="shared" si="1559"/>
        <v>88</v>
      </c>
      <c r="AX246" s="54">
        <f>RANDBETWEEN(100,500)</f>
        <v>264</v>
      </c>
      <c r="AY246" s="53">
        <f t="shared" si="1561"/>
        <v>122</v>
      </c>
      <c r="AZ246" s="54">
        <f>RANDBETWEEN(100,500)</f>
        <v>365</v>
      </c>
      <c r="BA246" s="53">
        <f t="shared" si="1563"/>
        <v>80</v>
      </c>
      <c r="BB246" s="54">
        <f>RANDBETWEEN(100,500)</f>
        <v>239</v>
      </c>
      <c r="BC246" s="49">
        <f t="shared" ref="BC246:BD246" si="1691">SUM(AS246,AU246,AW246,AY246,BA246)</f>
        <v>492</v>
      </c>
      <c r="BD246" s="50">
        <f t="shared" si="1691"/>
        <v>1471</v>
      </c>
      <c r="BE246" s="68">
        <f t="shared" ref="BE246:BF246" si="1692">SUM(E246,G246,I246,O246,Q246,AC246,AQ246,BC246)</f>
        <v>1401</v>
      </c>
      <c r="BF246" s="69">
        <f t="shared" si="1692"/>
        <v>4181</v>
      </c>
      <c r="BG246" s="46" t="str">
        <f>BF246*'ОВгП_РАО'!$B$28</f>
        <v>#REF!</v>
      </c>
      <c r="BH246" s="46" t="str">
        <f>'ОВгП_РАО'!$B$28</f>
        <v>#REF!</v>
      </c>
    </row>
    <row r="247" ht="15.75" customHeight="1">
      <c r="A247" s="80">
        <f t="shared" si="1567"/>
        <v>46267</v>
      </c>
      <c r="B247" s="47" t="s">
        <v>153</v>
      </c>
      <c r="C247" s="47" t="s">
        <v>122</v>
      </c>
      <c r="D247" s="47" t="s">
        <v>152</v>
      </c>
      <c r="E247" s="73">
        <f t="shared" si="1518"/>
        <v>16</v>
      </c>
      <c r="F247" s="50">
        <f t="shared" si="1693"/>
        <v>48</v>
      </c>
      <c r="G247" s="73">
        <f t="shared" si="1520"/>
        <v>3</v>
      </c>
      <c r="H247" s="50">
        <f t="shared" si="1694"/>
        <v>8</v>
      </c>
      <c r="I247" s="73">
        <f t="shared" si="1522"/>
        <v>19</v>
      </c>
      <c r="J247" s="50">
        <f t="shared" si="1695"/>
        <v>56</v>
      </c>
      <c r="K247" s="53">
        <f t="shared" si="1524"/>
        <v>30</v>
      </c>
      <c r="L247" s="54">
        <f t="shared" si="1696"/>
        <v>88</v>
      </c>
      <c r="M247" s="53">
        <f t="shared" si="1526"/>
        <v>25</v>
      </c>
      <c r="N247" s="54">
        <f t="shared" si="1697"/>
        <v>75</v>
      </c>
      <c r="O247" s="49">
        <f t="shared" ref="O247:P247" si="1698">SUM(K247,M247)</f>
        <v>55</v>
      </c>
      <c r="P247" s="50">
        <f t="shared" si="1698"/>
        <v>163</v>
      </c>
      <c r="Q247" s="73">
        <f t="shared" si="1529"/>
        <v>11</v>
      </c>
      <c r="R247" s="50">
        <f t="shared" si="1699"/>
        <v>31</v>
      </c>
      <c r="S247" s="53">
        <f t="shared" si="1531"/>
        <v>68</v>
      </c>
      <c r="T247" s="54">
        <f t="shared" si="1700"/>
        <v>202</v>
      </c>
      <c r="U247" s="53">
        <f t="shared" si="1533"/>
        <v>45</v>
      </c>
      <c r="V247" s="54">
        <f t="shared" si="1701"/>
        <v>134</v>
      </c>
      <c r="W247" s="53">
        <f t="shared" si="1535"/>
        <v>88</v>
      </c>
      <c r="X247" s="54">
        <f t="shared" si="1702"/>
        <v>263</v>
      </c>
      <c r="Y247" s="53">
        <f t="shared" si="1537"/>
        <v>49</v>
      </c>
      <c r="Z247" s="54">
        <f t="shared" si="1703"/>
        <v>145</v>
      </c>
      <c r="AA247" s="53">
        <f t="shared" si="1539"/>
        <v>32</v>
      </c>
      <c r="AB247" s="54">
        <f t="shared" si="1704"/>
        <v>94</v>
      </c>
      <c r="AC247" s="49">
        <f t="shared" ref="AC247:AD247" si="1705">SUM(S247,U247,W247,Y247,AA247)</f>
        <v>282</v>
      </c>
      <c r="AD247" s="50">
        <f t="shared" si="1705"/>
        <v>838</v>
      </c>
      <c r="AE247" s="53">
        <f t="shared" si="1542"/>
        <v>58</v>
      </c>
      <c r="AF247" s="54">
        <f t="shared" ref="AF247:AF254" si="1711">RANDBETWEEN(0,300)</f>
        <v>173</v>
      </c>
      <c r="AG247" s="53">
        <f t="shared" si="1544"/>
        <v>93</v>
      </c>
      <c r="AH247" s="54">
        <f t="shared" ref="AH247:AH254" si="1712">RANDBETWEEN(0,300)</f>
        <v>279</v>
      </c>
      <c r="AI247" s="53">
        <f t="shared" si="1546"/>
        <v>96</v>
      </c>
      <c r="AJ247" s="54">
        <f t="shared" ref="AJ247:AJ254" si="1713">RANDBETWEEN(0,300)</f>
        <v>288</v>
      </c>
      <c r="AK247" s="53">
        <f t="shared" si="1548"/>
        <v>37</v>
      </c>
      <c r="AL247" s="54">
        <f t="shared" ref="AL247:AL254" si="1714">RANDBETWEEN(0,300)</f>
        <v>109</v>
      </c>
      <c r="AM247" s="53">
        <f t="shared" si="1550"/>
        <v>24</v>
      </c>
      <c r="AN247" s="54">
        <f t="shared" ref="AN247:AN254" si="1715">RANDBETWEEN(0,300)</f>
        <v>70</v>
      </c>
      <c r="AO247" s="53">
        <f t="shared" si="1552"/>
        <v>33</v>
      </c>
      <c r="AP247" s="54">
        <f t="shared" ref="AP247:AP254" si="1716">RANDBETWEEN(0,300)</f>
        <v>99</v>
      </c>
      <c r="AQ247" s="49">
        <f t="shared" ref="AQ247:AR247" si="1706">SUM(AG247,AI247,AK247,AM247,AO247)</f>
        <v>283</v>
      </c>
      <c r="AR247" s="50">
        <f t="shared" si="1706"/>
        <v>845</v>
      </c>
      <c r="AS247" s="53">
        <f t="shared" si="1555"/>
        <v>33</v>
      </c>
      <c r="AT247" s="54">
        <f t="shared" ref="AT247:AT248" si="1718">RANDBETWEEN(0,300)</f>
        <v>98</v>
      </c>
      <c r="AU247" s="53">
        <f t="shared" si="1557"/>
        <v>40</v>
      </c>
      <c r="AV247" s="54">
        <f t="shared" ref="AV247:AV248" si="1719">RANDBETWEEN(0,300)</f>
        <v>120</v>
      </c>
      <c r="AW247" s="53">
        <f t="shared" si="1559"/>
        <v>8</v>
      </c>
      <c r="AX247" s="54">
        <f t="shared" ref="AX247:AX248" si="1720">RANDBETWEEN(0,300)</f>
        <v>23</v>
      </c>
      <c r="AY247" s="53">
        <f t="shared" si="1561"/>
        <v>25</v>
      </c>
      <c r="AZ247" s="54">
        <f t="shared" ref="AZ247:AZ248" si="1721">RANDBETWEEN(0,300)</f>
        <v>73</v>
      </c>
      <c r="BA247" s="53">
        <f t="shared" si="1563"/>
        <v>31</v>
      </c>
      <c r="BB247" s="54">
        <f t="shared" ref="BB247:BB248" si="1722">RANDBETWEEN(0,300)</f>
        <v>92</v>
      </c>
      <c r="BC247" s="49">
        <f t="shared" ref="BC247:BD247" si="1707">SUM(AS247,AU247,AW247,AY247,BA247)</f>
        <v>137</v>
      </c>
      <c r="BD247" s="50">
        <f t="shared" si="1707"/>
        <v>406</v>
      </c>
      <c r="BE247" s="68">
        <f t="shared" ref="BE247:BF247" si="1708">SUM(E247,G247,I247,O247,Q247,AC247,AQ247,BC247)</f>
        <v>806</v>
      </c>
      <c r="BF247" s="69">
        <f t="shared" si="1708"/>
        <v>2395</v>
      </c>
      <c r="BG247" s="46" t="str">
        <f>BF247*'ОВгП_РАО'!$B$29</f>
        <v>#REF!</v>
      </c>
      <c r="BH247" s="46" t="str">
        <f>'ОВгП_РАО'!$B$29</f>
        <v>#REF!</v>
      </c>
    </row>
    <row r="248" ht="15.75" customHeight="1">
      <c r="A248" s="80">
        <f t="shared" si="1567"/>
        <v>46267</v>
      </c>
      <c r="B248" s="47" t="s">
        <v>154</v>
      </c>
      <c r="C248" s="47" t="s">
        <v>122</v>
      </c>
      <c r="D248" s="47" t="s">
        <v>152</v>
      </c>
      <c r="E248" s="73">
        <f t="shared" si="1518"/>
        <v>16</v>
      </c>
      <c r="F248" s="50">
        <f t="shared" si="1693"/>
        <v>47</v>
      </c>
      <c r="G248" s="73">
        <f t="shared" si="1520"/>
        <v>33</v>
      </c>
      <c r="H248" s="50">
        <f t="shared" si="1694"/>
        <v>99</v>
      </c>
      <c r="I248" s="73">
        <f t="shared" si="1522"/>
        <v>9</v>
      </c>
      <c r="J248" s="50">
        <f t="shared" si="1695"/>
        <v>27</v>
      </c>
      <c r="K248" s="53">
        <f t="shared" si="1524"/>
        <v>22</v>
      </c>
      <c r="L248" s="54">
        <f t="shared" si="1696"/>
        <v>64</v>
      </c>
      <c r="M248" s="53">
        <f t="shared" si="1526"/>
        <v>18</v>
      </c>
      <c r="N248" s="54">
        <f t="shared" si="1697"/>
        <v>54</v>
      </c>
      <c r="O248" s="49">
        <f t="shared" ref="O248:P248" si="1709">SUM(K248,M248)</f>
        <v>40</v>
      </c>
      <c r="P248" s="50">
        <f t="shared" si="1709"/>
        <v>118</v>
      </c>
      <c r="Q248" s="73">
        <f t="shared" si="1529"/>
        <v>2</v>
      </c>
      <c r="R248" s="50">
        <f t="shared" si="1699"/>
        <v>4</v>
      </c>
      <c r="S248" s="53">
        <f t="shared" si="1531"/>
        <v>61</v>
      </c>
      <c r="T248" s="54">
        <f t="shared" si="1700"/>
        <v>182</v>
      </c>
      <c r="U248" s="53">
        <f t="shared" si="1533"/>
        <v>78</v>
      </c>
      <c r="V248" s="54">
        <f t="shared" si="1701"/>
        <v>232</v>
      </c>
      <c r="W248" s="53">
        <f t="shared" si="1535"/>
        <v>56</v>
      </c>
      <c r="X248" s="54">
        <f t="shared" si="1702"/>
        <v>168</v>
      </c>
      <c r="Y248" s="53">
        <f t="shared" si="1537"/>
        <v>11</v>
      </c>
      <c r="Z248" s="54">
        <f t="shared" si="1703"/>
        <v>32</v>
      </c>
      <c r="AA248" s="53">
        <f t="shared" si="1539"/>
        <v>29</v>
      </c>
      <c r="AB248" s="54">
        <f t="shared" si="1704"/>
        <v>87</v>
      </c>
      <c r="AC248" s="49">
        <f t="shared" ref="AC248:AD248" si="1710">SUM(S248,U248,W248,Y248,AA248)</f>
        <v>235</v>
      </c>
      <c r="AD248" s="50">
        <f t="shared" si="1710"/>
        <v>701</v>
      </c>
      <c r="AE248" s="53">
        <f t="shared" si="1542"/>
        <v>78</v>
      </c>
      <c r="AF248" s="54">
        <f t="shared" si="1711"/>
        <v>232</v>
      </c>
      <c r="AG248" s="53">
        <f t="shared" si="1544"/>
        <v>47</v>
      </c>
      <c r="AH248" s="54">
        <f t="shared" si="1712"/>
        <v>139</v>
      </c>
      <c r="AI248" s="53">
        <f t="shared" si="1546"/>
        <v>19</v>
      </c>
      <c r="AJ248" s="54">
        <f t="shared" si="1713"/>
        <v>56</v>
      </c>
      <c r="AK248" s="53">
        <f t="shared" si="1548"/>
        <v>63</v>
      </c>
      <c r="AL248" s="54">
        <f t="shared" si="1714"/>
        <v>188</v>
      </c>
      <c r="AM248" s="53">
        <f t="shared" si="1550"/>
        <v>73</v>
      </c>
      <c r="AN248" s="54">
        <f t="shared" si="1715"/>
        <v>217</v>
      </c>
      <c r="AO248" s="53">
        <f t="shared" si="1552"/>
        <v>70</v>
      </c>
      <c r="AP248" s="54">
        <f t="shared" si="1716"/>
        <v>210</v>
      </c>
      <c r="AQ248" s="49">
        <f t="shared" ref="AQ248:AR248" si="1717">SUM(AG248,AI248,AK248,AM248,AO248)</f>
        <v>272</v>
      </c>
      <c r="AR248" s="50">
        <f t="shared" si="1717"/>
        <v>810</v>
      </c>
      <c r="AS248" s="53">
        <f t="shared" si="1555"/>
        <v>85</v>
      </c>
      <c r="AT248" s="54">
        <f t="shared" si="1718"/>
        <v>255</v>
      </c>
      <c r="AU248" s="53">
        <f t="shared" si="1557"/>
        <v>42</v>
      </c>
      <c r="AV248" s="54">
        <f t="shared" si="1719"/>
        <v>124</v>
      </c>
      <c r="AW248" s="53">
        <f t="shared" si="1559"/>
        <v>66</v>
      </c>
      <c r="AX248" s="54">
        <f t="shared" si="1720"/>
        <v>198</v>
      </c>
      <c r="AY248" s="53">
        <f t="shared" si="1561"/>
        <v>87</v>
      </c>
      <c r="AZ248" s="54">
        <f t="shared" si="1721"/>
        <v>259</v>
      </c>
      <c r="BA248" s="53">
        <f t="shared" si="1563"/>
        <v>93</v>
      </c>
      <c r="BB248" s="54">
        <f t="shared" si="1722"/>
        <v>278</v>
      </c>
      <c r="BC248" s="49">
        <f t="shared" ref="BC248:BD248" si="1723">SUM(AS248,AU248,AW248,AY248,BA248)</f>
        <v>373</v>
      </c>
      <c r="BD248" s="50">
        <f t="shared" si="1723"/>
        <v>1114</v>
      </c>
      <c r="BE248" s="68">
        <f t="shared" ref="BE248:BF248" si="1724">SUM(E248,G248,I248,O248,Q248,AC248,AQ248,BC248)</f>
        <v>980</v>
      </c>
      <c r="BF248" s="69">
        <f t="shared" si="1724"/>
        <v>2920</v>
      </c>
      <c r="BG248" s="46" t="str">
        <f>BF248*'ОВгП_РАО'!$B$30</f>
        <v>#REF!</v>
      </c>
      <c r="BH248" s="46" t="str">
        <f>'ОВгП_РАО'!$B$30</f>
        <v>#REF!</v>
      </c>
    </row>
    <row r="249" ht="15.75" customHeight="1">
      <c r="A249" s="80">
        <f t="shared" si="1567"/>
        <v>46267</v>
      </c>
      <c r="B249" s="47" t="s">
        <v>155</v>
      </c>
      <c r="C249" s="47" t="s">
        <v>122</v>
      </c>
      <c r="D249" s="47" t="s">
        <v>156</v>
      </c>
      <c r="E249" s="73">
        <f t="shared" si="1518"/>
        <v>5</v>
      </c>
      <c r="F249" s="50">
        <f t="shared" si="1693"/>
        <v>15</v>
      </c>
      <c r="G249" s="73">
        <f t="shared" si="1520"/>
        <v>1</v>
      </c>
      <c r="H249" s="50">
        <f t="shared" si="1694"/>
        <v>3</v>
      </c>
      <c r="I249" s="73">
        <f t="shared" si="1522"/>
        <v>10</v>
      </c>
      <c r="J249" s="50">
        <f t="shared" si="1695"/>
        <v>29</v>
      </c>
      <c r="K249" s="53">
        <f t="shared" si="1524"/>
        <v>7</v>
      </c>
      <c r="L249" s="54">
        <f t="shared" si="1696"/>
        <v>19</v>
      </c>
      <c r="M249" s="53">
        <f t="shared" si="1526"/>
        <v>14</v>
      </c>
      <c r="N249" s="54">
        <f t="shared" si="1697"/>
        <v>40</v>
      </c>
      <c r="O249" s="49">
        <f t="shared" ref="O249:P249" si="1725">SUM(K249,M249)</f>
        <v>21</v>
      </c>
      <c r="P249" s="50">
        <f t="shared" si="1725"/>
        <v>59</v>
      </c>
      <c r="Q249" s="73">
        <f t="shared" si="1529"/>
        <v>3</v>
      </c>
      <c r="R249" s="50">
        <f t="shared" si="1699"/>
        <v>9</v>
      </c>
      <c r="S249" s="53">
        <f t="shared" si="1531"/>
        <v>27</v>
      </c>
      <c r="T249" s="54">
        <f t="shared" si="1700"/>
        <v>80</v>
      </c>
      <c r="U249" s="53">
        <f t="shared" si="1533"/>
        <v>95</v>
      </c>
      <c r="V249" s="54">
        <f t="shared" si="1701"/>
        <v>285</v>
      </c>
      <c r="W249" s="53">
        <f t="shared" si="1535"/>
        <v>37</v>
      </c>
      <c r="X249" s="54">
        <f t="shared" si="1702"/>
        <v>110</v>
      </c>
      <c r="Y249" s="53">
        <f t="shared" si="1537"/>
        <v>62</v>
      </c>
      <c r="Z249" s="54">
        <f t="shared" si="1703"/>
        <v>184</v>
      </c>
      <c r="AA249" s="53">
        <f t="shared" si="1539"/>
        <v>49</v>
      </c>
      <c r="AB249" s="54">
        <f t="shared" si="1704"/>
        <v>145</v>
      </c>
      <c r="AC249" s="49">
        <f t="shared" ref="AC249:AD249" si="1726">SUM(S249,U249,W249,Y249,AA249)</f>
        <v>270</v>
      </c>
      <c r="AD249" s="50">
        <f t="shared" si="1726"/>
        <v>804</v>
      </c>
      <c r="AE249" s="53">
        <f t="shared" si="1542"/>
        <v>25</v>
      </c>
      <c r="AF249" s="54">
        <f t="shared" si="1711"/>
        <v>75</v>
      </c>
      <c r="AG249" s="53">
        <f t="shared" si="1544"/>
        <v>64</v>
      </c>
      <c r="AH249" s="54">
        <f t="shared" si="1712"/>
        <v>192</v>
      </c>
      <c r="AI249" s="53">
        <f t="shared" si="1546"/>
        <v>26</v>
      </c>
      <c r="AJ249" s="54">
        <f t="shared" si="1713"/>
        <v>76</v>
      </c>
      <c r="AK249" s="53">
        <f t="shared" si="1548"/>
        <v>60</v>
      </c>
      <c r="AL249" s="54">
        <f t="shared" si="1714"/>
        <v>178</v>
      </c>
      <c r="AM249" s="53">
        <f t="shared" si="1550"/>
        <v>34</v>
      </c>
      <c r="AN249" s="54">
        <f t="shared" si="1715"/>
        <v>100</v>
      </c>
      <c r="AO249" s="53">
        <f t="shared" si="1552"/>
        <v>63</v>
      </c>
      <c r="AP249" s="54">
        <f t="shared" si="1716"/>
        <v>188</v>
      </c>
      <c r="AQ249" s="49">
        <f t="shared" ref="AQ249:AR249" si="1727">SUM(AG249,AI249,AK249,AM249,AO249)</f>
        <v>247</v>
      </c>
      <c r="AR249" s="50">
        <f t="shared" si="1727"/>
        <v>734</v>
      </c>
      <c r="AS249" s="53">
        <f t="shared" si="1555"/>
        <v>2</v>
      </c>
      <c r="AT249" s="54">
        <f t="shared" ref="AT249:AT251" si="1733">RANDBETWEEN(0,100)</f>
        <v>6</v>
      </c>
      <c r="AU249" s="53">
        <f t="shared" si="1557"/>
        <v>6</v>
      </c>
      <c r="AV249" s="54">
        <f t="shared" ref="AV249:AV251" si="1734">RANDBETWEEN(0,100)</f>
        <v>18</v>
      </c>
      <c r="AW249" s="53">
        <f t="shared" si="1559"/>
        <v>4</v>
      </c>
      <c r="AX249" s="54">
        <f t="shared" ref="AX249:AX251" si="1735">RANDBETWEEN(0,100)</f>
        <v>11</v>
      </c>
      <c r="AY249" s="53">
        <f t="shared" si="1561"/>
        <v>3</v>
      </c>
      <c r="AZ249" s="54">
        <f t="shared" ref="AZ249:AZ251" si="1736">RANDBETWEEN(0,100)</f>
        <v>9</v>
      </c>
      <c r="BA249" s="53">
        <f t="shared" si="1563"/>
        <v>21</v>
      </c>
      <c r="BB249" s="54">
        <f t="shared" ref="BB249:BB251" si="1737">RANDBETWEEN(0,100)</f>
        <v>61</v>
      </c>
      <c r="BC249" s="49">
        <f t="shared" ref="BC249:BD249" si="1728">SUM(AS249,AU249,AW249,AY249,BA249)</f>
        <v>36</v>
      </c>
      <c r="BD249" s="50">
        <f t="shared" si="1728"/>
        <v>105</v>
      </c>
      <c r="BE249" s="68">
        <f t="shared" ref="BE249:BF249" si="1729">SUM(E249,G249,I249,O249,Q249,AC249,AQ249,BC249)</f>
        <v>593</v>
      </c>
      <c r="BF249" s="69">
        <f t="shared" si="1729"/>
        <v>1758</v>
      </c>
      <c r="BG249" s="46" t="str">
        <f>BF249*'ОВгП_РАО'!$B$31</f>
        <v>#REF!</v>
      </c>
      <c r="BH249" s="46" t="str">
        <f>'ОВгП_РАО'!$B$31</f>
        <v>#REF!</v>
      </c>
    </row>
    <row r="250" ht="15.75" customHeight="1">
      <c r="A250" s="80">
        <f t="shared" si="1567"/>
        <v>46267</v>
      </c>
      <c r="B250" s="47" t="s">
        <v>158</v>
      </c>
      <c r="C250" s="47" t="s">
        <v>122</v>
      </c>
      <c r="D250" s="47" t="s">
        <v>156</v>
      </c>
      <c r="E250" s="73">
        <f t="shared" si="1518"/>
        <v>30</v>
      </c>
      <c r="F250" s="50">
        <f t="shared" si="1693"/>
        <v>89</v>
      </c>
      <c r="G250" s="73">
        <f t="shared" si="1520"/>
        <v>8</v>
      </c>
      <c r="H250" s="50">
        <f t="shared" si="1694"/>
        <v>24</v>
      </c>
      <c r="I250" s="73">
        <f t="shared" si="1522"/>
        <v>21</v>
      </c>
      <c r="J250" s="50">
        <f t="shared" si="1695"/>
        <v>62</v>
      </c>
      <c r="K250" s="53">
        <f t="shared" si="1524"/>
        <v>25</v>
      </c>
      <c r="L250" s="54">
        <f t="shared" si="1696"/>
        <v>73</v>
      </c>
      <c r="M250" s="53">
        <f t="shared" si="1526"/>
        <v>21</v>
      </c>
      <c r="N250" s="54">
        <f t="shared" si="1697"/>
        <v>63</v>
      </c>
      <c r="O250" s="49">
        <f t="shared" ref="O250:P250" si="1730">SUM(K250,M250)</f>
        <v>46</v>
      </c>
      <c r="P250" s="50">
        <f t="shared" si="1730"/>
        <v>136</v>
      </c>
      <c r="Q250" s="73">
        <f t="shared" si="1529"/>
        <v>7</v>
      </c>
      <c r="R250" s="50">
        <f t="shared" si="1699"/>
        <v>20</v>
      </c>
      <c r="S250" s="53">
        <f t="shared" si="1531"/>
        <v>0</v>
      </c>
      <c r="T250" s="54">
        <f t="shared" si="1700"/>
        <v>0</v>
      </c>
      <c r="U250" s="53">
        <f t="shared" si="1533"/>
        <v>95</v>
      </c>
      <c r="V250" s="54">
        <f t="shared" si="1701"/>
        <v>283</v>
      </c>
      <c r="W250" s="53">
        <f t="shared" si="1535"/>
        <v>4</v>
      </c>
      <c r="X250" s="54">
        <f t="shared" si="1702"/>
        <v>10</v>
      </c>
      <c r="Y250" s="53">
        <f t="shared" si="1537"/>
        <v>37</v>
      </c>
      <c r="Z250" s="54">
        <f t="shared" si="1703"/>
        <v>110</v>
      </c>
      <c r="AA250" s="53">
        <f t="shared" si="1539"/>
        <v>12</v>
      </c>
      <c r="AB250" s="54">
        <f t="shared" si="1704"/>
        <v>34</v>
      </c>
      <c r="AC250" s="49">
        <f t="shared" ref="AC250:AD250" si="1731">SUM(S250,U250,W250,Y250,AA250)</f>
        <v>148</v>
      </c>
      <c r="AD250" s="50">
        <f t="shared" si="1731"/>
        <v>437</v>
      </c>
      <c r="AE250" s="53">
        <f t="shared" si="1542"/>
        <v>84</v>
      </c>
      <c r="AF250" s="54">
        <f t="shared" si="1711"/>
        <v>252</v>
      </c>
      <c r="AG250" s="53">
        <f t="shared" si="1544"/>
        <v>89</v>
      </c>
      <c r="AH250" s="54">
        <f t="shared" si="1712"/>
        <v>266</v>
      </c>
      <c r="AI250" s="53">
        <f t="shared" si="1546"/>
        <v>53</v>
      </c>
      <c r="AJ250" s="54">
        <f t="shared" si="1713"/>
        <v>159</v>
      </c>
      <c r="AK250" s="53">
        <f t="shared" si="1548"/>
        <v>44</v>
      </c>
      <c r="AL250" s="54">
        <f t="shared" si="1714"/>
        <v>131</v>
      </c>
      <c r="AM250" s="53">
        <f t="shared" si="1550"/>
        <v>44</v>
      </c>
      <c r="AN250" s="54">
        <f t="shared" si="1715"/>
        <v>132</v>
      </c>
      <c r="AO250" s="53">
        <f t="shared" si="1552"/>
        <v>54</v>
      </c>
      <c r="AP250" s="54">
        <f t="shared" si="1716"/>
        <v>161</v>
      </c>
      <c r="AQ250" s="49">
        <f t="shared" ref="AQ250:AR250" si="1732">SUM(AG250,AI250,AK250,AM250,AO250)</f>
        <v>284</v>
      </c>
      <c r="AR250" s="50">
        <f t="shared" si="1732"/>
        <v>849</v>
      </c>
      <c r="AS250" s="53">
        <f t="shared" si="1555"/>
        <v>18</v>
      </c>
      <c r="AT250" s="54">
        <f t="shared" si="1733"/>
        <v>54</v>
      </c>
      <c r="AU250" s="53">
        <f t="shared" si="1557"/>
        <v>29</v>
      </c>
      <c r="AV250" s="54">
        <f t="shared" si="1734"/>
        <v>87</v>
      </c>
      <c r="AW250" s="53">
        <f t="shared" si="1559"/>
        <v>33</v>
      </c>
      <c r="AX250" s="54">
        <f t="shared" si="1735"/>
        <v>98</v>
      </c>
      <c r="AY250" s="53">
        <f t="shared" si="1561"/>
        <v>24</v>
      </c>
      <c r="AZ250" s="54">
        <f t="shared" si="1736"/>
        <v>71</v>
      </c>
      <c r="BA250" s="53">
        <f t="shared" si="1563"/>
        <v>5</v>
      </c>
      <c r="BB250" s="54">
        <f t="shared" si="1737"/>
        <v>14</v>
      </c>
      <c r="BC250" s="49">
        <f t="shared" ref="BC250:BD250" si="1738">SUM(AS250,AU250,AW250,AY250,BA250)</f>
        <v>109</v>
      </c>
      <c r="BD250" s="50">
        <f t="shared" si="1738"/>
        <v>324</v>
      </c>
      <c r="BE250" s="68">
        <f t="shared" ref="BE250:BF250" si="1739">SUM(E250,G250,I250,O250,Q250,AC250,AQ250,BC250)</f>
        <v>653</v>
      </c>
      <c r="BF250" s="69">
        <f t="shared" si="1739"/>
        <v>1941</v>
      </c>
      <c r="BG250" s="46" t="str">
        <f>BF250*'ОВгП_РАО'!$B$32</f>
        <v>#REF!</v>
      </c>
      <c r="BH250" s="46" t="str">
        <f>'ОВгП_РАО'!$B$32</f>
        <v>#REF!</v>
      </c>
    </row>
    <row r="251" ht="15.75" customHeight="1">
      <c r="A251" s="80">
        <f t="shared" si="1567"/>
        <v>46267</v>
      </c>
      <c r="B251" s="47" t="s">
        <v>159</v>
      </c>
      <c r="C251" s="47" t="s">
        <v>122</v>
      </c>
      <c r="D251" s="47" t="s">
        <v>156</v>
      </c>
      <c r="E251" s="73">
        <f t="shared" si="1518"/>
        <v>13</v>
      </c>
      <c r="F251" s="50">
        <f t="shared" si="1693"/>
        <v>39</v>
      </c>
      <c r="G251" s="73">
        <f t="shared" si="1520"/>
        <v>28</v>
      </c>
      <c r="H251" s="50">
        <f t="shared" si="1694"/>
        <v>84</v>
      </c>
      <c r="I251" s="73">
        <f t="shared" si="1522"/>
        <v>34</v>
      </c>
      <c r="J251" s="50">
        <f t="shared" si="1695"/>
        <v>100</v>
      </c>
      <c r="K251" s="53">
        <f t="shared" si="1524"/>
        <v>23</v>
      </c>
      <c r="L251" s="54">
        <f t="shared" si="1696"/>
        <v>69</v>
      </c>
      <c r="M251" s="53">
        <f t="shared" si="1526"/>
        <v>25</v>
      </c>
      <c r="N251" s="54">
        <f t="shared" si="1697"/>
        <v>73</v>
      </c>
      <c r="O251" s="49">
        <f t="shared" ref="O251:P251" si="1740">SUM(K251,M251)</f>
        <v>48</v>
      </c>
      <c r="P251" s="50">
        <f t="shared" si="1740"/>
        <v>142</v>
      </c>
      <c r="Q251" s="73">
        <f t="shared" si="1529"/>
        <v>31</v>
      </c>
      <c r="R251" s="50">
        <f t="shared" si="1699"/>
        <v>91</v>
      </c>
      <c r="S251" s="53">
        <f t="shared" si="1531"/>
        <v>59</v>
      </c>
      <c r="T251" s="54">
        <f t="shared" si="1700"/>
        <v>176</v>
      </c>
      <c r="U251" s="53">
        <f t="shared" si="1533"/>
        <v>73</v>
      </c>
      <c r="V251" s="54">
        <f t="shared" si="1701"/>
        <v>218</v>
      </c>
      <c r="W251" s="53">
        <f t="shared" si="1535"/>
        <v>45</v>
      </c>
      <c r="X251" s="54">
        <f t="shared" si="1702"/>
        <v>135</v>
      </c>
      <c r="Y251" s="53">
        <f t="shared" si="1537"/>
        <v>3</v>
      </c>
      <c r="Z251" s="54">
        <f t="shared" si="1703"/>
        <v>7</v>
      </c>
      <c r="AA251" s="53">
        <f t="shared" si="1539"/>
        <v>70</v>
      </c>
      <c r="AB251" s="54">
        <f t="shared" si="1704"/>
        <v>208</v>
      </c>
      <c r="AC251" s="49">
        <f t="shared" ref="AC251:AD251" si="1741">SUM(S251,U251,W251,Y251,AA251)</f>
        <v>250</v>
      </c>
      <c r="AD251" s="50">
        <f t="shared" si="1741"/>
        <v>744</v>
      </c>
      <c r="AE251" s="53">
        <f t="shared" si="1542"/>
        <v>20</v>
      </c>
      <c r="AF251" s="54">
        <f t="shared" si="1711"/>
        <v>59</v>
      </c>
      <c r="AG251" s="53">
        <f t="shared" si="1544"/>
        <v>51</v>
      </c>
      <c r="AH251" s="54">
        <f t="shared" si="1712"/>
        <v>152</v>
      </c>
      <c r="AI251" s="53">
        <f t="shared" si="1546"/>
        <v>44</v>
      </c>
      <c r="AJ251" s="54">
        <f t="shared" si="1713"/>
        <v>132</v>
      </c>
      <c r="AK251" s="53">
        <f t="shared" si="1548"/>
        <v>73</v>
      </c>
      <c r="AL251" s="54">
        <f t="shared" si="1714"/>
        <v>219</v>
      </c>
      <c r="AM251" s="53">
        <f t="shared" si="1550"/>
        <v>50</v>
      </c>
      <c r="AN251" s="54">
        <f t="shared" si="1715"/>
        <v>149</v>
      </c>
      <c r="AO251" s="53">
        <f t="shared" si="1552"/>
        <v>72</v>
      </c>
      <c r="AP251" s="54">
        <f t="shared" si="1716"/>
        <v>214</v>
      </c>
      <c r="AQ251" s="49">
        <f t="shared" ref="AQ251:AR251" si="1742">SUM(AG251,AI251,AK251,AM251,AO251)</f>
        <v>290</v>
      </c>
      <c r="AR251" s="50">
        <f t="shared" si="1742"/>
        <v>866</v>
      </c>
      <c r="AS251" s="53">
        <f t="shared" si="1555"/>
        <v>8</v>
      </c>
      <c r="AT251" s="54">
        <f t="shared" si="1733"/>
        <v>22</v>
      </c>
      <c r="AU251" s="53">
        <f t="shared" si="1557"/>
        <v>10</v>
      </c>
      <c r="AV251" s="54">
        <f t="shared" si="1734"/>
        <v>29</v>
      </c>
      <c r="AW251" s="53">
        <f t="shared" si="1559"/>
        <v>27</v>
      </c>
      <c r="AX251" s="54">
        <f t="shared" si="1735"/>
        <v>79</v>
      </c>
      <c r="AY251" s="53">
        <f t="shared" si="1561"/>
        <v>3</v>
      </c>
      <c r="AZ251" s="54">
        <f t="shared" si="1736"/>
        <v>9</v>
      </c>
      <c r="BA251" s="53">
        <f t="shared" si="1563"/>
        <v>4</v>
      </c>
      <c r="BB251" s="54">
        <f t="shared" si="1737"/>
        <v>12</v>
      </c>
      <c r="BC251" s="49">
        <f t="shared" ref="BC251:BD251" si="1743">SUM(AS251,AU251,AW251,AY251,BA251)</f>
        <v>52</v>
      </c>
      <c r="BD251" s="50">
        <f t="shared" si="1743"/>
        <v>151</v>
      </c>
      <c r="BE251" s="68">
        <f t="shared" ref="BE251:BF251" si="1744">SUM(E251,G251,I251,O251,Q251,AC251,AQ251,BC251)</f>
        <v>746</v>
      </c>
      <c r="BF251" s="69">
        <f t="shared" si="1744"/>
        <v>2217</v>
      </c>
      <c r="BG251" s="46" t="str">
        <f>BF251*'ОВгП_РАО'!$B$33</f>
        <v>#REF!</v>
      </c>
      <c r="BH251" s="46" t="str">
        <f>'ОВгП_РАО'!$B$33</f>
        <v>#REF!</v>
      </c>
    </row>
    <row r="252" ht="15.75" customHeight="1">
      <c r="A252" s="80">
        <f t="shared" si="1567"/>
        <v>46267</v>
      </c>
      <c r="B252" s="47" t="s">
        <v>160</v>
      </c>
      <c r="C252" s="47" t="s">
        <v>161</v>
      </c>
      <c r="D252" s="47" t="s">
        <v>98</v>
      </c>
      <c r="E252" s="73">
        <f t="shared" si="1518"/>
        <v>17</v>
      </c>
      <c r="F252" s="50">
        <f t="shared" si="1693"/>
        <v>51</v>
      </c>
      <c r="G252" s="73">
        <f t="shared" si="1520"/>
        <v>29</v>
      </c>
      <c r="H252" s="50">
        <f t="shared" si="1694"/>
        <v>85</v>
      </c>
      <c r="I252" s="73">
        <f t="shared" si="1522"/>
        <v>22</v>
      </c>
      <c r="J252" s="50">
        <f t="shared" si="1695"/>
        <v>65</v>
      </c>
      <c r="K252" s="53">
        <f t="shared" si="1524"/>
        <v>18</v>
      </c>
      <c r="L252" s="54">
        <f t="shared" si="1696"/>
        <v>52</v>
      </c>
      <c r="M252" s="53">
        <f t="shared" si="1526"/>
        <v>12</v>
      </c>
      <c r="N252" s="54">
        <f t="shared" si="1697"/>
        <v>34</v>
      </c>
      <c r="O252" s="49">
        <f t="shared" ref="O252:P252" si="1745">SUM(K252,M252)</f>
        <v>30</v>
      </c>
      <c r="P252" s="50">
        <f t="shared" si="1745"/>
        <v>86</v>
      </c>
      <c r="Q252" s="73">
        <f t="shared" si="1529"/>
        <v>14</v>
      </c>
      <c r="R252" s="50">
        <f t="shared" si="1699"/>
        <v>42</v>
      </c>
      <c r="S252" s="53">
        <f t="shared" si="1531"/>
        <v>46</v>
      </c>
      <c r="T252" s="54">
        <f t="shared" si="1700"/>
        <v>138</v>
      </c>
      <c r="U252" s="53">
        <f t="shared" si="1533"/>
        <v>81</v>
      </c>
      <c r="V252" s="54">
        <f t="shared" si="1701"/>
        <v>242</v>
      </c>
      <c r="W252" s="53">
        <f t="shared" si="1535"/>
        <v>26</v>
      </c>
      <c r="X252" s="54">
        <f t="shared" si="1702"/>
        <v>77</v>
      </c>
      <c r="Y252" s="53">
        <f t="shared" si="1537"/>
        <v>42</v>
      </c>
      <c r="Z252" s="54">
        <f t="shared" si="1703"/>
        <v>125</v>
      </c>
      <c r="AA252" s="53">
        <f t="shared" si="1539"/>
        <v>18</v>
      </c>
      <c r="AB252" s="54">
        <f t="shared" si="1704"/>
        <v>53</v>
      </c>
      <c r="AC252" s="49">
        <f t="shared" ref="AC252:AD252" si="1746">SUM(S252,U252,W252,Y252,AA252)</f>
        <v>213</v>
      </c>
      <c r="AD252" s="50">
        <f t="shared" si="1746"/>
        <v>635</v>
      </c>
      <c r="AE252" s="53">
        <f t="shared" si="1542"/>
        <v>58</v>
      </c>
      <c r="AF252" s="54">
        <f t="shared" si="1711"/>
        <v>173</v>
      </c>
      <c r="AG252" s="53">
        <f t="shared" si="1544"/>
        <v>5</v>
      </c>
      <c r="AH252" s="54">
        <f t="shared" si="1712"/>
        <v>14</v>
      </c>
      <c r="AI252" s="53">
        <f t="shared" si="1546"/>
        <v>4</v>
      </c>
      <c r="AJ252" s="54">
        <f t="shared" si="1713"/>
        <v>11</v>
      </c>
      <c r="AK252" s="53">
        <f t="shared" si="1548"/>
        <v>45</v>
      </c>
      <c r="AL252" s="54">
        <f t="shared" si="1714"/>
        <v>134</v>
      </c>
      <c r="AM252" s="53">
        <f t="shared" si="1550"/>
        <v>67</v>
      </c>
      <c r="AN252" s="54">
        <f t="shared" si="1715"/>
        <v>200</v>
      </c>
      <c r="AO252" s="53">
        <f t="shared" si="1552"/>
        <v>65</v>
      </c>
      <c r="AP252" s="54">
        <f t="shared" si="1716"/>
        <v>195</v>
      </c>
      <c r="AQ252" s="49">
        <f t="shared" ref="AQ252:AR252" si="1747">SUM(AG252,AI252,AK252,AM252,AO252)</f>
        <v>186</v>
      </c>
      <c r="AR252" s="50">
        <f t="shared" si="1747"/>
        <v>554</v>
      </c>
      <c r="AS252" s="53">
        <f t="shared" si="1555"/>
        <v>53</v>
      </c>
      <c r="AT252" s="54">
        <f t="shared" ref="AT252:AT254" si="1753">RANDBETWEEN(0,300)</f>
        <v>157</v>
      </c>
      <c r="AU252" s="53">
        <f t="shared" si="1557"/>
        <v>38</v>
      </c>
      <c r="AV252" s="54">
        <f t="shared" ref="AV252:AV254" si="1754">RANDBETWEEN(0,300)</f>
        <v>113</v>
      </c>
      <c r="AW252" s="53">
        <f t="shared" si="1559"/>
        <v>81</v>
      </c>
      <c r="AX252" s="54">
        <f t="shared" ref="AX252:AX254" si="1755">RANDBETWEEN(0,300)</f>
        <v>241</v>
      </c>
      <c r="AY252" s="53">
        <f t="shared" si="1561"/>
        <v>24</v>
      </c>
      <c r="AZ252" s="54">
        <f t="shared" ref="AZ252:AZ254" si="1756">RANDBETWEEN(0,300)</f>
        <v>70</v>
      </c>
      <c r="BA252" s="53">
        <f t="shared" si="1563"/>
        <v>35</v>
      </c>
      <c r="BB252" s="54">
        <f t="shared" ref="BB252:BB254" si="1757">RANDBETWEEN(0,300)</f>
        <v>104</v>
      </c>
      <c r="BC252" s="49">
        <f t="shared" ref="BC252:BD252" si="1748">SUM(AS252,AU252,AW252,AY252,BA252)</f>
        <v>231</v>
      </c>
      <c r="BD252" s="50">
        <f t="shared" si="1748"/>
        <v>685</v>
      </c>
      <c r="BE252" s="68">
        <f t="shared" ref="BE252:BF252" si="1749">SUM(E252,G252,I252,O252,Q252,AC252,AQ252,BC252)</f>
        <v>742</v>
      </c>
      <c r="BF252" s="69">
        <f t="shared" si="1749"/>
        <v>2203</v>
      </c>
      <c r="BG252" s="46" t="str">
        <f>BF252*'ОВгП_РАО'!$B$34</f>
        <v>#REF!</v>
      </c>
      <c r="BH252" s="46" t="str">
        <f>'ОВгП_РАО'!$B$34</f>
        <v>#REF!</v>
      </c>
    </row>
    <row r="253" ht="15.75" customHeight="1">
      <c r="A253" s="80">
        <f t="shared" si="1567"/>
        <v>46267</v>
      </c>
      <c r="B253" s="47" t="s">
        <v>163</v>
      </c>
      <c r="C253" s="47" t="s">
        <v>161</v>
      </c>
      <c r="D253" s="47" t="s">
        <v>145</v>
      </c>
      <c r="E253" s="73">
        <f t="shared" si="1518"/>
        <v>0</v>
      </c>
      <c r="F253" s="50">
        <f t="shared" si="1693"/>
        <v>0</v>
      </c>
      <c r="G253" s="73">
        <f t="shared" si="1520"/>
        <v>2</v>
      </c>
      <c r="H253" s="50">
        <f t="shared" si="1694"/>
        <v>5</v>
      </c>
      <c r="I253" s="73">
        <f t="shared" si="1522"/>
        <v>30</v>
      </c>
      <c r="J253" s="50">
        <f t="shared" si="1695"/>
        <v>89</v>
      </c>
      <c r="K253" s="53">
        <f t="shared" si="1524"/>
        <v>27</v>
      </c>
      <c r="L253" s="54">
        <f t="shared" si="1696"/>
        <v>79</v>
      </c>
      <c r="M253" s="53">
        <f t="shared" si="1526"/>
        <v>34</v>
      </c>
      <c r="N253" s="54">
        <f t="shared" si="1697"/>
        <v>100</v>
      </c>
      <c r="O253" s="49">
        <f t="shared" ref="O253:P253" si="1750">SUM(K253,M253)</f>
        <v>61</v>
      </c>
      <c r="P253" s="50">
        <f t="shared" si="1750"/>
        <v>179</v>
      </c>
      <c r="Q253" s="73">
        <f t="shared" si="1529"/>
        <v>12</v>
      </c>
      <c r="R253" s="50">
        <f t="shared" si="1699"/>
        <v>36</v>
      </c>
      <c r="S253" s="53">
        <f t="shared" si="1531"/>
        <v>23</v>
      </c>
      <c r="T253" s="54">
        <f t="shared" si="1700"/>
        <v>67</v>
      </c>
      <c r="U253" s="53">
        <f t="shared" si="1533"/>
        <v>10</v>
      </c>
      <c r="V253" s="54">
        <f t="shared" si="1701"/>
        <v>29</v>
      </c>
      <c r="W253" s="53">
        <f t="shared" si="1535"/>
        <v>83</v>
      </c>
      <c r="X253" s="54">
        <f t="shared" si="1702"/>
        <v>248</v>
      </c>
      <c r="Y253" s="53">
        <f t="shared" si="1537"/>
        <v>55</v>
      </c>
      <c r="Z253" s="54">
        <f t="shared" si="1703"/>
        <v>164</v>
      </c>
      <c r="AA253" s="53">
        <f t="shared" si="1539"/>
        <v>39</v>
      </c>
      <c r="AB253" s="54">
        <f t="shared" si="1704"/>
        <v>115</v>
      </c>
      <c r="AC253" s="49">
        <f t="shared" ref="AC253:AD253" si="1751">SUM(S253,U253,W253,Y253,AA253)</f>
        <v>210</v>
      </c>
      <c r="AD253" s="50">
        <f t="shared" si="1751"/>
        <v>623</v>
      </c>
      <c r="AE253" s="53">
        <f t="shared" si="1542"/>
        <v>40</v>
      </c>
      <c r="AF253" s="54">
        <f t="shared" si="1711"/>
        <v>120</v>
      </c>
      <c r="AG253" s="53">
        <f t="shared" si="1544"/>
        <v>7</v>
      </c>
      <c r="AH253" s="54">
        <f t="shared" si="1712"/>
        <v>20</v>
      </c>
      <c r="AI253" s="53">
        <f t="shared" si="1546"/>
        <v>70</v>
      </c>
      <c r="AJ253" s="54">
        <f t="shared" si="1713"/>
        <v>210</v>
      </c>
      <c r="AK253" s="53">
        <f t="shared" si="1548"/>
        <v>51</v>
      </c>
      <c r="AL253" s="54">
        <f t="shared" si="1714"/>
        <v>153</v>
      </c>
      <c r="AM253" s="53">
        <f t="shared" si="1550"/>
        <v>14</v>
      </c>
      <c r="AN253" s="54">
        <f t="shared" si="1715"/>
        <v>40</v>
      </c>
      <c r="AO253" s="53">
        <f t="shared" si="1552"/>
        <v>93</v>
      </c>
      <c r="AP253" s="54">
        <f t="shared" si="1716"/>
        <v>277</v>
      </c>
      <c r="AQ253" s="49">
        <f t="shared" ref="AQ253:AR253" si="1752">SUM(AG253,AI253,AK253,AM253,AO253)</f>
        <v>235</v>
      </c>
      <c r="AR253" s="50">
        <f t="shared" si="1752"/>
        <v>700</v>
      </c>
      <c r="AS253" s="53">
        <f t="shared" si="1555"/>
        <v>51</v>
      </c>
      <c r="AT253" s="54">
        <f t="shared" si="1753"/>
        <v>153</v>
      </c>
      <c r="AU253" s="53">
        <f t="shared" si="1557"/>
        <v>62</v>
      </c>
      <c r="AV253" s="54">
        <f t="shared" si="1754"/>
        <v>184</v>
      </c>
      <c r="AW253" s="53">
        <f t="shared" si="1559"/>
        <v>21</v>
      </c>
      <c r="AX253" s="54">
        <f t="shared" si="1755"/>
        <v>61</v>
      </c>
      <c r="AY253" s="53">
        <f t="shared" si="1561"/>
        <v>97</v>
      </c>
      <c r="AZ253" s="54">
        <f t="shared" si="1756"/>
        <v>291</v>
      </c>
      <c r="BA253" s="53">
        <f t="shared" si="1563"/>
        <v>67</v>
      </c>
      <c r="BB253" s="54">
        <f t="shared" si="1757"/>
        <v>200</v>
      </c>
      <c r="BC253" s="49">
        <f t="shared" ref="BC253:BD253" si="1758">SUM(AS253,AU253,AW253,AY253,BA253)</f>
        <v>298</v>
      </c>
      <c r="BD253" s="50">
        <f t="shared" si="1758"/>
        <v>889</v>
      </c>
      <c r="BE253" s="68">
        <f t="shared" ref="BE253:BF253" si="1759">SUM(E253,G253,I253,O253,Q253,AC253,AQ253,BC253)</f>
        <v>848</v>
      </c>
      <c r="BF253" s="69">
        <f t="shared" si="1759"/>
        <v>2521</v>
      </c>
      <c r="BG253" s="46" t="str">
        <f>BF253*'ОВгП_РАО'!$B$35</f>
        <v>#REF!</v>
      </c>
      <c r="BH253" s="46" t="str">
        <f>'ОВгП_РАО'!$B$35</f>
        <v>#REF!</v>
      </c>
    </row>
    <row r="254" ht="15.75" customHeight="1">
      <c r="A254" s="80">
        <f t="shared" si="1567"/>
        <v>46267</v>
      </c>
      <c r="B254" s="47" t="s">
        <v>164</v>
      </c>
      <c r="C254" s="47" t="s">
        <v>161</v>
      </c>
      <c r="D254" s="47" t="s">
        <v>148</v>
      </c>
      <c r="E254" s="73">
        <f t="shared" si="1518"/>
        <v>14</v>
      </c>
      <c r="F254" s="50">
        <f t="shared" si="1693"/>
        <v>40</v>
      </c>
      <c r="G254" s="73">
        <f t="shared" si="1520"/>
        <v>17</v>
      </c>
      <c r="H254" s="50">
        <f t="shared" si="1694"/>
        <v>50</v>
      </c>
      <c r="I254" s="73">
        <f t="shared" si="1522"/>
        <v>27</v>
      </c>
      <c r="J254" s="50">
        <f t="shared" si="1695"/>
        <v>81</v>
      </c>
      <c r="K254" s="53">
        <f t="shared" si="1524"/>
        <v>25</v>
      </c>
      <c r="L254" s="54">
        <f t="shared" si="1696"/>
        <v>74</v>
      </c>
      <c r="M254" s="53">
        <f t="shared" si="1526"/>
        <v>32</v>
      </c>
      <c r="N254" s="54">
        <f t="shared" si="1697"/>
        <v>96</v>
      </c>
      <c r="O254" s="49">
        <f t="shared" ref="O254:P254" si="1760">SUM(K254,M254)</f>
        <v>57</v>
      </c>
      <c r="P254" s="50">
        <f t="shared" si="1760"/>
        <v>170</v>
      </c>
      <c r="Q254" s="73">
        <f t="shared" si="1529"/>
        <v>31</v>
      </c>
      <c r="R254" s="50">
        <f t="shared" si="1699"/>
        <v>93</v>
      </c>
      <c r="S254" s="53">
        <f t="shared" si="1531"/>
        <v>7</v>
      </c>
      <c r="T254" s="54">
        <f t="shared" si="1700"/>
        <v>20</v>
      </c>
      <c r="U254" s="53">
        <f t="shared" si="1533"/>
        <v>32</v>
      </c>
      <c r="V254" s="54">
        <f t="shared" si="1701"/>
        <v>95</v>
      </c>
      <c r="W254" s="53">
        <f t="shared" si="1535"/>
        <v>31</v>
      </c>
      <c r="X254" s="54">
        <f t="shared" si="1702"/>
        <v>93</v>
      </c>
      <c r="Y254" s="53">
        <f t="shared" si="1537"/>
        <v>45</v>
      </c>
      <c r="Z254" s="54">
        <f t="shared" si="1703"/>
        <v>135</v>
      </c>
      <c r="AA254" s="53">
        <f t="shared" si="1539"/>
        <v>95</v>
      </c>
      <c r="AB254" s="54">
        <f t="shared" si="1704"/>
        <v>283</v>
      </c>
      <c r="AC254" s="49">
        <f t="shared" ref="AC254:AD254" si="1761">SUM(S254,U254,W254,Y254,AA254)</f>
        <v>210</v>
      </c>
      <c r="AD254" s="50">
        <f t="shared" si="1761"/>
        <v>626</v>
      </c>
      <c r="AE254" s="53">
        <f t="shared" si="1542"/>
        <v>15</v>
      </c>
      <c r="AF254" s="54">
        <f t="shared" si="1711"/>
        <v>44</v>
      </c>
      <c r="AG254" s="53">
        <f t="shared" si="1544"/>
        <v>45</v>
      </c>
      <c r="AH254" s="54">
        <f t="shared" si="1712"/>
        <v>134</v>
      </c>
      <c r="AI254" s="53">
        <f t="shared" si="1546"/>
        <v>46</v>
      </c>
      <c r="AJ254" s="54">
        <f t="shared" si="1713"/>
        <v>138</v>
      </c>
      <c r="AK254" s="53">
        <f t="shared" si="1548"/>
        <v>14</v>
      </c>
      <c r="AL254" s="54">
        <f t="shared" si="1714"/>
        <v>41</v>
      </c>
      <c r="AM254" s="53">
        <f t="shared" si="1550"/>
        <v>88</v>
      </c>
      <c r="AN254" s="54">
        <f t="shared" si="1715"/>
        <v>262</v>
      </c>
      <c r="AO254" s="53">
        <f t="shared" si="1552"/>
        <v>92</v>
      </c>
      <c r="AP254" s="54">
        <f t="shared" si="1716"/>
        <v>274</v>
      </c>
      <c r="AQ254" s="49">
        <f t="shared" ref="AQ254:AR254" si="1762">SUM(AG254,AI254,AK254,AM254,AO254)</f>
        <v>285</v>
      </c>
      <c r="AR254" s="50">
        <f t="shared" si="1762"/>
        <v>849</v>
      </c>
      <c r="AS254" s="53">
        <f t="shared" si="1555"/>
        <v>47</v>
      </c>
      <c r="AT254" s="54">
        <f t="shared" si="1753"/>
        <v>139</v>
      </c>
      <c r="AU254" s="53">
        <f t="shared" si="1557"/>
        <v>50</v>
      </c>
      <c r="AV254" s="54">
        <f t="shared" si="1754"/>
        <v>148</v>
      </c>
      <c r="AW254" s="53">
        <f t="shared" si="1559"/>
        <v>14</v>
      </c>
      <c r="AX254" s="54">
        <f t="shared" si="1755"/>
        <v>42</v>
      </c>
      <c r="AY254" s="53">
        <f t="shared" si="1561"/>
        <v>35</v>
      </c>
      <c r="AZ254" s="54">
        <f t="shared" si="1756"/>
        <v>105</v>
      </c>
      <c r="BA254" s="53">
        <f t="shared" si="1563"/>
        <v>28</v>
      </c>
      <c r="BB254" s="54">
        <f t="shared" si="1757"/>
        <v>83</v>
      </c>
      <c r="BC254" s="49">
        <f t="shared" ref="BC254:BD254" si="1763">SUM(AS254,AU254,AW254,AY254,BA254)</f>
        <v>174</v>
      </c>
      <c r="BD254" s="50">
        <f t="shared" si="1763"/>
        <v>517</v>
      </c>
      <c r="BE254" s="68">
        <f t="shared" ref="BE254:BF254" si="1764">SUM(E254,G254,I254,O254,Q254,AC254,AQ254,BC254)</f>
        <v>815</v>
      </c>
      <c r="BF254" s="69">
        <f t="shared" si="1764"/>
        <v>2426</v>
      </c>
      <c r="BG254" s="46" t="str">
        <f>BF254*'ОВгП_РАО'!$B$36</f>
        <v>#REF!</v>
      </c>
      <c r="BH254" s="46" t="str">
        <f>'ОВгП_РАО'!B252</f>
        <v>#REF!</v>
      </c>
    </row>
    <row r="255" ht="15.75" customHeight="1">
      <c r="A255" s="161"/>
      <c r="B255" s="162"/>
      <c r="C255" s="162"/>
      <c r="D255" s="162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  <c r="BF255" s="42"/>
    </row>
    <row r="256" ht="15.75" customHeight="1">
      <c r="A256" s="44">
        <f>A254+1</f>
        <v>46268</v>
      </c>
      <c r="B256" s="163" t="s">
        <v>95</v>
      </c>
      <c r="C256" s="46" t="s">
        <v>96</v>
      </c>
      <c r="D256" s="47" t="s">
        <v>98</v>
      </c>
      <c r="E256" s="49">
        <f t="shared" ref="E256:E290" si="1770">ROUNDUP(F256/3,0)</f>
        <v>2</v>
      </c>
      <c r="F256" s="50">
        <f t="shared" ref="F256:F281" si="1771">RANDBETWEEN(0,4)</f>
        <v>4</v>
      </c>
      <c r="G256" s="49">
        <f t="shared" ref="G256:G290" si="1772">ROUNDUP(H256/3,0)</f>
        <v>1</v>
      </c>
      <c r="H256" s="50">
        <f t="shared" ref="H256:H281" si="1773">RANDBETWEEN(0,4)</f>
        <v>2</v>
      </c>
      <c r="I256" s="49">
        <f t="shared" ref="I256:I290" si="1774">ROUNDUP(J256/3,0)</f>
        <v>1</v>
      </c>
      <c r="J256" s="50">
        <f t="shared" ref="J256:J281" si="1775">RANDBETWEEN(0,4)</f>
        <v>1</v>
      </c>
      <c r="K256" s="53">
        <f t="shared" ref="K256:K290" si="1776">ROUNDUP(L256/3,0)</f>
        <v>2</v>
      </c>
      <c r="L256" s="54">
        <f t="shared" ref="L256:L281" si="1777">RANDBETWEEN(0,4)</f>
        <v>4</v>
      </c>
      <c r="M256" s="53">
        <f t="shared" ref="M256:M290" si="1778">ROUNDUP(N256/3,0)</f>
        <v>1</v>
      </c>
      <c r="N256" s="54">
        <f t="shared" ref="N256:N281" si="1779">RANDBETWEEN(0,4)</f>
        <v>1</v>
      </c>
      <c r="O256" s="49">
        <f t="shared" ref="O256:P256" si="1765">SUM(K256,M256)</f>
        <v>3</v>
      </c>
      <c r="P256" s="50">
        <f t="shared" si="1765"/>
        <v>5</v>
      </c>
      <c r="Q256" s="49">
        <f t="shared" ref="Q256:Q290" si="1781">ROUNDUP(R256/3,0)</f>
        <v>1</v>
      </c>
      <c r="R256" s="50">
        <f t="shared" ref="R256:R281" si="1782">RANDBETWEEN(0,4)</f>
        <v>2</v>
      </c>
      <c r="S256" s="53">
        <f t="shared" ref="S256:S290" si="1783">ROUNDUP(T256/3,0)</f>
        <v>1</v>
      </c>
      <c r="T256" s="54">
        <f t="shared" ref="T256:T281" si="1784">RANDBETWEEN(0,4)</f>
        <v>1</v>
      </c>
      <c r="U256" s="53">
        <f t="shared" ref="U256:U290" si="1785">ROUNDUP(V256/3,0)</f>
        <v>0</v>
      </c>
      <c r="V256" s="54">
        <f t="shared" ref="V256:V281" si="1786">RANDBETWEEN(0,4)</f>
        <v>0</v>
      </c>
      <c r="W256" s="53">
        <f t="shared" ref="W256:W290" si="1787">ROUNDUP(X256/3,0)</f>
        <v>0</v>
      </c>
      <c r="X256" s="54">
        <f t="shared" ref="X256:X281" si="1788">RANDBETWEEN(0,4)</f>
        <v>0</v>
      </c>
      <c r="Y256" s="53">
        <f t="shared" ref="Y256:Y290" si="1789">ROUNDUP(Z256/3,0)</f>
        <v>1</v>
      </c>
      <c r="Z256" s="54">
        <f t="shared" ref="Z256:Z281" si="1790">RANDBETWEEN(0,4)</f>
        <v>3</v>
      </c>
      <c r="AA256" s="53">
        <f t="shared" ref="AA256:AA290" si="1791">ROUNDUP(AB256/3,0)</f>
        <v>1</v>
      </c>
      <c r="AB256" s="54">
        <f t="shared" ref="AB256:AB281" si="1792">RANDBETWEEN(0,4)</f>
        <v>1</v>
      </c>
      <c r="AC256" s="49">
        <f t="shared" ref="AC256:AD256" si="1766">SUM(S256,U256,W256,Y256,AA256)</f>
        <v>3</v>
      </c>
      <c r="AD256" s="50">
        <f t="shared" si="1766"/>
        <v>5</v>
      </c>
      <c r="AE256" s="53">
        <f t="shared" ref="AE256:AE290" si="1794">ROUNDUP(AF256/3,0)</f>
        <v>0</v>
      </c>
      <c r="AF256" s="54">
        <f t="shared" ref="AF256:AF281" si="1795">RANDBETWEEN(0,4)</f>
        <v>0</v>
      </c>
      <c r="AG256" s="53">
        <f t="shared" ref="AG256:AG290" si="1796">ROUNDUP(AH256/3,0)</f>
        <v>2</v>
      </c>
      <c r="AH256" s="54">
        <f t="shared" ref="AH256:AH281" si="1797">RANDBETWEEN(0,4)</f>
        <v>4</v>
      </c>
      <c r="AI256" s="53">
        <f t="shared" ref="AI256:AI290" si="1798">ROUNDUP(AJ256/3,0)</f>
        <v>1</v>
      </c>
      <c r="AJ256" s="54">
        <f t="shared" ref="AJ256:AJ281" si="1799">RANDBETWEEN(0,4)</f>
        <v>2</v>
      </c>
      <c r="AK256" s="53">
        <f t="shared" ref="AK256:AK290" si="1800">ROUNDUP(AL256/3,0)</f>
        <v>0</v>
      </c>
      <c r="AL256" s="54">
        <f t="shared" ref="AL256:AL281" si="1801">RANDBETWEEN(0,4)</f>
        <v>0</v>
      </c>
      <c r="AM256" s="53">
        <f t="shared" ref="AM256:AM290" si="1802">ROUNDUP(AN256/3,0)</f>
        <v>0</v>
      </c>
      <c r="AN256" s="54">
        <f t="shared" ref="AN256:AN281" si="1803">RANDBETWEEN(0,4)</f>
        <v>0</v>
      </c>
      <c r="AO256" s="53">
        <f t="shared" ref="AO256:AO290" si="1804">ROUNDUP(AP256/3,0)</f>
        <v>1</v>
      </c>
      <c r="AP256" s="54">
        <f t="shared" ref="AP256:AP281" si="1805">RANDBETWEEN(0,4)</f>
        <v>3</v>
      </c>
      <c r="AQ256" s="49">
        <f t="shared" ref="AQ256:AR256" si="1767">SUM(AG256,AI256,AK256,AM256,AO256)</f>
        <v>4</v>
      </c>
      <c r="AR256" s="50">
        <f t="shared" si="1767"/>
        <v>9</v>
      </c>
      <c r="AS256" s="53">
        <f t="shared" ref="AS256:AS290" si="1807">ROUNDUP(AT256/3,0)</f>
        <v>1</v>
      </c>
      <c r="AT256" s="54">
        <f t="shared" ref="AT256:AT281" si="1808">RANDBETWEEN(0,4)</f>
        <v>1</v>
      </c>
      <c r="AU256" s="53">
        <f t="shared" ref="AU256:AU290" si="1809">ROUNDUP(AV256/3,0)</f>
        <v>2</v>
      </c>
      <c r="AV256" s="54">
        <f t="shared" ref="AV256:AV281" si="1810">RANDBETWEEN(0,4)</f>
        <v>4</v>
      </c>
      <c r="AW256" s="53">
        <f t="shared" ref="AW256:AW290" si="1811">ROUNDUP(AX256/3,0)</f>
        <v>1</v>
      </c>
      <c r="AX256" s="54">
        <f t="shared" ref="AX256:AX281" si="1812">RANDBETWEEN(0,4)</f>
        <v>3</v>
      </c>
      <c r="AY256" s="53">
        <f t="shared" ref="AY256:AY290" si="1813">ROUNDUP(AZ256/3,0)</f>
        <v>1</v>
      </c>
      <c r="AZ256" s="54">
        <f t="shared" ref="AZ256:AZ281" si="1814">RANDBETWEEN(0,4)</f>
        <v>1</v>
      </c>
      <c r="BA256" s="53">
        <f t="shared" ref="BA256:BA290" si="1815">ROUNDUP(BB256/3,0)</f>
        <v>0</v>
      </c>
      <c r="BB256" s="54">
        <f t="shared" ref="BB256:BB281" si="1816">RANDBETWEEN(0,4)</f>
        <v>0</v>
      </c>
      <c r="BC256" s="49">
        <f t="shared" ref="BC256:BD256" si="1768">SUM(AS256,AU256,AW256,AY256,BA256)</f>
        <v>5</v>
      </c>
      <c r="BD256" s="50">
        <f t="shared" si="1768"/>
        <v>9</v>
      </c>
      <c r="BE256" s="68">
        <f t="shared" ref="BE256:BF256" si="1769">SUM(E256,G256,I256,O256,Q256,AC256,AQ256,BC256)</f>
        <v>20</v>
      </c>
      <c r="BF256" s="69">
        <f t="shared" si="1769"/>
        <v>37</v>
      </c>
      <c r="BG256" s="46" t="str">
        <f>BF256*'ОВгП_РАО'!$B$2</f>
        <v>#REF!</v>
      </c>
      <c r="BH256" s="46" t="str">
        <f>'ОВгП_РАО'!$B$2</f>
        <v>#REF!</v>
      </c>
    </row>
    <row r="257" ht="15.75" customHeight="1">
      <c r="A257" s="71">
        <f t="shared" ref="A257:A290" si="1819">A256</f>
        <v>46268</v>
      </c>
      <c r="B257" s="45" t="s">
        <v>115</v>
      </c>
      <c r="C257" s="46" t="s">
        <v>96</v>
      </c>
      <c r="D257" s="47" t="s">
        <v>98</v>
      </c>
      <c r="E257" s="73">
        <f t="shared" si="1770"/>
        <v>1</v>
      </c>
      <c r="F257" s="50">
        <f t="shared" si="1771"/>
        <v>3</v>
      </c>
      <c r="G257" s="73">
        <f t="shared" si="1772"/>
        <v>1</v>
      </c>
      <c r="H257" s="50">
        <f t="shared" si="1773"/>
        <v>3</v>
      </c>
      <c r="I257" s="73">
        <f t="shared" si="1774"/>
        <v>1</v>
      </c>
      <c r="J257" s="50">
        <f t="shared" si="1775"/>
        <v>3</v>
      </c>
      <c r="K257" s="53">
        <f t="shared" si="1776"/>
        <v>1</v>
      </c>
      <c r="L257" s="54">
        <f t="shared" si="1777"/>
        <v>3</v>
      </c>
      <c r="M257" s="53">
        <f t="shared" si="1778"/>
        <v>1</v>
      </c>
      <c r="N257" s="54">
        <f t="shared" si="1779"/>
        <v>2</v>
      </c>
      <c r="O257" s="49">
        <f t="shared" ref="O257:P257" si="1780">SUM(K257,M257)</f>
        <v>2</v>
      </c>
      <c r="P257" s="50">
        <f t="shared" si="1780"/>
        <v>5</v>
      </c>
      <c r="Q257" s="73">
        <f t="shared" si="1781"/>
        <v>1</v>
      </c>
      <c r="R257" s="50">
        <f t="shared" si="1782"/>
        <v>1</v>
      </c>
      <c r="S257" s="53">
        <f t="shared" si="1783"/>
        <v>1</v>
      </c>
      <c r="T257" s="54">
        <f t="shared" si="1784"/>
        <v>2</v>
      </c>
      <c r="U257" s="53">
        <f t="shared" si="1785"/>
        <v>2</v>
      </c>
      <c r="V257" s="54">
        <f t="shared" si="1786"/>
        <v>4</v>
      </c>
      <c r="W257" s="53">
        <f t="shared" si="1787"/>
        <v>0</v>
      </c>
      <c r="X257" s="54">
        <f t="shared" si="1788"/>
        <v>0</v>
      </c>
      <c r="Y257" s="53">
        <f t="shared" si="1789"/>
        <v>1</v>
      </c>
      <c r="Z257" s="54">
        <f t="shared" si="1790"/>
        <v>1</v>
      </c>
      <c r="AA257" s="53">
        <f t="shared" si="1791"/>
        <v>2</v>
      </c>
      <c r="AB257" s="54">
        <f t="shared" si="1792"/>
        <v>4</v>
      </c>
      <c r="AC257" s="49">
        <f t="shared" ref="AC257:AD257" si="1793">SUM(S257,U257,W257,Y257,AA257)</f>
        <v>6</v>
      </c>
      <c r="AD257" s="50">
        <f t="shared" si="1793"/>
        <v>11</v>
      </c>
      <c r="AE257" s="53">
        <f t="shared" si="1794"/>
        <v>1</v>
      </c>
      <c r="AF257" s="54">
        <f t="shared" si="1795"/>
        <v>3</v>
      </c>
      <c r="AG257" s="53">
        <f t="shared" si="1796"/>
        <v>1</v>
      </c>
      <c r="AH257" s="54">
        <f t="shared" si="1797"/>
        <v>3</v>
      </c>
      <c r="AI257" s="53">
        <f t="shared" si="1798"/>
        <v>1</v>
      </c>
      <c r="AJ257" s="54">
        <f t="shared" si="1799"/>
        <v>3</v>
      </c>
      <c r="AK257" s="53">
        <f t="shared" si="1800"/>
        <v>0</v>
      </c>
      <c r="AL257" s="54">
        <f t="shared" si="1801"/>
        <v>0</v>
      </c>
      <c r="AM257" s="53">
        <f t="shared" si="1802"/>
        <v>2</v>
      </c>
      <c r="AN257" s="54">
        <f t="shared" si="1803"/>
        <v>4</v>
      </c>
      <c r="AO257" s="53">
        <f t="shared" si="1804"/>
        <v>2</v>
      </c>
      <c r="AP257" s="54">
        <f t="shared" si="1805"/>
        <v>4</v>
      </c>
      <c r="AQ257" s="49">
        <f t="shared" ref="AQ257:AR257" si="1806">SUM(AG257,AI257,AK257,AM257,AO257)</f>
        <v>6</v>
      </c>
      <c r="AR257" s="50">
        <f t="shared" si="1806"/>
        <v>14</v>
      </c>
      <c r="AS257" s="53">
        <f t="shared" si="1807"/>
        <v>0</v>
      </c>
      <c r="AT257" s="54">
        <f t="shared" si="1808"/>
        <v>0</v>
      </c>
      <c r="AU257" s="53">
        <f t="shared" si="1809"/>
        <v>1</v>
      </c>
      <c r="AV257" s="54">
        <f t="shared" si="1810"/>
        <v>2</v>
      </c>
      <c r="AW257" s="53">
        <f t="shared" si="1811"/>
        <v>1</v>
      </c>
      <c r="AX257" s="54">
        <f t="shared" si="1812"/>
        <v>1</v>
      </c>
      <c r="AY257" s="53">
        <f t="shared" si="1813"/>
        <v>1</v>
      </c>
      <c r="AZ257" s="54">
        <f t="shared" si="1814"/>
        <v>2</v>
      </c>
      <c r="BA257" s="53">
        <f t="shared" si="1815"/>
        <v>2</v>
      </c>
      <c r="BB257" s="54">
        <f t="shared" si="1816"/>
        <v>4</v>
      </c>
      <c r="BC257" s="49">
        <f t="shared" ref="BC257:BD257" si="1817">SUM(AS257,AU257,AW257,AY257,BA257)</f>
        <v>5</v>
      </c>
      <c r="BD257" s="50">
        <f t="shared" si="1817"/>
        <v>9</v>
      </c>
      <c r="BE257" s="68">
        <f t="shared" ref="BE257:BF257" si="1818">SUM(E257,G257,I257,O257,Q257,AC257,AQ257,BC257)</f>
        <v>23</v>
      </c>
      <c r="BF257" s="69">
        <f t="shared" si="1818"/>
        <v>49</v>
      </c>
      <c r="BG257" s="46" t="str">
        <f>BF257*'ОВгП_РАО'!$B$3</f>
        <v>#REF!</v>
      </c>
      <c r="BH257" s="46" t="str">
        <f>'ОВгП_РАО'!$B$3</f>
        <v>#REF!</v>
      </c>
    </row>
    <row r="258" ht="15.75" customHeight="1">
      <c r="A258" s="80">
        <f t="shared" si="1819"/>
        <v>46268</v>
      </c>
      <c r="B258" s="45" t="s">
        <v>116</v>
      </c>
      <c r="C258" s="46" t="s">
        <v>96</v>
      </c>
      <c r="D258" s="47" t="s">
        <v>98</v>
      </c>
      <c r="E258" s="73">
        <f t="shared" si="1770"/>
        <v>1</v>
      </c>
      <c r="F258" s="50">
        <f t="shared" si="1771"/>
        <v>1</v>
      </c>
      <c r="G258" s="73">
        <f t="shared" si="1772"/>
        <v>1</v>
      </c>
      <c r="H258" s="50">
        <f t="shared" si="1773"/>
        <v>2</v>
      </c>
      <c r="I258" s="73">
        <f t="shared" si="1774"/>
        <v>1</v>
      </c>
      <c r="J258" s="50">
        <f t="shared" si="1775"/>
        <v>1</v>
      </c>
      <c r="K258" s="53">
        <f t="shared" si="1776"/>
        <v>2</v>
      </c>
      <c r="L258" s="54">
        <f t="shared" si="1777"/>
        <v>4</v>
      </c>
      <c r="M258" s="53">
        <f t="shared" si="1778"/>
        <v>1</v>
      </c>
      <c r="N258" s="54">
        <f t="shared" si="1779"/>
        <v>2</v>
      </c>
      <c r="O258" s="49">
        <f t="shared" ref="O258:P258" si="1820">SUM(K258,M258)</f>
        <v>3</v>
      </c>
      <c r="P258" s="50">
        <f t="shared" si="1820"/>
        <v>6</v>
      </c>
      <c r="Q258" s="73">
        <f t="shared" si="1781"/>
        <v>1</v>
      </c>
      <c r="R258" s="50">
        <f t="shared" si="1782"/>
        <v>1</v>
      </c>
      <c r="S258" s="53">
        <f t="shared" si="1783"/>
        <v>1</v>
      </c>
      <c r="T258" s="54">
        <f t="shared" si="1784"/>
        <v>2</v>
      </c>
      <c r="U258" s="53">
        <f t="shared" si="1785"/>
        <v>1</v>
      </c>
      <c r="V258" s="54">
        <f t="shared" si="1786"/>
        <v>2</v>
      </c>
      <c r="W258" s="53">
        <f t="shared" si="1787"/>
        <v>0</v>
      </c>
      <c r="X258" s="54">
        <f t="shared" si="1788"/>
        <v>0</v>
      </c>
      <c r="Y258" s="53">
        <f t="shared" si="1789"/>
        <v>1</v>
      </c>
      <c r="Z258" s="54">
        <f t="shared" si="1790"/>
        <v>2</v>
      </c>
      <c r="AA258" s="53">
        <f t="shared" si="1791"/>
        <v>1</v>
      </c>
      <c r="AB258" s="54">
        <f t="shared" si="1792"/>
        <v>2</v>
      </c>
      <c r="AC258" s="49">
        <f t="shared" ref="AC258:AD258" si="1821">SUM(S258,U258,W258,Y258,AA258)</f>
        <v>4</v>
      </c>
      <c r="AD258" s="50">
        <f t="shared" si="1821"/>
        <v>8</v>
      </c>
      <c r="AE258" s="53">
        <f t="shared" si="1794"/>
        <v>0</v>
      </c>
      <c r="AF258" s="54">
        <f t="shared" si="1795"/>
        <v>0</v>
      </c>
      <c r="AG258" s="53">
        <f t="shared" si="1796"/>
        <v>1</v>
      </c>
      <c r="AH258" s="54">
        <f t="shared" si="1797"/>
        <v>3</v>
      </c>
      <c r="AI258" s="53">
        <f t="shared" si="1798"/>
        <v>1</v>
      </c>
      <c r="AJ258" s="54">
        <f t="shared" si="1799"/>
        <v>1</v>
      </c>
      <c r="AK258" s="53">
        <f t="shared" si="1800"/>
        <v>1</v>
      </c>
      <c r="AL258" s="54">
        <f t="shared" si="1801"/>
        <v>3</v>
      </c>
      <c r="AM258" s="53">
        <f t="shared" si="1802"/>
        <v>0</v>
      </c>
      <c r="AN258" s="54">
        <f t="shared" si="1803"/>
        <v>0</v>
      </c>
      <c r="AO258" s="53">
        <f t="shared" si="1804"/>
        <v>1</v>
      </c>
      <c r="AP258" s="54">
        <f t="shared" si="1805"/>
        <v>1</v>
      </c>
      <c r="AQ258" s="49">
        <f t="shared" ref="AQ258:AR258" si="1822">SUM(AG258,AI258,AK258,AM258,AO258)</f>
        <v>4</v>
      </c>
      <c r="AR258" s="50">
        <f t="shared" si="1822"/>
        <v>8</v>
      </c>
      <c r="AS258" s="53">
        <f t="shared" si="1807"/>
        <v>1</v>
      </c>
      <c r="AT258" s="54">
        <f t="shared" si="1808"/>
        <v>3</v>
      </c>
      <c r="AU258" s="53">
        <f t="shared" si="1809"/>
        <v>1</v>
      </c>
      <c r="AV258" s="54">
        <f t="shared" si="1810"/>
        <v>3</v>
      </c>
      <c r="AW258" s="53">
        <f t="shared" si="1811"/>
        <v>1</v>
      </c>
      <c r="AX258" s="54">
        <f t="shared" si="1812"/>
        <v>1</v>
      </c>
      <c r="AY258" s="53">
        <f t="shared" si="1813"/>
        <v>1</v>
      </c>
      <c r="AZ258" s="54">
        <f t="shared" si="1814"/>
        <v>2</v>
      </c>
      <c r="BA258" s="53">
        <f t="shared" si="1815"/>
        <v>1</v>
      </c>
      <c r="BB258" s="54">
        <f t="shared" si="1816"/>
        <v>2</v>
      </c>
      <c r="BC258" s="49">
        <f t="shared" ref="BC258:BD258" si="1823">SUM(AS258,AU258,AW258,AY258,BA258)</f>
        <v>5</v>
      </c>
      <c r="BD258" s="50">
        <f t="shared" si="1823"/>
        <v>11</v>
      </c>
      <c r="BE258" s="68">
        <f t="shared" ref="BE258:BF258" si="1824">SUM(E258,G258,I258,O258,Q258,AC258,AQ258,BC258)</f>
        <v>20</v>
      </c>
      <c r="BF258" s="69">
        <f t="shared" si="1824"/>
        <v>38</v>
      </c>
      <c r="BG258" s="46" t="str">
        <f>BF258*'ОВгП_РАО'!$B$4</f>
        <v>#REF!</v>
      </c>
      <c r="BH258" s="46" t="str">
        <f>'ОВгП_РАО'!$B$4</f>
        <v>#REF!</v>
      </c>
    </row>
    <row r="259" ht="15.75" customHeight="1">
      <c r="A259" s="80">
        <f t="shared" si="1819"/>
        <v>46268</v>
      </c>
      <c r="B259" s="45" t="s">
        <v>117</v>
      </c>
      <c r="C259" s="46" t="s">
        <v>96</v>
      </c>
      <c r="D259" s="47" t="s">
        <v>98</v>
      </c>
      <c r="E259" s="73">
        <f t="shared" si="1770"/>
        <v>0</v>
      </c>
      <c r="F259" s="50">
        <f t="shared" si="1771"/>
        <v>0</v>
      </c>
      <c r="G259" s="73">
        <f t="shared" si="1772"/>
        <v>1</v>
      </c>
      <c r="H259" s="50">
        <f t="shared" si="1773"/>
        <v>1</v>
      </c>
      <c r="I259" s="73">
        <f t="shared" si="1774"/>
        <v>0</v>
      </c>
      <c r="J259" s="50">
        <f t="shared" si="1775"/>
        <v>0</v>
      </c>
      <c r="K259" s="53">
        <f t="shared" si="1776"/>
        <v>2</v>
      </c>
      <c r="L259" s="54">
        <f t="shared" si="1777"/>
        <v>4</v>
      </c>
      <c r="M259" s="53">
        <f t="shared" si="1778"/>
        <v>1</v>
      </c>
      <c r="N259" s="54">
        <f t="shared" si="1779"/>
        <v>1</v>
      </c>
      <c r="O259" s="49">
        <f t="shared" ref="O259:P259" si="1825">SUM(K259,M259)</f>
        <v>3</v>
      </c>
      <c r="P259" s="50">
        <f t="shared" si="1825"/>
        <v>5</v>
      </c>
      <c r="Q259" s="73">
        <f t="shared" si="1781"/>
        <v>0</v>
      </c>
      <c r="R259" s="50">
        <f t="shared" si="1782"/>
        <v>0</v>
      </c>
      <c r="S259" s="53">
        <f t="shared" si="1783"/>
        <v>2</v>
      </c>
      <c r="T259" s="54">
        <f t="shared" si="1784"/>
        <v>4</v>
      </c>
      <c r="U259" s="53">
        <f t="shared" si="1785"/>
        <v>1</v>
      </c>
      <c r="V259" s="54">
        <f t="shared" si="1786"/>
        <v>3</v>
      </c>
      <c r="W259" s="53">
        <f t="shared" si="1787"/>
        <v>1</v>
      </c>
      <c r="X259" s="54">
        <f t="shared" si="1788"/>
        <v>2</v>
      </c>
      <c r="Y259" s="53">
        <f t="shared" si="1789"/>
        <v>1</v>
      </c>
      <c r="Z259" s="54">
        <f t="shared" si="1790"/>
        <v>1</v>
      </c>
      <c r="AA259" s="53">
        <f t="shared" si="1791"/>
        <v>1</v>
      </c>
      <c r="AB259" s="54">
        <f t="shared" si="1792"/>
        <v>3</v>
      </c>
      <c r="AC259" s="49">
        <f t="shared" ref="AC259:AD259" si="1826">SUM(S259,U259,W259,Y259,AA259)</f>
        <v>6</v>
      </c>
      <c r="AD259" s="50">
        <f t="shared" si="1826"/>
        <v>13</v>
      </c>
      <c r="AE259" s="53">
        <f t="shared" si="1794"/>
        <v>1</v>
      </c>
      <c r="AF259" s="54">
        <f t="shared" si="1795"/>
        <v>3</v>
      </c>
      <c r="AG259" s="53">
        <f t="shared" si="1796"/>
        <v>1</v>
      </c>
      <c r="AH259" s="54">
        <f t="shared" si="1797"/>
        <v>1</v>
      </c>
      <c r="AI259" s="53">
        <f t="shared" si="1798"/>
        <v>2</v>
      </c>
      <c r="AJ259" s="54">
        <f t="shared" si="1799"/>
        <v>4</v>
      </c>
      <c r="AK259" s="53">
        <f t="shared" si="1800"/>
        <v>2</v>
      </c>
      <c r="AL259" s="54">
        <f t="shared" si="1801"/>
        <v>4</v>
      </c>
      <c r="AM259" s="53">
        <f t="shared" si="1802"/>
        <v>1</v>
      </c>
      <c r="AN259" s="54">
        <f t="shared" si="1803"/>
        <v>2</v>
      </c>
      <c r="AO259" s="53">
        <f t="shared" si="1804"/>
        <v>2</v>
      </c>
      <c r="AP259" s="54">
        <f t="shared" si="1805"/>
        <v>4</v>
      </c>
      <c r="AQ259" s="49">
        <f t="shared" ref="AQ259:AR259" si="1827">SUM(AG259,AI259,AK259,AM259,AO259)</f>
        <v>8</v>
      </c>
      <c r="AR259" s="50">
        <f t="shared" si="1827"/>
        <v>15</v>
      </c>
      <c r="AS259" s="53">
        <f t="shared" si="1807"/>
        <v>1</v>
      </c>
      <c r="AT259" s="54">
        <f t="shared" si="1808"/>
        <v>1</v>
      </c>
      <c r="AU259" s="53">
        <f t="shared" si="1809"/>
        <v>1</v>
      </c>
      <c r="AV259" s="54">
        <f t="shared" si="1810"/>
        <v>2</v>
      </c>
      <c r="AW259" s="53">
        <f t="shared" si="1811"/>
        <v>1</v>
      </c>
      <c r="AX259" s="54">
        <f t="shared" si="1812"/>
        <v>1</v>
      </c>
      <c r="AY259" s="53">
        <f t="shared" si="1813"/>
        <v>0</v>
      </c>
      <c r="AZ259" s="54">
        <f t="shared" si="1814"/>
        <v>0</v>
      </c>
      <c r="BA259" s="53">
        <f t="shared" si="1815"/>
        <v>1</v>
      </c>
      <c r="BB259" s="54">
        <f t="shared" si="1816"/>
        <v>1</v>
      </c>
      <c r="BC259" s="49">
        <f t="shared" ref="BC259:BD259" si="1828">SUM(AS259,AU259,AW259,AY259,BA259)</f>
        <v>4</v>
      </c>
      <c r="BD259" s="50">
        <f t="shared" si="1828"/>
        <v>5</v>
      </c>
      <c r="BE259" s="68">
        <f t="shared" ref="BE259:BF259" si="1829">SUM(E259,G259,I259,O259,Q259,AC259,AQ259,BC259)</f>
        <v>22</v>
      </c>
      <c r="BF259" s="69">
        <f t="shared" si="1829"/>
        <v>39</v>
      </c>
      <c r="BG259" s="46" t="str">
        <f>BF259*'ОВгП_РАО'!$B$5</f>
        <v>#REF!</v>
      </c>
      <c r="BH259" s="46" t="str">
        <f>'ОВгП_РАО'!$B$5</f>
        <v>#REF!</v>
      </c>
    </row>
    <row r="260" ht="15.75" customHeight="1">
      <c r="A260" s="80">
        <f t="shared" si="1819"/>
        <v>46268</v>
      </c>
      <c r="B260" s="45" t="s">
        <v>118</v>
      </c>
      <c r="C260" s="45" t="s">
        <v>96</v>
      </c>
      <c r="D260" s="47" t="s">
        <v>98</v>
      </c>
      <c r="E260" s="73">
        <f t="shared" si="1770"/>
        <v>1</v>
      </c>
      <c r="F260" s="50">
        <f t="shared" si="1771"/>
        <v>2</v>
      </c>
      <c r="G260" s="73">
        <f t="shared" si="1772"/>
        <v>2</v>
      </c>
      <c r="H260" s="50">
        <f t="shared" si="1773"/>
        <v>4</v>
      </c>
      <c r="I260" s="73">
        <f t="shared" si="1774"/>
        <v>1</v>
      </c>
      <c r="J260" s="50">
        <f t="shared" si="1775"/>
        <v>1</v>
      </c>
      <c r="K260" s="53">
        <f t="shared" si="1776"/>
        <v>2</v>
      </c>
      <c r="L260" s="54">
        <f t="shared" si="1777"/>
        <v>4</v>
      </c>
      <c r="M260" s="53">
        <f t="shared" si="1778"/>
        <v>1</v>
      </c>
      <c r="N260" s="54">
        <f t="shared" si="1779"/>
        <v>2</v>
      </c>
      <c r="O260" s="49">
        <f t="shared" ref="O260:P260" si="1830">SUM(K260,M260)</f>
        <v>3</v>
      </c>
      <c r="P260" s="50">
        <f t="shared" si="1830"/>
        <v>6</v>
      </c>
      <c r="Q260" s="73">
        <f t="shared" si="1781"/>
        <v>1</v>
      </c>
      <c r="R260" s="50">
        <f t="shared" si="1782"/>
        <v>1</v>
      </c>
      <c r="S260" s="53">
        <f t="shared" si="1783"/>
        <v>1</v>
      </c>
      <c r="T260" s="54">
        <f t="shared" si="1784"/>
        <v>2</v>
      </c>
      <c r="U260" s="53">
        <f t="shared" si="1785"/>
        <v>0</v>
      </c>
      <c r="V260" s="54">
        <f t="shared" si="1786"/>
        <v>0</v>
      </c>
      <c r="W260" s="53">
        <f t="shared" si="1787"/>
        <v>1</v>
      </c>
      <c r="X260" s="54">
        <f t="shared" si="1788"/>
        <v>1</v>
      </c>
      <c r="Y260" s="53">
        <f t="shared" si="1789"/>
        <v>1</v>
      </c>
      <c r="Z260" s="54">
        <f t="shared" si="1790"/>
        <v>1</v>
      </c>
      <c r="AA260" s="53">
        <f t="shared" si="1791"/>
        <v>1</v>
      </c>
      <c r="AB260" s="54">
        <f t="shared" si="1792"/>
        <v>2</v>
      </c>
      <c r="AC260" s="49">
        <f t="shared" ref="AC260:AD260" si="1831">SUM(S260,U260,W260,Y260,AA260)</f>
        <v>4</v>
      </c>
      <c r="AD260" s="50">
        <f t="shared" si="1831"/>
        <v>6</v>
      </c>
      <c r="AE260" s="53">
        <f t="shared" si="1794"/>
        <v>0</v>
      </c>
      <c r="AF260" s="54">
        <f t="shared" si="1795"/>
        <v>0</v>
      </c>
      <c r="AG260" s="53">
        <f t="shared" si="1796"/>
        <v>2</v>
      </c>
      <c r="AH260" s="54">
        <f t="shared" si="1797"/>
        <v>4</v>
      </c>
      <c r="AI260" s="53">
        <f t="shared" si="1798"/>
        <v>2</v>
      </c>
      <c r="AJ260" s="54">
        <f t="shared" si="1799"/>
        <v>4</v>
      </c>
      <c r="AK260" s="53">
        <f t="shared" si="1800"/>
        <v>1</v>
      </c>
      <c r="AL260" s="54">
        <f t="shared" si="1801"/>
        <v>2</v>
      </c>
      <c r="AM260" s="53">
        <f t="shared" si="1802"/>
        <v>1</v>
      </c>
      <c r="AN260" s="54">
        <f t="shared" si="1803"/>
        <v>3</v>
      </c>
      <c r="AO260" s="53">
        <f t="shared" si="1804"/>
        <v>0</v>
      </c>
      <c r="AP260" s="54">
        <f t="shared" si="1805"/>
        <v>0</v>
      </c>
      <c r="AQ260" s="49">
        <f t="shared" ref="AQ260:AR260" si="1832">SUM(AG260,AI260,AK260,AM260,AO260)</f>
        <v>6</v>
      </c>
      <c r="AR260" s="50">
        <f t="shared" si="1832"/>
        <v>13</v>
      </c>
      <c r="AS260" s="53">
        <f t="shared" si="1807"/>
        <v>1</v>
      </c>
      <c r="AT260" s="54">
        <f t="shared" si="1808"/>
        <v>2</v>
      </c>
      <c r="AU260" s="53">
        <f t="shared" si="1809"/>
        <v>1</v>
      </c>
      <c r="AV260" s="54">
        <f t="shared" si="1810"/>
        <v>2</v>
      </c>
      <c r="AW260" s="53">
        <f t="shared" si="1811"/>
        <v>1</v>
      </c>
      <c r="AX260" s="54">
        <f t="shared" si="1812"/>
        <v>3</v>
      </c>
      <c r="AY260" s="53">
        <f t="shared" si="1813"/>
        <v>1</v>
      </c>
      <c r="AZ260" s="54">
        <f t="shared" si="1814"/>
        <v>2</v>
      </c>
      <c r="BA260" s="53">
        <f t="shared" si="1815"/>
        <v>1</v>
      </c>
      <c r="BB260" s="54">
        <f t="shared" si="1816"/>
        <v>1</v>
      </c>
      <c r="BC260" s="49">
        <f t="shared" ref="BC260:BD260" si="1833">SUM(AS260,AU260,AW260,AY260,BA260)</f>
        <v>5</v>
      </c>
      <c r="BD260" s="50">
        <f t="shared" si="1833"/>
        <v>10</v>
      </c>
      <c r="BE260" s="68">
        <f t="shared" ref="BE260:BF260" si="1834">SUM(E260,G260,I260,O260,Q260,AC260,AQ260,BC260)</f>
        <v>23</v>
      </c>
      <c r="BF260" s="69">
        <f t="shared" si="1834"/>
        <v>43</v>
      </c>
      <c r="BG260" s="46" t="str">
        <f>BF260*'ОВгП_РАО'!$B$6</f>
        <v>#REF!</v>
      </c>
      <c r="BH260" s="46" t="str">
        <f>'ОВгП_РАО'!$B$6</f>
        <v>#REF!</v>
      </c>
    </row>
    <row r="261" ht="15.75" customHeight="1">
      <c r="A261" s="80">
        <f t="shared" si="1819"/>
        <v>46268</v>
      </c>
      <c r="B261" s="46" t="s">
        <v>119</v>
      </c>
      <c r="C261" s="45" t="s">
        <v>96</v>
      </c>
      <c r="D261" s="47" t="s">
        <v>120</v>
      </c>
      <c r="E261" s="73">
        <f t="shared" si="1770"/>
        <v>0</v>
      </c>
      <c r="F261" s="50">
        <f t="shared" si="1771"/>
        <v>0</v>
      </c>
      <c r="G261" s="73">
        <f t="shared" si="1772"/>
        <v>0</v>
      </c>
      <c r="H261" s="50">
        <f t="shared" si="1773"/>
        <v>0</v>
      </c>
      <c r="I261" s="73">
        <f t="shared" si="1774"/>
        <v>1</v>
      </c>
      <c r="J261" s="50">
        <f t="shared" si="1775"/>
        <v>2</v>
      </c>
      <c r="K261" s="53">
        <f t="shared" si="1776"/>
        <v>0</v>
      </c>
      <c r="L261" s="54">
        <f t="shared" si="1777"/>
        <v>0</v>
      </c>
      <c r="M261" s="53">
        <f t="shared" si="1778"/>
        <v>1</v>
      </c>
      <c r="N261" s="54">
        <f t="shared" si="1779"/>
        <v>3</v>
      </c>
      <c r="O261" s="49">
        <f t="shared" ref="O261:P261" si="1835">SUM(K261,M261)</f>
        <v>1</v>
      </c>
      <c r="P261" s="50">
        <f t="shared" si="1835"/>
        <v>3</v>
      </c>
      <c r="Q261" s="73">
        <f t="shared" si="1781"/>
        <v>1</v>
      </c>
      <c r="R261" s="50">
        <f t="shared" si="1782"/>
        <v>1</v>
      </c>
      <c r="S261" s="53">
        <f t="shared" si="1783"/>
        <v>2</v>
      </c>
      <c r="T261" s="54">
        <f t="shared" si="1784"/>
        <v>4</v>
      </c>
      <c r="U261" s="53">
        <f t="shared" si="1785"/>
        <v>2</v>
      </c>
      <c r="V261" s="54">
        <f t="shared" si="1786"/>
        <v>4</v>
      </c>
      <c r="W261" s="53">
        <f t="shared" si="1787"/>
        <v>2</v>
      </c>
      <c r="X261" s="54">
        <f t="shared" si="1788"/>
        <v>4</v>
      </c>
      <c r="Y261" s="53">
        <f t="shared" si="1789"/>
        <v>1</v>
      </c>
      <c r="Z261" s="54">
        <f t="shared" si="1790"/>
        <v>1</v>
      </c>
      <c r="AA261" s="53">
        <f t="shared" si="1791"/>
        <v>1</v>
      </c>
      <c r="AB261" s="54">
        <f t="shared" si="1792"/>
        <v>1</v>
      </c>
      <c r="AC261" s="49">
        <f t="shared" ref="AC261:AD261" si="1836">SUM(S261,U261,W261,Y261,AA261)</f>
        <v>8</v>
      </c>
      <c r="AD261" s="50">
        <f t="shared" si="1836"/>
        <v>14</v>
      </c>
      <c r="AE261" s="53">
        <f t="shared" si="1794"/>
        <v>1</v>
      </c>
      <c r="AF261" s="54">
        <f t="shared" si="1795"/>
        <v>2</v>
      </c>
      <c r="AG261" s="53">
        <f t="shared" si="1796"/>
        <v>0</v>
      </c>
      <c r="AH261" s="54">
        <f t="shared" si="1797"/>
        <v>0</v>
      </c>
      <c r="AI261" s="53">
        <f t="shared" si="1798"/>
        <v>1</v>
      </c>
      <c r="AJ261" s="54">
        <f t="shared" si="1799"/>
        <v>1</v>
      </c>
      <c r="AK261" s="53">
        <f t="shared" si="1800"/>
        <v>1</v>
      </c>
      <c r="AL261" s="54">
        <f t="shared" si="1801"/>
        <v>3</v>
      </c>
      <c r="AM261" s="53">
        <f t="shared" si="1802"/>
        <v>2</v>
      </c>
      <c r="AN261" s="54">
        <f t="shared" si="1803"/>
        <v>4</v>
      </c>
      <c r="AO261" s="53">
        <f t="shared" si="1804"/>
        <v>1</v>
      </c>
      <c r="AP261" s="54">
        <f t="shared" si="1805"/>
        <v>3</v>
      </c>
      <c r="AQ261" s="49">
        <f t="shared" ref="AQ261:AR261" si="1837">SUM(AG261,AI261,AK261,AM261,AO261)</f>
        <v>5</v>
      </c>
      <c r="AR261" s="50">
        <f t="shared" si="1837"/>
        <v>11</v>
      </c>
      <c r="AS261" s="53">
        <f t="shared" si="1807"/>
        <v>0</v>
      </c>
      <c r="AT261" s="54">
        <f t="shared" si="1808"/>
        <v>0</v>
      </c>
      <c r="AU261" s="53">
        <f t="shared" si="1809"/>
        <v>1</v>
      </c>
      <c r="AV261" s="54">
        <f t="shared" si="1810"/>
        <v>2</v>
      </c>
      <c r="AW261" s="53">
        <f t="shared" si="1811"/>
        <v>1</v>
      </c>
      <c r="AX261" s="54">
        <f t="shared" si="1812"/>
        <v>2</v>
      </c>
      <c r="AY261" s="53">
        <f t="shared" si="1813"/>
        <v>1</v>
      </c>
      <c r="AZ261" s="54">
        <f t="shared" si="1814"/>
        <v>2</v>
      </c>
      <c r="BA261" s="53">
        <f t="shared" si="1815"/>
        <v>0</v>
      </c>
      <c r="BB261" s="54">
        <f t="shared" si="1816"/>
        <v>0</v>
      </c>
      <c r="BC261" s="49">
        <f t="shared" ref="BC261:BD261" si="1838">SUM(AS261,AU261,AW261,AY261,BA261)</f>
        <v>3</v>
      </c>
      <c r="BD261" s="50">
        <f t="shared" si="1838"/>
        <v>6</v>
      </c>
      <c r="BE261" s="68">
        <f t="shared" ref="BE261:BF261" si="1839">SUM(E261,G261,I261,O261,Q261,AC261,AQ261,BC261)</f>
        <v>19</v>
      </c>
      <c r="BF261" s="69">
        <f t="shared" si="1839"/>
        <v>37</v>
      </c>
      <c r="BG261" s="46" t="str">
        <f>BF261*'ОВгП_РАО'!$B$7</f>
        <v>#REF!</v>
      </c>
      <c r="BH261" s="46" t="str">
        <f>'ОВгП_РАО'!$B$7</f>
        <v>#REF!</v>
      </c>
    </row>
    <row r="262" ht="15.75" customHeight="1">
      <c r="A262" s="80">
        <f t="shared" si="1819"/>
        <v>46268</v>
      </c>
      <c r="B262" s="45" t="s">
        <v>121</v>
      </c>
      <c r="C262" s="47" t="s">
        <v>122</v>
      </c>
      <c r="D262" s="47" t="s">
        <v>123</v>
      </c>
      <c r="E262" s="73">
        <f t="shared" si="1770"/>
        <v>1</v>
      </c>
      <c r="F262" s="50">
        <f t="shared" si="1771"/>
        <v>2</v>
      </c>
      <c r="G262" s="73">
        <f t="shared" si="1772"/>
        <v>0</v>
      </c>
      <c r="H262" s="50">
        <f t="shared" si="1773"/>
        <v>0</v>
      </c>
      <c r="I262" s="73">
        <f t="shared" si="1774"/>
        <v>2</v>
      </c>
      <c r="J262" s="50">
        <f t="shared" si="1775"/>
        <v>4</v>
      </c>
      <c r="K262" s="53">
        <f t="shared" si="1776"/>
        <v>2</v>
      </c>
      <c r="L262" s="54">
        <f t="shared" si="1777"/>
        <v>4</v>
      </c>
      <c r="M262" s="53">
        <f t="shared" si="1778"/>
        <v>0</v>
      </c>
      <c r="N262" s="54">
        <f t="shared" si="1779"/>
        <v>0</v>
      </c>
      <c r="O262" s="49">
        <f t="shared" ref="O262:P262" si="1840">SUM(K262,M262)</f>
        <v>2</v>
      </c>
      <c r="P262" s="50">
        <f t="shared" si="1840"/>
        <v>4</v>
      </c>
      <c r="Q262" s="73">
        <f t="shared" si="1781"/>
        <v>1</v>
      </c>
      <c r="R262" s="50">
        <f t="shared" si="1782"/>
        <v>1</v>
      </c>
      <c r="S262" s="53">
        <f t="shared" si="1783"/>
        <v>1</v>
      </c>
      <c r="T262" s="54">
        <f t="shared" si="1784"/>
        <v>2</v>
      </c>
      <c r="U262" s="53">
        <f t="shared" si="1785"/>
        <v>1</v>
      </c>
      <c r="V262" s="54">
        <f t="shared" si="1786"/>
        <v>1</v>
      </c>
      <c r="W262" s="53">
        <f t="shared" si="1787"/>
        <v>0</v>
      </c>
      <c r="X262" s="54">
        <f t="shared" si="1788"/>
        <v>0</v>
      </c>
      <c r="Y262" s="53">
        <f t="shared" si="1789"/>
        <v>0</v>
      </c>
      <c r="Z262" s="54">
        <f t="shared" si="1790"/>
        <v>0</v>
      </c>
      <c r="AA262" s="53">
        <f t="shared" si="1791"/>
        <v>2</v>
      </c>
      <c r="AB262" s="54">
        <f t="shared" si="1792"/>
        <v>4</v>
      </c>
      <c r="AC262" s="49">
        <f t="shared" ref="AC262:AD262" si="1841">SUM(S262,U262,W262,Y262,AA262)</f>
        <v>4</v>
      </c>
      <c r="AD262" s="50">
        <f t="shared" si="1841"/>
        <v>7</v>
      </c>
      <c r="AE262" s="53">
        <f t="shared" si="1794"/>
        <v>0</v>
      </c>
      <c r="AF262" s="54">
        <f t="shared" si="1795"/>
        <v>0</v>
      </c>
      <c r="AG262" s="53">
        <f t="shared" si="1796"/>
        <v>1</v>
      </c>
      <c r="AH262" s="54">
        <f t="shared" si="1797"/>
        <v>1</v>
      </c>
      <c r="AI262" s="53">
        <f t="shared" si="1798"/>
        <v>0</v>
      </c>
      <c r="AJ262" s="54">
        <f t="shared" si="1799"/>
        <v>0</v>
      </c>
      <c r="AK262" s="53">
        <f t="shared" si="1800"/>
        <v>2</v>
      </c>
      <c r="AL262" s="54">
        <f t="shared" si="1801"/>
        <v>4</v>
      </c>
      <c r="AM262" s="53">
        <f t="shared" si="1802"/>
        <v>1</v>
      </c>
      <c r="AN262" s="54">
        <f t="shared" si="1803"/>
        <v>3</v>
      </c>
      <c r="AO262" s="53">
        <f t="shared" si="1804"/>
        <v>0</v>
      </c>
      <c r="AP262" s="54">
        <f t="shared" si="1805"/>
        <v>0</v>
      </c>
      <c r="AQ262" s="49">
        <f t="shared" ref="AQ262:AR262" si="1842">SUM(AG262,AI262,AK262,AM262,AO262)</f>
        <v>4</v>
      </c>
      <c r="AR262" s="50">
        <f t="shared" si="1842"/>
        <v>8</v>
      </c>
      <c r="AS262" s="53">
        <f t="shared" si="1807"/>
        <v>1</v>
      </c>
      <c r="AT262" s="54">
        <f t="shared" si="1808"/>
        <v>2</v>
      </c>
      <c r="AU262" s="53">
        <f t="shared" si="1809"/>
        <v>2</v>
      </c>
      <c r="AV262" s="54">
        <f t="shared" si="1810"/>
        <v>4</v>
      </c>
      <c r="AW262" s="53">
        <f t="shared" si="1811"/>
        <v>1</v>
      </c>
      <c r="AX262" s="54">
        <f t="shared" si="1812"/>
        <v>2</v>
      </c>
      <c r="AY262" s="53">
        <f t="shared" si="1813"/>
        <v>1</v>
      </c>
      <c r="AZ262" s="54">
        <f t="shared" si="1814"/>
        <v>3</v>
      </c>
      <c r="BA262" s="53">
        <f t="shared" si="1815"/>
        <v>1</v>
      </c>
      <c r="BB262" s="54">
        <f t="shared" si="1816"/>
        <v>2</v>
      </c>
      <c r="BC262" s="49">
        <f t="shared" ref="BC262:BD262" si="1843">SUM(AS262,AU262,AW262,AY262,BA262)</f>
        <v>6</v>
      </c>
      <c r="BD262" s="50">
        <f t="shared" si="1843"/>
        <v>13</v>
      </c>
      <c r="BE262" s="68">
        <f t="shared" ref="BE262:BF262" si="1844">SUM(E262,G262,I262,O262,Q262,AC262,AQ262,BC262)</f>
        <v>20</v>
      </c>
      <c r="BF262" s="69">
        <f t="shared" si="1844"/>
        <v>39</v>
      </c>
      <c r="BG262" s="46" t="str">
        <f>BF262*'ОВгП_РАО'!$B$8</f>
        <v>#REF!</v>
      </c>
      <c r="BH262" s="46" t="str">
        <f>'ОВгП_РАО'!$B$8</f>
        <v>#REF!</v>
      </c>
    </row>
    <row r="263" ht="15.75" customHeight="1">
      <c r="A263" s="80">
        <f t="shared" si="1819"/>
        <v>46268</v>
      </c>
      <c r="B263" s="46" t="s">
        <v>124</v>
      </c>
      <c r="C263" s="46" t="s">
        <v>125</v>
      </c>
      <c r="D263" s="46" t="s">
        <v>126</v>
      </c>
      <c r="E263" s="73">
        <f t="shared" si="1770"/>
        <v>1</v>
      </c>
      <c r="F263" s="50">
        <f t="shared" si="1771"/>
        <v>2</v>
      </c>
      <c r="G263" s="73">
        <f t="shared" si="1772"/>
        <v>1</v>
      </c>
      <c r="H263" s="50">
        <f t="shared" si="1773"/>
        <v>1</v>
      </c>
      <c r="I263" s="73">
        <f t="shared" si="1774"/>
        <v>1</v>
      </c>
      <c r="J263" s="50">
        <f t="shared" si="1775"/>
        <v>2</v>
      </c>
      <c r="K263" s="53">
        <f t="shared" si="1776"/>
        <v>1</v>
      </c>
      <c r="L263" s="54">
        <f t="shared" si="1777"/>
        <v>2</v>
      </c>
      <c r="M263" s="53">
        <f t="shared" si="1778"/>
        <v>0</v>
      </c>
      <c r="N263" s="54">
        <f t="shared" si="1779"/>
        <v>0</v>
      </c>
      <c r="O263" s="49">
        <f t="shared" ref="O263:P263" si="1845">SUM(K263,M263)</f>
        <v>1</v>
      </c>
      <c r="P263" s="50">
        <f t="shared" si="1845"/>
        <v>2</v>
      </c>
      <c r="Q263" s="73">
        <f t="shared" si="1781"/>
        <v>1</v>
      </c>
      <c r="R263" s="50">
        <f t="shared" si="1782"/>
        <v>1</v>
      </c>
      <c r="S263" s="53">
        <f t="shared" si="1783"/>
        <v>0</v>
      </c>
      <c r="T263" s="54">
        <f t="shared" si="1784"/>
        <v>0</v>
      </c>
      <c r="U263" s="53">
        <f t="shared" si="1785"/>
        <v>1</v>
      </c>
      <c r="V263" s="54">
        <f t="shared" si="1786"/>
        <v>1</v>
      </c>
      <c r="W263" s="53">
        <f t="shared" si="1787"/>
        <v>1</v>
      </c>
      <c r="X263" s="54">
        <f t="shared" si="1788"/>
        <v>2</v>
      </c>
      <c r="Y263" s="53">
        <f t="shared" si="1789"/>
        <v>0</v>
      </c>
      <c r="Z263" s="54">
        <f t="shared" si="1790"/>
        <v>0</v>
      </c>
      <c r="AA263" s="53">
        <f t="shared" si="1791"/>
        <v>1</v>
      </c>
      <c r="AB263" s="54">
        <f t="shared" si="1792"/>
        <v>3</v>
      </c>
      <c r="AC263" s="49">
        <f t="shared" ref="AC263:AD263" si="1846">SUM(S263,U263,W263,Y263,AA263)</f>
        <v>3</v>
      </c>
      <c r="AD263" s="50">
        <f t="shared" si="1846"/>
        <v>6</v>
      </c>
      <c r="AE263" s="53">
        <f t="shared" si="1794"/>
        <v>1</v>
      </c>
      <c r="AF263" s="54">
        <f t="shared" si="1795"/>
        <v>1</v>
      </c>
      <c r="AG263" s="53">
        <f t="shared" si="1796"/>
        <v>2</v>
      </c>
      <c r="AH263" s="54">
        <f t="shared" si="1797"/>
        <v>4</v>
      </c>
      <c r="AI263" s="53">
        <f t="shared" si="1798"/>
        <v>2</v>
      </c>
      <c r="AJ263" s="54">
        <f t="shared" si="1799"/>
        <v>4</v>
      </c>
      <c r="AK263" s="53">
        <f t="shared" si="1800"/>
        <v>0</v>
      </c>
      <c r="AL263" s="54">
        <f t="shared" si="1801"/>
        <v>0</v>
      </c>
      <c r="AM263" s="53">
        <f t="shared" si="1802"/>
        <v>0</v>
      </c>
      <c r="AN263" s="54">
        <f t="shared" si="1803"/>
        <v>0</v>
      </c>
      <c r="AO263" s="53">
        <f t="shared" si="1804"/>
        <v>1</v>
      </c>
      <c r="AP263" s="54">
        <f t="shared" si="1805"/>
        <v>2</v>
      </c>
      <c r="AQ263" s="49">
        <f t="shared" ref="AQ263:AR263" si="1847">SUM(AG263,AI263,AK263,AM263,AO263)</f>
        <v>5</v>
      </c>
      <c r="AR263" s="50">
        <f t="shared" si="1847"/>
        <v>10</v>
      </c>
      <c r="AS263" s="53">
        <f t="shared" si="1807"/>
        <v>1</v>
      </c>
      <c r="AT263" s="54">
        <f t="shared" si="1808"/>
        <v>1</v>
      </c>
      <c r="AU263" s="53">
        <f t="shared" si="1809"/>
        <v>1</v>
      </c>
      <c r="AV263" s="54">
        <f t="shared" si="1810"/>
        <v>3</v>
      </c>
      <c r="AW263" s="53">
        <f t="shared" si="1811"/>
        <v>2</v>
      </c>
      <c r="AX263" s="54">
        <f t="shared" si="1812"/>
        <v>4</v>
      </c>
      <c r="AY263" s="53">
        <f t="shared" si="1813"/>
        <v>2</v>
      </c>
      <c r="AZ263" s="54">
        <f t="shared" si="1814"/>
        <v>4</v>
      </c>
      <c r="BA263" s="53">
        <f t="shared" si="1815"/>
        <v>1</v>
      </c>
      <c r="BB263" s="54">
        <f t="shared" si="1816"/>
        <v>1</v>
      </c>
      <c r="BC263" s="49">
        <f t="shared" ref="BC263:BD263" si="1848">SUM(AS263,AU263,AW263,AY263,BA263)</f>
        <v>7</v>
      </c>
      <c r="BD263" s="50">
        <f t="shared" si="1848"/>
        <v>13</v>
      </c>
      <c r="BE263" s="68">
        <f t="shared" ref="BE263:BF263" si="1849">SUM(E263,G263,I263,O263,Q263,AC263,AQ263,BC263)</f>
        <v>20</v>
      </c>
      <c r="BF263" s="69">
        <f t="shared" si="1849"/>
        <v>37</v>
      </c>
      <c r="BG263" s="46" t="str">
        <f>BF263*'ОВгП_РАО'!$B$9</f>
        <v>#REF!</v>
      </c>
      <c r="BH263" s="46" t="str">
        <f>'ОВгП_РАО'!$B$9</f>
        <v>#REF!</v>
      </c>
    </row>
    <row r="264" ht="15.75" customHeight="1">
      <c r="A264" s="80">
        <f t="shared" si="1819"/>
        <v>46268</v>
      </c>
      <c r="B264" s="46" t="s">
        <v>127</v>
      </c>
      <c r="C264" s="46" t="s">
        <v>125</v>
      </c>
      <c r="D264" s="46" t="s">
        <v>126</v>
      </c>
      <c r="E264" s="73">
        <f t="shared" si="1770"/>
        <v>2</v>
      </c>
      <c r="F264" s="50">
        <f t="shared" si="1771"/>
        <v>4</v>
      </c>
      <c r="G264" s="73">
        <f t="shared" si="1772"/>
        <v>0</v>
      </c>
      <c r="H264" s="50">
        <f t="shared" si="1773"/>
        <v>0</v>
      </c>
      <c r="I264" s="73">
        <f t="shared" si="1774"/>
        <v>1</v>
      </c>
      <c r="J264" s="50">
        <f t="shared" si="1775"/>
        <v>3</v>
      </c>
      <c r="K264" s="53">
        <f t="shared" si="1776"/>
        <v>1</v>
      </c>
      <c r="L264" s="54">
        <f t="shared" si="1777"/>
        <v>3</v>
      </c>
      <c r="M264" s="53">
        <f t="shared" si="1778"/>
        <v>1</v>
      </c>
      <c r="N264" s="54">
        <f t="shared" si="1779"/>
        <v>3</v>
      </c>
      <c r="O264" s="49">
        <f t="shared" ref="O264:P264" si="1850">SUM(K264,M264)</f>
        <v>2</v>
      </c>
      <c r="P264" s="50">
        <f t="shared" si="1850"/>
        <v>6</v>
      </c>
      <c r="Q264" s="73">
        <f t="shared" si="1781"/>
        <v>1</v>
      </c>
      <c r="R264" s="50">
        <f t="shared" si="1782"/>
        <v>1</v>
      </c>
      <c r="S264" s="53">
        <f t="shared" si="1783"/>
        <v>0</v>
      </c>
      <c r="T264" s="54">
        <f t="shared" si="1784"/>
        <v>0</v>
      </c>
      <c r="U264" s="53">
        <f t="shared" si="1785"/>
        <v>1</v>
      </c>
      <c r="V264" s="54">
        <f t="shared" si="1786"/>
        <v>3</v>
      </c>
      <c r="W264" s="53">
        <f t="shared" si="1787"/>
        <v>1</v>
      </c>
      <c r="X264" s="54">
        <f t="shared" si="1788"/>
        <v>1</v>
      </c>
      <c r="Y264" s="53">
        <f t="shared" si="1789"/>
        <v>1</v>
      </c>
      <c r="Z264" s="54">
        <f t="shared" si="1790"/>
        <v>2</v>
      </c>
      <c r="AA264" s="53">
        <f t="shared" si="1791"/>
        <v>2</v>
      </c>
      <c r="AB264" s="54">
        <f t="shared" si="1792"/>
        <v>4</v>
      </c>
      <c r="AC264" s="49">
        <f t="shared" ref="AC264:AD264" si="1851">SUM(S264,U264,W264,Y264,AA264)</f>
        <v>5</v>
      </c>
      <c r="AD264" s="50">
        <f t="shared" si="1851"/>
        <v>10</v>
      </c>
      <c r="AE264" s="53">
        <f t="shared" si="1794"/>
        <v>0</v>
      </c>
      <c r="AF264" s="54">
        <f t="shared" si="1795"/>
        <v>0</v>
      </c>
      <c r="AG264" s="53">
        <f t="shared" si="1796"/>
        <v>0</v>
      </c>
      <c r="AH264" s="54">
        <f t="shared" si="1797"/>
        <v>0</v>
      </c>
      <c r="AI264" s="53">
        <f t="shared" si="1798"/>
        <v>2</v>
      </c>
      <c r="AJ264" s="54">
        <f t="shared" si="1799"/>
        <v>4</v>
      </c>
      <c r="AK264" s="53">
        <f t="shared" si="1800"/>
        <v>1</v>
      </c>
      <c r="AL264" s="54">
        <f t="shared" si="1801"/>
        <v>2</v>
      </c>
      <c r="AM264" s="53">
        <f t="shared" si="1802"/>
        <v>2</v>
      </c>
      <c r="AN264" s="54">
        <f t="shared" si="1803"/>
        <v>4</v>
      </c>
      <c r="AO264" s="53">
        <f t="shared" si="1804"/>
        <v>1</v>
      </c>
      <c r="AP264" s="54">
        <f t="shared" si="1805"/>
        <v>3</v>
      </c>
      <c r="AQ264" s="49">
        <f t="shared" ref="AQ264:AR264" si="1852">SUM(AG264,AI264,AK264,AM264,AO264)</f>
        <v>6</v>
      </c>
      <c r="AR264" s="50">
        <f t="shared" si="1852"/>
        <v>13</v>
      </c>
      <c r="AS264" s="53">
        <f t="shared" si="1807"/>
        <v>1</v>
      </c>
      <c r="AT264" s="54">
        <f t="shared" si="1808"/>
        <v>1</v>
      </c>
      <c r="AU264" s="53">
        <f t="shared" si="1809"/>
        <v>1</v>
      </c>
      <c r="AV264" s="54">
        <f t="shared" si="1810"/>
        <v>1</v>
      </c>
      <c r="AW264" s="53">
        <f t="shared" si="1811"/>
        <v>1</v>
      </c>
      <c r="AX264" s="54">
        <f t="shared" si="1812"/>
        <v>2</v>
      </c>
      <c r="AY264" s="53">
        <f t="shared" si="1813"/>
        <v>1</v>
      </c>
      <c r="AZ264" s="54">
        <f t="shared" si="1814"/>
        <v>2</v>
      </c>
      <c r="BA264" s="53">
        <f t="shared" si="1815"/>
        <v>1</v>
      </c>
      <c r="BB264" s="54">
        <f t="shared" si="1816"/>
        <v>1</v>
      </c>
      <c r="BC264" s="49">
        <f t="shared" ref="BC264:BD264" si="1853">SUM(AS264,AU264,AW264,AY264,BA264)</f>
        <v>5</v>
      </c>
      <c r="BD264" s="50">
        <f t="shared" si="1853"/>
        <v>7</v>
      </c>
      <c r="BE264" s="68">
        <f t="shared" ref="BE264:BF264" si="1854">SUM(E264,G264,I264,O264,Q264,AC264,AQ264,BC264)</f>
        <v>22</v>
      </c>
      <c r="BF264" s="69">
        <f t="shared" si="1854"/>
        <v>44</v>
      </c>
      <c r="BG264" s="46" t="str">
        <f>BF264*'ОВгП_РАО'!$B$10</f>
        <v>#REF!</v>
      </c>
      <c r="BH264" s="46" t="str">
        <f>'ОВгП_РАО'!$B$10</f>
        <v>#REF!</v>
      </c>
    </row>
    <row r="265" ht="15.75" customHeight="1">
      <c r="A265" s="80">
        <f t="shared" si="1819"/>
        <v>46268</v>
      </c>
      <c r="B265" s="46" t="s">
        <v>128</v>
      </c>
      <c r="C265" s="46" t="s">
        <v>125</v>
      </c>
      <c r="D265" s="46" t="s">
        <v>126</v>
      </c>
      <c r="E265" s="73">
        <f t="shared" si="1770"/>
        <v>1</v>
      </c>
      <c r="F265" s="50">
        <f t="shared" si="1771"/>
        <v>1</v>
      </c>
      <c r="G265" s="73">
        <f t="shared" si="1772"/>
        <v>1</v>
      </c>
      <c r="H265" s="50">
        <f t="shared" si="1773"/>
        <v>2</v>
      </c>
      <c r="I265" s="73">
        <f t="shared" si="1774"/>
        <v>1</v>
      </c>
      <c r="J265" s="50">
        <f t="shared" si="1775"/>
        <v>2</v>
      </c>
      <c r="K265" s="53">
        <f t="shared" si="1776"/>
        <v>1</v>
      </c>
      <c r="L265" s="54">
        <f t="shared" si="1777"/>
        <v>1</v>
      </c>
      <c r="M265" s="53">
        <f t="shared" si="1778"/>
        <v>2</v>
      </c>
      <c r="N265" s="54">
        <f t="shared" si="1779"/>
        <v>4</v>
      </c>
      <c r="O265" s="49">
        <f t="shared" ref="O265:P265" si="1855">SUM(K265,M265)</f>
        <v>3</v>
      </c>
      <c r="P265" s="50">
        <f t="shared" si="1855"/>
        <v>5</v>
      </c>
      <c r="Q265" s="73">
        <f t="shared" si="1781"/>
        <v>1</v>
      </c>
      <c r="R265" s="50">
        <f t="shared" si="1782"/>
        <v>1</v>
      </c>
      <c r="S265" s="53">
        <f t="shared" si="1783"/>
        <v>2</v>
      </c>
      <c r="T265" s="54">
        <f t="shared" si="1784"/>
        <v>4</v>
      </c>
      <c r="U265" s="53">
        <f t="shared" si="1785"/>
        <v>2</v>
      </c>
      <c r="V265" s="54">
        <f t="shared" si="1786"/>
        <v>4</v>
      </c>
      <c r="W265" s="53">
        <f t="shared" si="1787"/>
        <v>1</v>
      </c>
      <c r="X265" s="54">
        <f t="shared" si="1788"/>
        <v>3</v>
      </c>
      <c r="Y265" s="53">
        <f t="shared" si="1789"/>
        <v>1</v>
      </c>
      <c r="Z265" s="54">
        <f t="shared" si="1790"/>
        <v>1</v>
      </c>
      <c r="AA265" s="53">
        <f t="shared" si="1791"/>
        <v>0</v>
      </c>
      <c r="AB265" s="54">
        <f t="shared" si="1792"/>
        <v>0</v>
      </c>
      <c r="AC265" s="49">
        <f t="shared" ref="AC265:AD265" si="1856">SUM(S265,U265,W265,Y265,AA265)</f>
        <v>6</v>
      </c>
      <c r="AD265" s="50">
        <f t="shared" si="1856"/>
        <v>12</v>
      </c>
      <c r="AE265" s="53">
        <f t="shared" si="1794"/>
        <v>0</v>
      </c>
      <c r="AF265" s="54">
        <f t="shared" si="1795"/>
        <v>0</v>
      </c>
      <c r="AG265" s="53">
        <f t="shared" si="1796"/>
        <v>1</v>
      </c>
      <c r="AH265" s="54">
        <f t="shared" si="1797"/>
        <v>3</v>
      </c>
      <c r="AI265" s="53">
        <f t="shared" si="1798"/>
        <v>1</v>
      </c>
      <c r="AJ265" s="54">
        <f t="shared" si="1799"/>
        <v>2</v>
      </c>
      <c r="AK265" s="53">
        <f t="shared" si="1800"/>
        <v>1</v>
      </c>
      <c r="AL265" s="54">
        <f t="shared" si="1801"/>
        <v>1</v>
      </c>
      <c r="AM265" s="53">
        <f t="shared" si="1802"/>
        <v>1</v>
      </c>
      <c r="AN265" s="54">
        <f t="shared" si="1803"/>
        <v>3</v>
      </c>
      <c r="AO265" s="53">
        <f t="shared" si="1804"/>
        <v>1</v>
      </c>
      <c r="AP265" s="54">
        <f t="shared" si="1805"/>
        <v>1</v>
      </c>
      <c r="AQ265" s="49">
        <f t="shared" ref="AQ265:AR265" si="1857">SUM(AG265,AI265,AK265,AM265,AO265)</f>
        <v>5</v>
      </c>
      <c r="AR265" s="50">
        <f t="shared" si="1857"/>
        <v>10</v>
      </c>
      <c r="AS265" s="53">
        <f t="shared" si="1807"/>
        <v>1</v>
      </c>
      <c r="AT265" s="54">
        <f t="shared" si="1808"/>
        <v>2</v>
      </c>
      <c r="AU265" s="53">
        <f t="shared" si="1809"/>
        <v>1</v>
      </c>
      <c r="AV265" s="54">
        <f t="shared" si="1810"/>
        <v>1</v>
      </c>
      <c r="AW265" s="53">
        <f t="shared" si="1811"/>
        <v>1</v>
      </c>
      <c r="AX265" s="54">
        <f t="shared" si="1812"/>
        <v>1</v>
      </c>
      <c r="AY265" s="53">
        <f t="shared" si="1813"/>
        <v>1</v>
      </c>
      <c r="AZ265" s="54">
        <f t="shared" si="1814"/>
        <v>3</v>
      </c>
      <c r="BA265" s="53">
        <f t="shared" si="1815"/>
        <v>1</v>
      </c>
      <c r="BB265" s="54">
        <f t="shared" si="1816"/>
        <v>2</v>
      </c>
      <c r="BC265" s="49">
        <f t="shared" ref="BC265:BD265" si="1858">SUM(AS265,AU265,AW265,AY265,BA265)</f>
        <v>5</v>
      </c>
      <c r="BD265" s="50">
        <f t="shared" si="1858"/>
        <v>9</v>
      </c>
      <c r="BE265" s="68">
        <f t="shared" ref="BE265:BF265" si="1859">SUM(E265,G265,I265,O265,Q265,AC265,AQ265,BC265)</f>
        <v>23</v>
      </c>
      <c r="BF265" s="69">
        <f t="shared" si="1859"/>
        <v>42</v>
      </c>
      <c r="BG265" s="46" t="str">
        <f>BF265*'ОВгП_РАО'!$B$11</f>
        <v>#REF!</v>
      </c>
      <c r="BH265" s="46" t="str">
        <f>'ОВгП_РАО'!$B$11</f>
        <v>#REF!</v>
      </c>
    </row>
    <row r="266" ht="15.75" customHeight="1">
      <c r="A266" s="80">
        <f t="shared" si="1819"/>
        <v>46268</v>
      </c>
      <c r="B266" s="45" t="s">
        <v>129</v>
      </c>
      <c r="C266" s="46" t="s">
        <v>125</v>
      </c>
      <c r="D266" s="45" t="s">
        <v>130</v>
      </c>
      <c r="E266" s="73">
        <f t="shared" si="1770"/>
        <v>2</v>
      </c>
      <c r="F266" s="50">
        <f t="shared" si="1771"/>
        <v>4</v>
      </c>
      <c r="G266" s="73">
        <f t="shared" si="1772"/>
        <v>1</v>
      </c>
      <c r="H266" s="50">
        <f t="shared" si="1773"/>
        <v>3</v>
      </c>
      <c r="I266" s="73">
        <f t="shared" si="1774"/>
        <v>1</v>
      </c>
      <c r="J266" s="50">
        <f t="shared" si="1775"/>
        <v>2</v>
      </c>
      <c r="K266" s="53">
        <f t="shared" si="1776"/>
        <v>1</v>
      </c>
      <c r="L266" s="54">
        <f t="shared" si="1777"/>
        <v>3</v>
      </c>
      <c r="M266" s="53">
        <f t="shared" si="1778"/>
        <v>2</v>
      </c>
      <c r="N266" s="54">
        <f t="shared" si="1779"/>
        <v>4</v>
      </c>
      <c r="O266" s="49">
        <f t="shared" ref="O266:P266" si="1860">SUM(K266,M266)</f>
        <v>3</v>
      </c>
      <c r="P266" s="50">
        <f t="shared" si="1860"/>
        <v>7</v>
      </c>
      <c r="Q266" s="73">
        <f t="shared" si="1781"/>
        <v>1</v>
      </c>
      <c r="R266" s="50">
        <f t="shared" si="1782"/>
        <v>1</v>
      </c>
      <c r="S266" s="53">
        <f t="shared" si="1783"/>
        <v>1</v>
      </c>
      <c r="T266" s="54">
        <f t="shared" si="1784"/>
        <v>1</v>
      </c>
      <c r="U266" s="53">
        <f t="shared" si="1785"/>
        <v>0</v>
      </c>
      <c r="V266" s="54">
        <f t="shared" si="1786"/>
        <v>0</v>
      </c>
      <c r="W266" s="53">
        <f t="shared" si="1787"/>
        <v>1</v>
      </c>
      <c r="X266" s="54">
        <f t="shared" si="1788"/>
        <v>3</v>
      </c>
      <c r="Y266" s="53">
        <f t="shared" si="1789"/>
        <v>1</v>
      </c>
      <c r="Z266" s="54">
        <f t="shared" si="1790"/>
        <v>2</v>
      </c>
      <c r="AA266" s="53">
        <f t="shared" si="1791"/>
        <v>2</v>
      </c>
      <c r="AB266" s="54">
        <f t="shared" si="1792"/>
        <v>4</v>
      </c>
      <c r="AC266" s="49">
        <f t="shared" ref="AC266:AD266" si="1861">SUM(S266,U266,W266,Y266,AA266)</f>
        <v>5</v>
      </c>
      <c r="AD266" s="50">
        <f t="shared" si="1861"/>
        <v>10</v>
      </c>
      <c r="AE266" s="53">
        <f t="shared" si="1794"/>
        <v>1</v>
      </c>
      <c r="AF266" s="54">
        <f t="shared" si="1795"/>
        <v>2</v>
      </c>
      <c r="AG266" s="53">
        <f t="shared" si="1796"/>
        <v>1</v>
      </c>
      <c r="AH266" s="54">
        <f t="shared" si="1797"/>
        <v>2</v>
      </c>
      <c r="AI266" s="53">
        <f t="shared" si="1798"/>
        <v>1</v>
      </c>
      <c r="AJ266" s="54">
        <f t="shared" si="1799"/>
        <v>3</v>
      </c>
      <c r="AK266" s="53">
        <f t="shared" si="1800"/>
        <v>0</v>
      </c>
      <c r="AL266" s="54">
        <f t="shared" si="1801"/>
        <v>0</v>
      </c>
      <c r="AM266" s="53">
        <f t="shared" si="1802"/>
        <v>2</v>
      </c>
      <c r="AN266" s="54">
        <f t="shared" si="1803"/>
        <v>4</v>
      </c>
      <c r="AO266" s="53">
        <f t="shared" si="1804"/>
        <v>1</v>
      </c>
      <c r="AP266" s="54">
        <f t="shared" si="1805"/>
        <v>3</v>
      </c>
      <c r="AQ266" s="49">
        <f t="shared" ref="AQ266:AR266" si="1862">SUM(AG266,AI266,AK266,AM266,AO266)</f>
        <v>5</v>
      </c>
      <c r="AR266" s="50">
        <f t="shared" si="1862"/>
        <v>12</v>
      </c>
      <c r="AS266" s="53">
        <f t="shared" si="1807"/>
        <v>1</v>
      </c>
      <c r="AT266" s="54">
        <f t="shared" si="1808"/>
        <v>2</v>
      </c>
      <c r="AU266" s="53">
        <f t="shared" si="1809"/>
        <v>2</v>
      </c>
      <c r="AV266" s="54">
        <f t="shared" si="1810"/>
        <v>4</v>
      </c>
      <c r="AW266" s="53">
        <f t="shared" si="1811"/>
        <v>1</v>
      </c>
      <c r="AX266" s="54">
        <f t="shared" si="1812"/>
        <v>2</v>
      </c>
      <c r="AY266" s="53">
        <f t="shared" si="1813"/>
        <v>2</v>
      </c>
      <c r="AZ266" s="54">
        <f t="shared" si="1814"/>
        <v>4</v>
      </c>
      <c r="BA266" s="53">
        <f t="shared" si="1815"/>
        <v>0</v>
      </c>
      <c r="BB266" s="54">
        <f t="shared" si="1816"/>
        <v>0</v>
      </c>
      <c r="BC266" s="49">
        <f t="shared" ref="BC266:BD266" si="1863">SUM(AS266,AU266,AW266,AY266,BA266)</f>
        <v>6</v>
      </c>
      <c r="BD266" s="50">
        <f t="shared" si="1863"/>
        <v>12</v>
      </c>
      <c r="BE266" s="68">
        <f t="shared" ref="BE266:BF266" si="1864">SUM(E266,G266,I266,O266,Q266,AC266,AQ266,BC266)</f>
        <v>24</v>
      </c>
      <c r="BF266" s="69">
        <f t="shared" si="1864"/>
        <v>51</v>
      </c>
      <c r="BG266" s="46" t="str">
        <f>BF266*'ОВгП_РАО'!$B$12</f>
        <v>#REF!</v>
      </c>
      <c r="BH266" s="46" t="str">
        <f>'ОВгП_РАО'!$B$12</f>
        <v>#REF!</v>
      </c>
    </row>
    <row r="267" ht="15.75" customHeight="1">
      <c r="A267" s="80">
        <f t="shared" si="1819"/>
        <v>46268</v>
      </c>
      <c r="B267" s="47" t="s">
        <v>131</v>
      </c>
      <c r="C267" s="47" t="s">
        <v>122</v>
      </c>
      <c r="D267" s="47" t="s">
        <v>123</v>
      </c>
      <c r="E267" s="73">
        <f t="shared" si="1770"/>
        <v>0</v>
      </c>
      <c r="F267" s="50">
        <f t="shared" si="1771"/>
        <v>0</v>
      </c>
      <c r="G267" s="73">
        <f t="shared" si="1772"/>
        <v>1</v>
      </c>
      <c r="H267" s="50">
        <f t="shared" si="1773"/>
        <v>3</v>
      </c>
      <c r="I267" s="73">
        <f t="shared" si="1774"/>
        <v>1</v>
      </c>
      <c r="J267" s="50">
        <f t="shared" si="1775"/>
        <v>3</v>
      </c>
      <c r="K267" s="53">
        <f t="shared" si="1776"/>
        <v>1</v>
      </c>
      <c r="L267" s="54">
        <f t="shared" si="1777"/>
        <v>3</v>
      </c>
      <c r="M267" s="53">
        <f t="shared" si="1778"/>
        <v>0</v>
      </c>
      <c r="N267" s="54">
        <f t="shared" si="1779"/>
        <v>0</v>
      </c>
      <c r="O267" s="49">
        <f t="shared" ref="O267:P267" si="1865">SUM(K267,M267)</f>
        <v>1</v>
      </c>
      <c r="P267" s="50">
        <f t="shared" si="1865"/>
        <v>3</v>
      </c>
      <c r="Q267" s="73">
        <f t="shared" si="1781"/>
        <v>0</v>
      </c>
      <c r="R267" s="50">
        <f t="shared" si="1782"/>
        <v>0</v>
      </c>
      <c r="S267" s="53">
        <f t="shared" si="1783"/>
        <v>1</v>
      </c>
      <c r="T267" s="54">
        <f t="shared" si="1784"/>
        <v>2</v>
      </c>
      <c r="U267" s="53">
        <f t="shared" si="1785"/>
        <v>1</v>
      </c>
      <c r="V267" s="54">
        <f t="shared" si="1786"/>
        <v>1</v>
      </c>
      <c r="W267" s="53">
        <f t="shared" si="1787"/>
        <v>2</v>
      </c>
      <c r="X267" s="54">
        <f t="shared" si="1788"/>
        <v>4</v>
      </c>
      <c r="Y267" s="53">
        <f t="shared" si="1789"/>
        <v>1</v>
      </c>
      <c r="Z267" s="54">
        <f t="shared" si="1790"/>
        <v>2</v>
      </c>
      <c r="AA267" s="53">
        <f t="shared" si="1791"/>
        <v>2</v>
      </c>
      <c r="AB267" s="54">
        <f t="shared" si="1792"/>
        <v>4</v>
      </c>
      <c r="AC267" s="49">
        <f t="shared" ref="AC267:AD267" si="1866">SUM(S267,U267,W267,Y267,AA267)</f>
        <v>7</v>
      </c>
      <c r="AD267" s="50">
        <f t="shared" si="1866"/>
        <v>13</v>
      </c>
      <c r="AE267" s="53">
        <f t="shared" si="1794"/>
        <v>1</v>
      </c>
      <c r="AF267" s="54">
        <f t="shared" si="1795"/>
        <v>3</v>
      </c>
      <c r="AG267" s="53">
        <f t="shared" si="1796"/>
        <v>2</v>
      </c>
      <c r="AH267" s="54">
        <f t="shared" si="1797"/>
        <v>4</v>
      </c>
      <c r="AI267" s="53">
        <f t="shared" si="1798"/>
        <v>0</v>
      </c>
      <c r="AJ267" s="54">
        <f t="shared" si="1799"/>
        <v>0</v>
      </c>
      <c r="AK267" s="53">
        <f t="shared" si="1800"/>
        <v>1</v>
      </c>
      <c r="AL267" s="54">
        <f t="shared" si="1801"/>
        <v>2</v>
      </c>
      <c r="AM267" s="53">
        <f t="shared" si="1802"/>
        <v>2</v>
      </c>
      <c r="AN267" s="54">
        <f t="shared" si="1803"/>
        <v>4</v>
      </c>
      <c r="AO267" s="53">
        <f t="shared" si="1804"/>
        <v>2</v>
      </c>
      <c r="AP267" s="54">
        <f t="shared" si="1805"/>
        <v>4</v>
      </c>
      <c r="AQ267" s="49">
        <f t="shared" ref="AQ267:AR267" si="1867">SUM(AG267,AI267,AK267,AM267,AO267)</f>
        <v>7</v>
      </c>
      <c r="AR267" s="50">
        <f t="shared" si="1867"/>
        <v>14</v>
      </c>
      <c r="AS267" s="53">
        <f t="shared" si="1807"/>
        <v>1</v>
      </c>
      <c r="AT267" s="54">
        <f t="shared" si="1808"/>
        <v>2</v>
      </c>
      <c r="AU267" s="53">
        <f t="shared" si="1809"/>
        <v>2</v>
      </c>
      <c r="AV267" s="54">
        <f t="shared" si="1810"/>
        <v>4</v>
      </c>
      <c r="AW267" s="53">
        <f t="shared" si="1811"/>
        <v>1</v>
      </c>
      <c r="AX267" s="54">
        <f t="shared" si="1812"/>
        <v>2</v>
      </c>
      <c r="AY267" s="53">
        <f t="shared" si="1813"/>
        <v>1</v>
      </c>
      <c r="AZ267" s="54">
        <f t="shared" si="1814"/>
        <v>3</v>
      </c>
      <c r="BA267" s="53">
        <f t="shared" si="1815"/>
        <v>1</v>
      </c>
      <c r="BB267" s="54">
        <f t="shared" si="1816"/>
        <v>2</v>
      </c>
      <c r="BC267" s="49">
        <f t="shared" ref="BC267:BD267" si="1868">SUM(AS267,AU267,AW267,AY267,BA267)</f>
        <v>6</v>
      </c>
      <c r="BD267" s="50">
        <f t="shared" si="1868"/>
        <v>13</v>
      </c>
      <c r="BE267" s="68">
        <f t="shared" ref="BE267:BF267" si="1869">SUM(E267,G267,I267,O267,Q267,AC267,AQ267,BC267)</f>
        <v>23</v>
      </c>
      <c r="BF267" s="69">
        <f t="shared" si="1869"/>
        <v>49</v>
      </c>
      <c r="BG267" s="46" t="str">
        <f>BF267*'ОВгП_РАО'!$B$13</f>
        <v>#REF!</v>
      </c>
      <c r="BH267" s="46" t="str">
        <f>'ОВгП_РАО'!$B$13</f>
        <v>#REF!</v>
      </c>
    </row>
    <row r="268" ht="15.75" customHeight="1">
      <c r="A268" s="80">
        <f t="shared" si="1819"/>
        <v>46268</v>
      </c>
      <c r="B268" s="47" t="s">
        <v>132</v>
      </c>
      <c r="C268" s="47" t="s">
        <v>122</v>
      </c>
      <c r="D268" s="47" t="s">
        <v>123</v>
      </c>
      <c r="E268" s="73">
        <f t="shared" si="1770"/>
        <v>1</v>
      </c>
      <c r="F268" s="50">
        <f t="shared" si="1771"/>
        <v>2</v>
      </c>
      <c r="G268" s="73">
        <f t="shared" si="1772"/>
        <v>1</v>
      </c>
      <c r="H268" s="50">
        <f t="shared" si="1773"/>
        <v>3</v>
      </c>
      <c r="I268" s="73">
        <f t="shared" si="1774"/>
        <v>1</v>
      </c>
      <c r="J268" s="50">
        <f t="shared" si="1775"/>
        <v>2</v>
      </c>
      <c r="K268" s="53">
        <f t="shared" si="1776"/>
        <v>0</v>
      </c>
      <c r="L268" s="54">
        <f t="shared" si="1777"/>
        <v>0</v>
      </c>
      <c r="M268" s="53">
        <f t="shared" si="1778"/>
        <v>1</v>
      </c>
      <c r="N268" s="54">
        <f t="shared" si="1779"/>
        <v>2</v>
      </c>
      <c r="O268" s="49">
        <f t="shared" ref="O268:P268" si="1870">SUM(K268,M268)</f>
        <v>1</v>
      </c>
      <c r="P268" s="50">
        <f t="shared" si="1870"/>
        <v>2</v>
      </c>
      <c r="Q268" s="73">
        <f t="shared" si="1781"/>
        <v>1</v>
      </c>
      <c r="R268" s="50">
        <f t="shared" si="1782"/>
        <v>2</v>
      </c>
      <c r="S268" s="53">
        <f t="shared" si="1783"/>
        <v>1</v>
      </c>
      <c r="T268" s="54">
        <f t="shared" si="1784"/>
        <v>2</v>
      </c>
      <c r="U268" s="53">
        <f t="shared" si="1785"/>
        <v>0</v>
      </c>
      <c r="V268" s="54">
        <f t="shared" si="1786"/>
        <v>0</v>
      </c>
      <c r="W268" s="53">
        <f t="shared" si="1787"/>
        <v>1</v>
      </c>
      <c r="X268" s="54">
        <f t="shared" si="1788"/>
        <v>3</v>
      </c>
      <c r="Y268" s="53">
        <f t="shared" si="1789"/>
        <v>0</v>
      </c>
      <c r="Z268" s="54">
        <f t="shared" si="1790"/>
        <v>0</v>
      </c>
      <c r="AA268" s="53">
        <f t="shared" si="1791"/>
        <v>2</v>
      </c>
      <c r="AB268" s="54">
        <f t="shared" si="1792"/>
        <v>4</v>
      </c>
      <c r="AC268" s="49">
        <f t="shared" ref="AC268:AD268" si="1871">SUM(S268,U268,W268,Y268,AA268)</f>
        <v>4</v>
      </c>
      <c r="AD268" s="50">
        <f t="shared" si="1871"/>
        <v>9</v>
      </c>
      <c r="AE268" s="53">
        <f t="shared" si="1794"/>
        <v>1</v>
      </c>
      <c r="AF268" s="54">
        <f t="shared" si="1795"/>
        <v>2</v>
      </c>
      <c r="AG268" s="53">
        <f t="shared" si="1796"/>
        <v>2</v>
      </c>
      <c r="AH268" s="54">
        <f t="shared" si="1797"/>
        <v>4</v>
      </c>
      <c r="AI268" s="53">
        <f t="shared" si="1798"/>
        <v>1</v>
      </c>
      <c r="AJ268" s="54">
        <f t="shared" si="1799"/>
        <v>1</v>
      </c>
      <c r="AK268" s="53">
        <f t="shared" si="1800"/>
        <v>2</v>
      </c>
      <c r="AL268" s="54">
        <f t="shared" si="1801"/>
        <v>4</v>
      </c>
      <c r="AM268" s="53">
        <f t="shared" si="1802"/>
        <v>1</v>
      </c>
      <c r="AN268" s="54">
        <f t="shared" si="1803"/>
        <v>3</v>
      </c>
      <c r="AO268" s="53">
        <f t="shared" si="1804"/>
        <v>1</v>
      </c>
      <c r="AP268" s="54">
        <f t="shared" si="1805"/>
        <v>2</v>
      </c>
      <c r="AQ268" s="49">
        <f t="shared" ref="AQ268:AR268" si="1872">SUM(AG268,AI268,AK268,AM268,AO268)</f>
        <v>7</v>
      </c>
      <c r="AR268" s="50">
        <f t="shared" si="1872"/>
        <v>14</v>
      </c>
      <c r="AS268" s="53">
        <f t="shared" si="1807"/>
        <v>1</v>
      </c>
      <c r="AT268" s="54">
        <f t="shared" si="1808"/>
        <v>1</v>
      </c>
      <c r="AU268" s="53">
        <f t="shared" si="1809"/>
        <v>2</v>
      </c>
      <c r="AV268" s="54">
        <f t="shared" si="1810"/>
        <v>4</v>
      </c>
      <c r="AW268" s="53">
        <f t="shared" si="1811"/>
        <v>1</v>
      </c>
      <c r="AX268" s="54">
        <f t="shared" si="1812"/>
        <v>2</v>
      </c>
      <c r="AY268" s="53">
        <f t="shared" si="1813"/>
        <v>2</v>
      </c>
      <c r="AZ268" s="54">
        <f t="shared" si="1814"/>
        <v>4</v>
      </c>
      <c r="BA268" s="53">
        <f t="shared" si="1815"/>
        <v>1</v>
      </c>
      <c r="BB268" s="54">
        <f t="shared" si="1816"/>
        <v>2</v>
      </c>
      <c r="BC268" s="49">
        <f t="shared" ref="BC268:BD268" si="1873">SUM(AS268,AU268,AW268,AY268,BA268)</f>
        <v>7</v>
      </c>
      <c r="BD268" s="50">
        <f t="shared" si="1873"/>
        <v>13</v>
      </c>
      <c r="BE268" s="68">
        <f t="shared" ref="BE268:BF268" si="1874">SUM(E268,G268,I268,O268,Q268,AC268,AQ268,BC268)</f>
        <v>23</v>
      </c>
      <c r="BF268" s="69">
        <f t="shared" si="1874"/>
        <v>47</v>
      </c>
      <c r="BG268" s="46" t="str">
        <f>BF268*'ОВгП_РАО'!$B$14</f>
        <v>#REF!</v>
      </c>
      <c r="BH268" s="46" t="str">
        <f>'ОВгП_РАО'!$B$14</f>
        <v>#REF!</v>
      </c>
    </row>
    <row r="269" ht="15.75" customHeight="1">
      <c r="A269" s="80">
        <f t="shared" si="1819"/>
        <v>46268</v>
      </c>
      <c r="B269" s="47" t="s">
        <v>133</v>
      </c>
      <c r="C269" s="47" t="s">
        <v>122</v>
      </c>
      <c r="D269" s="47" t="s">
        <v>123</v>
      </c>
      <c r="E269" s="73">
        <f t="shared" si="1770"/>
        <v>1</v>
      </c>
      <c r="F269" s="50">
        <f t="shared" si="1771"/>
        <v>2</v>
      </c>
      <c r="G269" s="73">
        <f t="shared" si="1772"/>
        <v>1</v>
      </c>
      <c r="H269" s="50">
        <f t="shared" si="1773"/>
        <v>1</v>
      </c>
      <c r="I269" s="73">
        <f t="shared" si="1774"/>
        <v>2</v>
      </c>
      <c r="J269" s="50">
        <f t="shared" si="1775"/>
        <v>4</v>
      </c>
      <c r="K269" s="53">
        <f t="shared" si="1776"/>
        <v>2</v>
      </c>
      <c r="L269" s="54">
        <f t="shared" si="1777"/>
        <v>4</v>
      </c>
      <c r="M269" s="53">
        <f t="shared" si="1778"/>
        <v>1</v>
      </c>
      <c r="N269" s="54">
        <f t="shared" si="1779"/>
        <v>3</v>
      </c>
      <c r="O269" s="49">
        <f t="shared" ref="O269:P269" si="1875">SUM(K269,M269)</f>
        <v>3</v>
      </c>
      <c r="P269" s="50">
        <f t="shared" si="1875"/>
        <v>7</v>
      </c>
      <c r="Q269" s="73">
        <f t="shared" si="1781"/>
        <v>1</v>
      </c>
      <c r="R269" s="50">
        <f t="shared" si="1782"/>
        <v>2</v>
      </c>
      <c r="S269" s="53">
        <f t="shared" si="1783"/>
        <v>0</v>
      </c>
      <c r="T269" s="54">
        <f t="shared" si="1784"/>
        <v>0</v>
      </c>
      <c r="U269" s="53">
        <f t="shared" si="1785"/>
        <v>1</v>
      </c>
      <c r="V269" s="54">
        <f t="shared" si="1786"/>
        <v>3</v>
      </c>
      <c r="W269" s="53">
        <f t="shared" si="1787"/>
        <v>2</v>
      </c>
      <c r="X269" s="54">
        <f t="shared" si="1788"/>
        <v>4</v>
      </c>
      <c r="Y269" s="53">
        <f t="shared" si="1789"/>
        <v>1</v>
      </c>
      <c r="Z269" s="54">
        <f t="shared" si="1790"/>
        <v>3</v>
      </c>
      <c r="AA269" s="53">
        <f t="shared" si="1791"/>
        <v>2</v>
      </c>
      <c r="AB269" s="54">
        <f t="shared" si="1792"/>
        <v>4</v>
      </c>
      <c r="AC269" s="49">
        <f t="shared" ref="AC269:AD269" si="1876">SUM(S269,U269,W269,Y269,AA269)</f>
        <v>6</v>
      </c>
      <c r="AD269" s="50">
        <f t="shared" si="1876"/>
        <v>14</v>
      </c>
      <c r="AE269" s="53">
        <f t="shared" si="1794"/>
        <v>0</v>
      </c>
      <c r="AF269" s="54">
        <f t="shared" si="1795"/>
        <v>0</v>
      </c>
      <c r="AG269" s="53">
        <f t="shared" si="1796"/>
        <v>1</v>
      </c>
      <c r="AH269" s="54">
        <f t="shared" si="1797"/>
        <v>2</v>
      </c>
      <c r="AI269" s="53">
        <f t="shared" si="1798"/>
        <v>0</v>
      </c>
      <c r="AJ269" s="54">
        <f t="shared" si="1799"/>
        <v>0</v>
      </c>
      <c r="AK269" s="53">
        <f t="shared" si="1800"/>
        <v>0</v>
      </c>
      <c r="AL269" s="54">
        <f t="shared" si="1801"/>
        <v>0</v>
      </c>
      <c r="AM269" s="53">
        <f t="shared" si="1802"/>
        <v>0</v>
      </c>
      <c r="AN269" s="54">
        <f t="shared" si="1803"/>
        <v>0</v>
      </c>
      <c r="AO269" s="53">
        <f t="shared" si="1804"/>
        <v>0</v>
      </c>
      <c r="AP269" s="54">
        <f t="shared" si="1805"/>
        <v>0</v>
      </c>
      <c r="AQ269" s="49">
        <f t="shared" ref="AQ269:AR269" si="1877">SUM(AG269,AI269,AK269,AM269,AO269)</f>
        <v>1</v>
      </c>
      <c r="AR269" s="50">
        <f t="shared" si="1877"/>
        <v>2</v>
      </c>
      <c r="AS269" s="53">
        <f t="shared" si="1807"/>
        <v>0</v>
      </c>
      <c r="AT269" s="54">
        <f t="shared" si="1808"/>
        <v>0</v>
      </c>
      <c r="AU269" s="53">
        <f t="shared" si="1809"/>
        <v>0</v>
      </c>
      <c r="AV269" s="54">
        <f t="shared" si="1810"/>
        <v>0</v>
      </c>
      <c r="AW269" s="53">
        <f t="shared" si="1811"/>
        <v>0</v>
      </c>
      <c r="AX269" s="54">
        <f t="shared" si="1812"/>
        <v>0</v>
      </c>
      <c r="AY269" s="53">
        <f t="shared" si="1813"/>
        <v>1</v>
      </c>
      <c r="AZ269" s="54">
        <f t="shared" si="1814"/>
        <v>2</v>
      </c>
      <c r="BA269" s="53">
        <f t="shared" si="1815"/>
        <v>1</v>
      </c>
      <c r="BB269" s="54">
        <f t="shared" si="1816"/>
        <v>1</v>
      </c>
      <c r="BC269" s="49">
        <f t="shared" ref="BC269:BD269" si="1878">SUM(AS269,AU269,AW269,AY269,BA269)</f>
        <v>2</v>
      </c>
      <c r="BD269" s="50">
        <f t="shared" si="1878"/>
        <v>3</v>
      </c>
      <c r="BE269" s="68">
        <f t="shared" ref="BE269:BF269" si="1879">SUM(E269,G269,I269,O269,Q269,AC269,AQ269,BC269)</f>
        <v>17</v>
      </c>
      <c r="BF269" s="69">
        <f t="shared" si="1879"/>
        <v>35</v>
      </c>
      <c r="BG269" s="46" t="str">
        <f>BF269*'ОВгП_РАО'!$B$15</f>
        <v>#REF!</v>
      </c>
      <c r="BH269" s="46" t="str">
        <f>'ОВгП_РАО'!$B$15</f>
        <v>#REF!</v>
      </c>
    </row>
    <row r="270" ht="15.75" customHeight="1">
      <c r="A270" s="80">
        <f t="shared" si="1819"/>
        <v>46268</v>
      </c>
      <c r="B270" s="47" t="s">
        <v>134</v>
      </c>
      <c r="C270" s="47" t="s">
        <v>122</v>
      </c>
      <c r="D270" s="47" t="s">
        <v>123</v>
      </c>
      <c r="E270" s="73">
        <f t="shared" si="1770"/>
        <v>0</v>
      </c>
      <c r="F270" s="50">
        <f t="shared" si="1771"/>
        <v>0</v>
      </c>
      <c r="G270" s="73">
        <f t="shared" si="1772"/>
        <v>1</v>
      </c>
      <c r="H270" s="50">
        <f t="shared" si="1773"/>
        <v>2</v>
      </c>
      <c r="I270" s="73">
        <f t="shared" si="1774"/>
        <v>0</v>
      </c>
      <c r="J270" s="50">
        <f t="shared" si="1775"/>
        <v>0</v>
      </c>
      <c r="K270" s="53">
        <f t="shared" si="1776"/>
        <v>1</v>
      </c>
      <c r="L270" s="54">
        <f t="shared" si="1777"/>
        <v>2</v>
      </c>
      <c r="M270" s="53">
        <f t="shared" si="1778"/>
        <v>2</v>
      </c>
      <c r="N270" s="54">
        <f t="shared" si="1779"/>
        <v>4</v>
      </c>
      <c r="O270" s="49">
        <f t="shared" ref="O270:P270" si="1880">SUM(K270,M270)</f>
        <v>3</v>
      </c>
      <c r="P270" s="50">
        <f t="shared" si="1880"/>
        <v>6</v>
      </c>
      <c r="Q270" s="73">
        <f t="shared" si="1781"/>
        <v>1</v>
      </c>
      <c r="R270" s="50">
        <f t="shared" si="1782"/>
        <v>2</v>
      </c>
      <c r="S270" s="53">
        <f t="shared" si="1783"/>
        <v>1</v>
      </c>
      <c r="T270" s="54">
        <f t="shared" si="1784"/>
        <v>1</v>
      </c>
      <c r="U270" s="53">
        <f t="shared" si="1785"/>
        <v>1</v>
      </c>
      <c r="V270" s="54">
        <f t="shared" si="1786"/>
        <v>3</v>
      </c>
      <c r="W270" s="53">
        <f t="shared" si="1787"/>
        <v>1</v>
      </c>
      <c r="X270" s="54">
        <f t="shared" si="1788"/>
        <v>3</v>
      </c>
      <c r="Y270" s="53">
        <f t="shared" si="1789"/>
        <v>1</v>
      </c>
      <c r="Z270" s="54">
        <f t="shared" si="1790"/>
        <v>1</v>
      </c>
      <c r="AA270" s="53">
        <f t="shared" si="1791"/>
        <v>0</v>
      </c>
      <c r="AB270" s="54">
        <f t="shared" si="1792"/>
        <v>0</v>
      </c>
      <c r="AC270" s="49">
        <f t="shared" ref="AC270:AD270" si="1881">SUM(S270,U270,W270,Y270,AA270)</f>
        <v>4</v>
      </c>
      <c r="AD270" s="50">
        <f t="shared" si="1881"/>
        <v>8</v>
      </c>
      <c r="AE270" s="53">
        <f t="shared" si="1794"/>
        <v>1</v>
      </c>
      <c r="AF270" s="54">
        <f t="shared" si="1795"/>
        <v>3</v>
      </c>
      <c r="AG270" s="53">
        <f t="shared" si="1796"/>
        <v>2</v>
      </c>
      <c r="AH270" s="54">
        <f t="shared" si="1797"/>
        <v>4</v>
      </c>
      <c r="AI270" s="53">
        <f t="shared" si="1798"/>
        <v>1</v>
      </c>
      <c r="AJ270" s="54">
        <f t="shared" si="1799"/>
        <v>2</v>
      </c>
      <c r="AK270" s="53">
        <f t="shared" si="1800"/>
        <v>1</v>
      </c>
      <c r="AL270" s="54">
        <f t="shared" si="1801"/>
        <v>3</v>
      </c>
      <c r="AM270" s="53">
        <f t="shared" si="1802"/>
        <v>0</v>
      </c>
      <c r="AN270" s="54">
        <f t="shared" si="1803"/>
        <v>0</v>
      </c>
      <c r="AO270" s="53">
        <f t="shared" si="1804"/>
        <v>1</v>
      </c>
      <c r="AP270" s="54">
        <f t="shared" si="1805"/>
        <v>2</v>
      </c>
      <c r="AQ270" s="49">
        <f t="shared" ref="AQ270:AR270" si="1882">SUM(AG270,AI270,AK270,AM270,AO270)</f>
        <v>5</v>
      </c>
      <c r="AR270" s="50">
        <f t="shared" si="1882"/>
        <v>11</v>
      </c>
      <c r="AS270" s="53">
        <f t="shared" si="1807"/>
        <v>0</v>
      </c>
      <c r="AT270" s="54">
        <f t="shared" si="1808"/>
        <v>0</v>
      </c>
      <c r="AU270" s="53">
        <f t="shared" si="1809"/>
        <v>1</v>
      </c>
      <c r="AV270" s="54">
        <f t="shared" si="1810"/>
        <v>1</v>
      </c>
      <c r="AW270" s="53">
        <f t="shared" si="1811"/>
        <v>1</v>
      </c>
      <c r="AX270" s="54">
        <f t="shared" si="1812"/>
        <v>2</v>
      </c>
      <c r="AY270" s="53">
        <f t="shared" si="1813"/>
        <v>1</v>
      </c>
      <c r="AZ270" s="54">
        <f t="shared" si="1814"/>
        <v>3</v>
      </c>
      <c r="BA270" s="53">
        <f t="shared" si="1815"/>
        <v>2</v>
      </c>
      <c r="BB270" s="54">
        <f t="shared" si="1816"/>
        <v>4</v>
      </c>
      <c r="BC270" s="49">
        <f t="shared" ref="BC270:BD270" si="1883">SUM(AS270,AU270,AW270,AY270,BA270)</f>
        <v>5</v>
      </c>
      <c r="BD270" s="50">
        <f t="shared" si="1883"/>
        <v>10</v>
      </c>
      <c r="BE270" s="68">
        <f t="shared" ref="BE270:BF270" si="1884">SUM(E270,G270,I270,O270,Q270,AC270,AQ270,BC270)</f>
        <v>19</v>
      </c>
      <c r="BF270" s="69">
        <f t="shared" si="1884"/>
        <v>39</v>
      </c>
      <c r="BG270" s="46" t="str">
        <f>BF270*'ОВгП_РАО'!$B$16</f>
        <v>#REF!</v>
      </c>
      <c r="BH270" s="46" t="str">
        <f>'ОВгП_РАО'!$B$16</f>
        <v>#REF!</v>
      </c>
    </row>
    <row r="271" ht="15.75" customHeight="1">
      <c r="A271" s="80">
        <f t="shared" si="1819"/>
        <v>46268</v>
      </c>
      <c r="B271" s="129" t="s">
        <v>135</v>
      </c>
      <c r="C271" s="47" t="s">
        <v>122</v>
      </c>
      <c r="D271" s="47" t="s">
        <v>136</v>
      </c>
      <c r="E271" s="73">
        <f t="shared" si="1770"/>
        <v>2</v>
      </c>
      <c r="F271" s="50">
        <f t="shared" si="1771"/>
        <v>4</v>
      </c>
      <c r="G271" s="73">
        <f t="shared" si="1772"/>
        <v>1</v>
      </c>
      <c r="H271" s="50">
        <f t="shared" si="1773"/>
        <v>2</v>
      </c>
      <c r="I271" s="73">
        <f t="shared" si="1774"/>
        <v>0</v>
      </c>
      <c r="J271" s="50">
        <f t="shared" si="1775"/>
        <v>0</v>
      </c>
      <c r="K271" s="53">
        <f t="shared" si="1776"/>
        <v>1</v>
      </c>
      <c r="L271" s="54">
        <f t="shared" si="1777"/>
        <v>3</v>
      </c>
      <c r="M271" s="53">
        <f t="shared" si="1778"/>
        <v>2</v>
      </c>
      <c r="N271" s="54">
        <f t="shared" si="1779"/>
        <v>4</v>
      </c>
      <c r="O271" s="49">
        <f t="shared" ref="O271:P271" si="1885">SUM(K271,M271)</f>
        <v>3</v>
      </c>
      <c r="P271" s="50">
        <f t="shared" si="1885"/>
        <v>7</v>
      </c>
      <c r="Q271" s="73">
        <f t="shared" si="1781"/>
        <v>2</v>
      </c>
      <c r="R271" s="50">
        <f t="shared" si="1782"/>
        <v>4</v>
      </c>
      <c r="S271" s="53">
        <f t="shared" si="1783"/>
        <v>1</v>
      </c>
      <c r="T271" s="54">
        <f t="shared" si="1784"/>
        <v>1</v>
      </c>
      <c r="U271" s="53">
        <f t="shared" si="1785"/>
        <v>2</v>
      </c>
      <c r="V271" s="54">
        <f t="shared" si="1786"/>
        <v>4</v>
      </c>
      <c r="W271" s="53">
        <f t="shared" si="1787"/>
        <v>2</v>
      </c>
      <c r="X271" s="54">
        <f t="shared" si="1788"/>
        <v>4</v>
      </c>
      <c r="Y271" s="53">
        <f t="shared" si="1789"/>
        <v>2</v>
      </c>
      <c r="Z271" s="54">
        <f t="shared" si="1790"/>
        <v>4</v>
      </c>
      <c r="AA271" s="53">
        <f t="shared" si="1791"/>
        <v>2</v>
      </c>
      <c r="AB271" s="54">
        <f t="shared" si="1792"/>
        <v>4</v>
      </c>
      <c r="AC271" s="49">
        <f t="shared" ref="AC271:AD271" si="1886">SUM(S271,U271,W271,Y271,AA271)</f>
        <v>9</v>
      </c>
      <c r="AD271" s="50">
        <f t="shared" si="1886"/>
        <v>17</v>
      </c>
      <c r="AE271" s="53">
        <f t="shared" si="1794"/>
        <v>1</v>
      </c>
      <c r="AF271" s="54">
        <f t="shared" si="1795"/>
        <v>2</v>
      </c>
      <c r="AG271" s="53">
        <f t="shared" si="1796"/>
        <v>0</v>
      </c>
      <c r="AH271" s="54">
        <f t="shared" si="1797"/>
        <v>0</v>
      </c>
      <c r="AI271" s="53">
        <f t="shared" si="1798"/>
        <v>1</v>
      </c>
      <c r="AJ271" s="54">
        <f t="shared" si="1799"/>
        <v>1</v>
      </c>
      <c r="AK271" s="53">
        <f t="shared" si="1800"/>
        <v>1</v>
      </c>
      <c r="AL271" s="54">
        <f t="shared" si="1801"/>
        <v>1</v>
      </c>
      <c r="AM271" s="53">
        <f t="shared" si="1802"/>
        <v>1</v>
      </c>
      <c r="AN271" s="54">
        <f t="shared" si="1803"/>
        <v>2</v>
      </c>
      <c r="AO271" s="53">
        <f t="shared" si="1804"/>
        <v>0</v>
      </c>
      <c r="AP271" s="54">
        <f t="shared" si="1805"/>
        <v>0</v>
      </c>
      <c r="AQ271" s="49">
        <f t="shared" ref="AQ271:AR271" si="1887">SUM(AG271,AI271,AK271,AM271,AO271)</f>
        <v>3</v>
      </c>
      <c r="AR271" s="50">
        <f t="shared" si="1887"/>
        <v>4</v>
      </c>
      <c r="AS271" s="53">
        <f t="shared" si="1807"/>
        <v>1</v>
      </c>
      <c r="AT271" s="54">
        <f t="shared" si="1808"/>
        <v>3</v>
      </c>
      <c r="AU271" s="53">
        <f t="shared" si="1809"/>
        <v>1</v>
      </c>
      <c r="AV271" s="54">
        <f t="shared" si="1810"/>
        <v>1</v>
      </c>
      <c r="AW271" s="53">
        <f t="shared" si="1811"/>
        <v>2</v>
      </c>
      <c r="AX271" s="54">
        <f t="shared" si="1812"/>
        <v>4</v>
      </c>
      <c r="AY271" s="53">
        <f t="shared" si="1813"/>
        <v>0</v>
      </c>
      <c r="AZ271" s="54">
        <f t="shared" si="1814"/>
        <v>0</v>
      </c>
      <c r="BA271" s="53">
        <f t="shared" si="1815"/>
        <v>0</v>
      </c>
      <c r="BB271" s="54">
        <f t="shared" si="1816"/>
        <v>0</v>
      </c>
      <c r="BC271" s="49">
        <f t="shared" ref="BC271:BD271" si="1888">SUM(AS271,AU271,AW271,AY271,BA271)</f>
        <v>4</v>
      </c>
      <c r="BD271" s="50">
        <f t="shared" si="1888"/>
        <v>8</v>
      </c>
      <c r="BE271" s="68">
        <f t="shared" ref="BE271:BF271" si="1889">SUM(E271,G271,I271,O271,Q271,AC271,AQ271,BC271)</f>
        <v>24</v>
      </c>
      <c r="BF271" s="69">
        <f t="shared" si="1889"/>
        <v>46</v>
      </c>
      <c r="BG271" s="46" t="str">
        <f>BF271*'ОВгП_РАО'!$B$17</f>
        <v>#REF!</v>
      </c>
      <c r="BH271" s="46" t="str">
        <f>'ОВгП_РАО'!$B$17</f>
        <v>#REF!</v>
      </c>
    </row>
    <row r="272" ht="15.75" customHeight="1">
      <c r="A272" s="80">
        <f t="shared" si="1819"/>
        <v>46268</v>
      </c>
      <c r="B272" s="129" t="s">
        <v>137</v>
      </c>
      <c r="C272" s="47" t="s">
        <v>122</v>
      </c>
      <c r="D272" s="47" t="s">
        <v>136</v>
      </c>
      <c r="E272" s="73">
        <f t="shared" si="1770"/>
        <v>1</v>
      </c>
      <c r="F272" s="50">
        <f t="shared" si="1771"/>
        <v>3</v>
      </c>
      <c r="G272" s="73">
        <f t="shared" si="1772"/>
        <v>2</v>
      </c>
      <c r="H272" s="50">
        <f t="shared" si="1773"/>
        <v>4</v>
      </c>
      <c r="I272" s="73">
        <f t="shared" si="1774"/>
        <v>1</v>
      </c>
      <c r="J272" s="50">
        <f t="shared" si="1775"/>
        <v>1</v>
      </c>
      <c r="K272" s="53">
        <f t="shared" si="1776"/>
        <v>1</v>
      </c>
      <c r="L272" s="54">
        <f t="shared" si="1777"/>
        <v>2</v>
      </c>
      <c r="M272" s="53">
        <f t="shared" si="1778"/>
        <v>1</v>
      </c>
      <c r="N272" s="54">
        <f t="shared" si="1779"/>
        <v>3</v>
      </c>
      <c r="O272" s="49">
        <f t="shared" ref="O272:P272" si="1890">SUM(K272,M272)</f>
        <v>2</v>
      </c>
      <c r="P272" s="50">
        <f t="shared" si="1890"/>
        <v>5</v>
      </c>
      <c r="Q272" s="73">
        <f t="shared" si="1781"/>
        <v>1</v>
      </c>
      <c r="R272" s="50">
        <f t="shared" si="1782"/>
        <v>1</v>
      </c>
      <c r="S272" s="53">
        <f t="shared" si="1783"/>
        <v>1</v>
      </c>
      <c r="T272" s="54">
        <f t="shared" si="1784"/>
        <v>2</v>
      </c>
      <c r="U272" s="53">
        <f t="shared" si="1785"/>
        <v>1</v>
      </c>
      <c r="V272" s="54">
        <f t="shared" si="1786"/>
        <v>2</v>
      </c>
      <c r="W272" s="53">
        <f t="shared" si="1787"/>
        <v>1</v>
      </c>
      <c r="X272" s="54">
        <f t="shared" si="1788"/>
        <v>1</v>
      </c>
      <c r="Y272" s="53">
        <f t="shared" si="1789"/>
        <v>1</v>
      </c>
      <c r="Z272" s="54">
        <f t="shared" si="1790"/>
        <v>1</v>
      </c>
      <c r="AA272" s="53">
        <f t="shared" si="1791"/>
        <v>2</v>
      </c>
      <c r="AB272" s="54">
        <f t="shared" si="1792"/>
        <v>4</v>
      </c>
      <c r="AC272" s="49">
        <f t="shared" ref="AC272:AD272" si="1891">SUM(S272,U272,W272,Y272,AA272)</f>
        <v>6</v>
      </c>
      <c r="AD272" s="50">
        <f t="shared" si="1891"/>
        <v>10</v>
      </c>
      <c r="AE272" s="53">
        <f t="shared" si="1794"/>
        <v>1</v>
      </c>
      <c r="AF272" s="54">
        <f t="shared" si="1795"/>
        <v>1</v>
      </c>
      <c r="AG272" s="53">
        <f t="shared" si="1796"/>
        <v>1</v>
      </c>
      <c r="AH272" s="54">
        <f t="shared" si="1797"/>
        <v>2</v>
      </c>
      <c r="AI272" s="53">
        <f t="shared" si="1798"/>
        <v>0</v>
      </c>
      <c r="AJ272" s="54">
        <f t="shared" si="1799"/>
        <v>0</v>
      </c>
      <c r="AK272" s="53">
        <f t="shared" si="1800"/>
        <v>1</v>
      </c>
      <c r="AL272" s="54">
        <f t="shared" si="1801"/>
        <v>3</v>
      </c>
      <c r="AM272" s="53">
        <f t="shared" si="1802"/>
        <v>0</v>
      </c>
      <c r="AN272" s="54">
        <f t="shared" si="1803"/>
        <v>0</v>
      </c>
      <c r="AO272" s="53">
        <f t="shared" si="1804"/>
        <v>0</v>
      </c>
      <c r="AP272" s="54">
        <f t="shared" si="1805"/>
        <v>0</v>
      </c>
      <c r="AQ272" s="49">
        <f t="shared" ref="AQ272:AR272" si="1892">SUM(AG272,AI272,AK272,AM272,AO272)</f>
        <v>2</v>
      </c>
      <c r="AR272" s="50">
        <f t="shared" si="1892"/>
        <v>5</v>
      </c>
      <c r="AS272" s="53">
        <f t="shared" si="1807"/>
        <v>2</v>
      </c>
      <c r="AT272" s="54">
        <f t="shared" si="1808"/>
        <v>4</v>
      </c>
      <c r="AU272" s="53">
        <f t="shared" si="1809"/>
        <v>1</v>
      </c>
      <c r="AV272" s="54">
        <f t="shared" si="1810"/>
        <v>2</v>
      </c>
      <c r="AW272" s="53">
        <f t="shared" si="1811"/>
        <v>1</v>
      </c>
      <c r="AX272" s="54">
        <f t="shared" si="1812"/>
        <v>1</v>
      </c>
      <c r="AY272" s="53">
        <f t="shared" si="1813"/>
        <v>1</v>
      </c>
      <c r="AZ272" s="54">
        <f t="shared" si="1814"/>
        <v>3</v>
      </c>
      <c r="BA272" s="53">
        <f t="shared" si="1815"/>
        <v>1</v>
      </c>
      <c r="BB272" s="54">
        <f t="shared" si="1816"/>
        <v>2</v>
      </c>
      <c r="BC272" s="49">
        <f t="shared" ref="BC272:BD272" si="1893">SUM(AS272,AU272,AW272,AY272,BA272)</f>
        <v>6</v>
      </c>
      <c r="BD272" s="50">
        <f t="shared" si="1893"/>
        <v>12</v>
      </c>
      <c r="BE272" s="68">
        <f t="shared" ref="BE272:BF272" si="1894">SUM(E272,G272,I272,O272,Q272,AC272,AQ272,BC272)</f>
        <v>21</v>
      </c>
      <c r="BF272" s="69">
        <f t="shared" si="1894"/>
        <v>41</v>
      </c>
      <c r="BG272" s="46" t="str">
        <f>BF272*'ОВгП_РАО'!$B$18</f>
        <v>#REF!</v>
      </c>
      <c r="BH272" s="46" t="str">
        <f>'ОВгП_РАО'!$B$18</f>
        <v>#REF!</v>
      </c>
    </row>
    <row r="273" ht="15.75" customHeight="1">
      <c r="A273" s="80">
        <f t="shared" si="1819"/>
        <v>46268</v>
      </c>
      <c r="B273" s="129" t="s">
        <v>138</v>
      </c>
      <c r="C273" s="47" t="s">
        <v>122</v>
      </c>
      <c r="D273" s="47" t="s">
        <v>139</v>
      </c>
      <c r="E273" s="73">
        <f t="shared" si="1770"/>
        <v>1</v>
      </c>
      <c r="F273" s="50">
        <f t="shared" si="1771"/>
        <v>3</v>
      </c>
      <c r="G273" s="73">
        <f t="shared" si="1772"/>
        <v>1</v>
      </c>
      <c r="H273" s="50">
        <f t="shared" si="1773"/>
        <v>2</v>
      </c>
      <c r="I273" s="73">
        <f t="shared" si="1774"/>
        <v>1</v>
      </c>
      <c r="J273" s="50">
        <f t="shared" si="1775"/>
        <v>3</v>
      </c>
      <c r="K273" s="53">
        <f t="shared" si="1776"/>
        <v>2</v>
      </c>
      <c r="L273" s="54">
        <f t="shared" si="1777"/>
        <v>4</v>
      </c>
      <c r="M273" s="53">
        <f t="shared" si="1778"/>
        <v>0</v>
      </c>
      <c r="N273" s="54">
        <f t="shared" si="1779"/>
        <v>0</v>
      </c>
      <c r="O273" s="49">
        <f t="shared" ref="O273:P273" si="1895">SUM(K273,M273)</f>
        <v>2</v>
      </c>
      <c r="P273" s="50">
        <f t="shared" si="1895"/>
        <v>4</v>
      </c>
      <c r="Q273" s="73">
        <f t="shared" si="1781"/>
        <v>1</v>
      </c>
      <c r="R273" s="50">
        <f t="shared" si="1782"/>
        <v>1</v>
      </c>
      <c r="S273" s="53">
        <f t="shared" si="1783"/>
        <v>1</v>
      </c>
      <c r="T273" s="54">
        <f t="shared" si="1784"/>
        <v>1</v>
      </c>
      <c r="U273" s="53">
        <f t="shared" si="1785"/>
        <v>1</v>
      </c>
      <c r="V273" s="54">
        <f t="shared" si="1786"/>
        <v>3</v>
      </c>
      <c r="W273" s="53">
        <f t="shared" si="1787"/>
        <v>1</v>
      </c>
      <c r="X273" s="54">
        <f t="shared" si="1788"/>
        <v>3</v>
      </c>
      <c r="Y273" s="53">
        <f t="shared" si="1789"/>
        <v>2</v>
      </c>
      <c r="Z273" s="54">
        <f t="shared" si="1790"/>
        <v>4</v>
      </c>
      <c r="AA273" s="53">
        <f t="shared" si="1791"/>
        <v>1</v>
      </c>
      <c r="AB273" s="54">
        <f t="shared" si="1792"/>
        <v>1</v>
      </c>
      <c r="AC273" s="49">
        <f t="shared" ref="AC273:AD273" si="1896">SUM(S273,U273,W273,Y273,AA273)</f>
        <v>6</v>
      </c>
      <c r="AD273" s="50">
        <f t="shared" si="1896"/>
        <v>12</v>
      </c>
      <c r="AE273" s="53">
        <f t="shared" si="1794"/>
        <v>0</v>
      </c>
      <c r="AF273" s="54">
        <f t="shared" si="1795"/>
        <v>0</v>
      </c>
      <c r="AG273" s="53">
        <f t="shared" si="1796"/>
        <v>2</v>
      </c>
      <c r="AH273" s="54">
        <f t="shared" si="1797"/>
        <v>4</v>
      </c>
      <c r="AI273" s="53">
        <f t="shared" si="1798"/>
        <v>2</v>
      </c>
      <c r="AJ273" s="54">
        <f t="shared" si="1799"/>
        <v>4</v>
      </c>
      <c r="AK273" s="53">
        <f t="shared" si="1800"/>
        <v>1</v>
      </c>
      <c r="AL273" s="54">
        <f t="shared" si="1801"/>
        <v>2</v>
      </c>
      <c r="AM273" s="53">
        <f t="shared" si="1802"/>
        <v>2</v>
      </c>
      <c r="AN273" s="54">
        <f t="shared" si="1803"/>
        <v>4</v>
      </c>
      <c r="AO273" s="53">
        <f t="shared" si="1804"/>
        <v>1</v>
      </c>
      <c r="AP273" s="54">
        <f t="shared" si="1805"/>
        <v>2</v>
      </c>
      <c r="AQ273" s="49">
        <f t="shared" ref="AQ273:AR273" si="1897">SUM(AG273,AI273,AK273,AM273,AO273)</f>
        <v>8</v>
      </c>
      <c r="AR273" s="50">
        <f t="shared" si="1897"/>
        <v>16</v>
      </c>
      <c r="AS273" s="53">
        <f t="shared" si="1807"/>
        <v>1</v>
      </c>
      <c r="AT273" s="54">
        <f t="shared" si="1808"/>
        <v>1</v>
      </c>
      <c r="AU273" s="53">
        <f t="shared" si="1809"/>
        <v>0</v>
      </c>
      <c r="AV273" s="54">
        <f t="shared" si="1810"/>
        <v>0</v>
      </c>
      <c r="AW273" s="53">
        <f t="shared" si="1811"/>
        <v>0</v>
      </c>
      <c r="AX273" s="54">
        <f t="shared" si="1812"/>
        <v>0</v>
      </c>
      <c r="AY273" s="53">
        <f t="shared" si="1813"/>
        <v>0</v>
      </c>
      <c r="AZ273" s="54">
        <f t="shared" si="1814"/>
        <v>0</v>
      </c>
      <c r="BA273" s="53">
        <f t="shared" si="1815"/>
        <v>1</v>
      </c>
      <c r="BB273" s="54">
        <f t="shared" si="1816"/>
        <v>3</v>
      </c>
      <c r="BC273" s="49">
        <f t="shared" ref="BC273:BD273" si="1898">SUM(AS273,AU273,AW273,AY273,BA273)</f>
        <v>2</v>
      </c>
      <c r="BD273" s="50">
        <f t="shared" si="1898"/>
        <v>4</v>
      </c>
      <c r="BE273" s="68">
        <f t="shared" ref="BE273:BF273" si="1899">SUM(E273,G273,I273,O273,Q273,AC273,AQ273,BC273)</f>
        <v>22</v>
      </c>
      <c r="BF273" s="69">
        <f t="shared" si="1899"/>
        <v>45</v>
      </c>
      <c r="BG273" s="46" t="str">
        <f>BF273*'ОВгП_РАО'!$B$19</f>
        <v>#REF!</v>
      </c>
      <c r="BH273" s="46" t="str">
        <f>'ОВгП_РАО'!$B$19</f>
        <v>#REF!</v>
      </c>
    </row>
    <row r="274" ht="15.75" customHeight="1">
      <c r="A274" s="80">
        <f t="shared" si="1819"/>
        <v>46268</v>
      </c>
      <c r="B274" s="129" t="s">
        <v>140</v>
      </c>
      <c r="C274" s="47" t="s">
        <v>122</v>
      </c>
      <c r="D274" s="47" t="s">
        <v>139</v>
      </c>
      <c r="E274" s="73">
        <f t="shared" si="1770"/>
        <v>1</v>
      </c>
      <c r="F274" s="50">
        <f t="shared" si="1771"/>
        <v>2</v>
      </c>
      <c r="G274" s="73">
        <f t="shared" si="1772"/>
        <v>1</v>
      </c>
      <c r="H274" s="50">
        <f t="shared" si="1773"/>
        <v>3</v>
      </c>
      <c r="I274" s="73">
        <f t="shared" si="1774"/>
        <v>1</v>
      </c>
      <c r="J274" s="50">
        <f t="shared" si="1775"/>
        <v>1</v>
      </c>
      <c r="K274" s="53">
        <f t="shared" si="1776"/>
        <v>1</v>
      </c>
      <c r="L274" s="54">
        <f t="shared" si="1777"/>
        <v>1</v>
      </c>
      <c r="M274" s="53">
        <f t="shared" si="1778"/>
        <v>1</v>
      </c>
      <c r="N274" s="54">
        <f t="shared" si="1779"/>
        <v>1</v>
      </c>
      <c r="O274" s="49">
        <f t="shared" ref="O274:P274" si="1900">SUM(K274,M274)</f>
        <v>2</v>
      </c>
      <c r="P274" s="50">
        <f t="shared" si="1900"/>
        <v>2</v>
      </c>
      <c r="Q274" s="73">
        <f t="shared" si="1781"/>
        <v>1</v>
      </c>
      <c r="R274" s="50">
        <f t="shared" si="1782"/>
        <v>3</v>
      </c>
      <c r="S274" s="53">
        <f t="shared" si="1783"/>
        <v>2</v>
      </c>
      <c r="T274" s="54">
        <f t="shared" si="1784"/>
        <v>4</v>
      </c>
      <c r="U274" s="53">
        <f t="shared" si="1785"/>
        <v>1</v>
      </c>
      <c r="V274" s="54">
        <f t="shared" si="1786"/>
        <v>1</v>
      </c>
      <c r="W274" s="53">
        <f t="shared" si="1787"/>
        <v>2</v>
      </c>
      <c r="X274" s="54">
        <f t="shared" si="1788"/>
        <v>4</v>
      </c>
      <c r="Y274" s="53">
        <f t="shared" si="1789"/>
        <v>0</v>
      </c>
      <c r="Z274" s="54">
        <f t="shared" si="1790"/>
        <v>0</v>
      </c>
      <c r="AA274" s="53">
        <f t="shared" si="1791"/>
        <v>1</v>
      </c>
      <c r="AB274" s="54">
        <f t="shared" si="1792"/>
        <v>3</v>
      </c>
      <c r="AC274" s="49">
        <f t="shared" ref="AC274:AD274" si="1901">SUM(S274,U274,W274,Y274,AA274)</f>
        <v>6</v>
      </c>
      <c r="AD274" s="50">
        <f t="shared" si="1901"/>
        <v>12</v>
      </c>
      <c r="AE274" s="53">
        <f t="shared" si="1794"/>
        <v>1</v>
      </c>
      <c r="AF274" s="54">
        <f t="shared" si="1795"/>
        <v>2</v>
      </c>
      <c r="AG274" s="53">
        <f t="shared" si="1796"/>
        <v>0</v>
      </c>
      <c r="AH274" s="54">
        <f t="shared" si="1797"/>
        <v>0</v>
      </c>
      <c r="AI274" s="53">
        <f t="shared" si="1798"/>
        <v>1</v>
      </c>
      <c r="AJ274" s="54">
        <f t="shared" si="1799"/>
        <v>1</v>
      </c>
      <c r="AK274" s="53">
        <f t="shared" si="1800"/>
        <v>1</v>
      </c>
      <c r="AL274" s="54">
        <f t="shared" si="1801"/>
        <v>1</v>
      </c>
      <c r="AM274" s="53">
        <f t="shared" si="1802"/>
        <v>1</v>
      </c>
      <c r="AN274" s="54">
        <f t="shared" si="1803"/>
        <v>3</v>
      </c>
      <c r="AO274" s="53">
        <f t="shared" si="1804"/>
        <v>1</v>
      </c>
      <c r="AP274" s="54">
        <f t="shared" si="1805"/>
        <v>3</v>
      </c>
      <c r="AQ274" s="49">
        <f t="shared" ref="AQ274:AR274" si="1902">SUM(AG274,AI274,AK274,AM274,AO274)</f>
        <v>4</v>
      </c>
      <c r="AR274" s="50">
        <f t="shared" si="1902"/>
        <v>8</v>
      </c>
      <c r="AS274" s="53">
        <f t="shared" si="1807"/>
        <v>1</v>
      </c>
      <c r="AT274" s="54">
        <f t="shared" si="1808"/>
        <v>3</v>
      </c>
      <c r="AU274" s="53">
        <f t="shared" si="1809"/>
        <v>0</v>
      </c>
      <c r="AV274" s="54">
        <f t="shared" si="1810"/>
        <v>0</v>
      </c>
      <c r="AW274" s="53">
        <f t="shared" si="1811"/>
        <v>1</v>
      </c>
      <c r="AX274" s="54">
        <f t="shared" si="1812"/>
        <v>2</v>
      </c>
      <c r="AY274" s="53">
        <f t="shared" si="1813"/>
        <v>0</v>
      </c>
      <c r="AZ274" s="54">
        <f t="shared" si="1814"/>
        <v>0</v>
      </c>
      <c r="BA274" s="53">
        <f t="shared" si="1815"/>
        <v>1</v>
      </c>
      <c r="BB274" s="54">
        <f t="shared" si="1816"/>
        <v>3</v>
      </c>
      <c r="BC274" s="49">
        <f t="shared" ref="BC274:BD274" si="1903">SUM(AS274,AU274,AW274,AY274,BA274)</f>
        <v>3</v>
      </c>
      <c r="BD274" s="50">
        <f t="shared" si="1903"/>
        <v>8</v>
      </c>
      <c r="BE274" s="68">
        <f t="shared" ref="BE274:BF274" si="1904">SUM(E274,G274,I274,O274,Q274,AC274,AQ274,BC274)</f>
        <v>19</v>
      </c>
      <c r="BF274" s="69">
        <f t="shared" si="1904"/>
        <v>39</v>
      </c>
      <c r="BG274" s="46" t="str">
        <f>BF274*'ОВгП_РАО'!$B$20</f>
        <v>#REF!</v>
      </c>
      <c r="BH274" s="46" t="str">
        <f>'ОВгП_РАО'!$B$20</f>
        <v>#REF!</v>
      </c>
    </row>
    <row r="275" ht="15.75" customHeight="1">
      <c r="A275" s="80">
        <f t="shared" si="1819"/>
        <v>46268</v>
      </c>
      <c r="B275" s="129" t="s">
        <v>141</v>
      </c>
      <c r="C275" s="47" t="s">
        <v>122</v>
      </c>
      <c r="D275" s="47" t="s">
        <v>139</v>
      </c>
      <c r="E275" s="73">
        <f t="shared" si="1770"/>
        <v>1</v>
      </c>
      <c r="F275" s="50">
        <f t="shared" si="1771"/>
        <v>2</v>
      </c>
      <c r="G275" s="73">
        <f t="shared" si="1772"/>
        <v>1</v>
      </c>
      <c r="H275" s="50">
        <f t="shared" si="1773"/>
        <v>3</v>
      </c>
      <c r="I275" s="73">
        <f t="shared" si="1774"/>
        <v>1</v>
      </c>
      <c r="J275" s="50">
        <f t="shared" si="1775"/>
        <v>3</v>
      </c>
      <c r="K275" s="53">
        <f t="shared" si="1776"/>
        <v>1</v>
      </c>
      <c r="L275" s="54">
        <f t="shared" si="1777"/>
        <v>2</v>
      </c>
      <c r="M275" s="53">
        <f t="shared" si="1778"/>
        <v>2</v>
      </c>
      <c r="N275" s="54">
        <f t="shared" si="1779"/>
        <v>4</v>
      </c>
      <c r="O275" s="49">
        <f t="shared" ref="O275:P275" si="1905">SUM(K275,M275)</f>
        <v>3</v>
      </c>
      <c r="P275" s="50">
        <f t="shared" si="1905"/>
        <v>6</v>
      </c>
      <c r="Q275" s="73">
        <f t="shared" si="1781"/>
        <v>0</v>
      </c>
      <c r="R275" s="50">
        <f t="shared" si="1782"/>
        <v>0</v>
      </c>
      <c r="S275" s="53">
        <f t="shared" si="1783"/>
        <v>0</v>
      </c>
      <c r="T275" s="54">
        <f t="shared" si="1784"/>
        <v>0</v>
      </c>
      <c r="U275" s="53">
        <f t="shared" si="1785"/>
        <v>1</v>
      </c>
      <c r="V275" s="54">
        <f t="shared" si="1786"/>
        <v>2</v>
      </c>
      <c r="W275" s="53">
        <f t="shared" si="1787"/>
        <v>0</v>
      </c>
      <c r="X275" s="54">
        <f t="shared" si="1788"/>
        <v>0</v>
      </c>
      <c r="Y275" s="53">
        <f t="shared" si="1789"/>
        <v>2</v>
      </c>
      <c r="Z275" s="54">
        <f t="shared" si="1790"/>
        <v>4</v>
      </c>
      <c r="AA275" s="53">
        <f t="shared" si="1791"/>
        <v>1</v>
      </c>
      <c r="AB275" s="54">
        <f t="shared" si="1792"/>
        <v>1</v>
      </c>
      <c r="AC275" s="49">
        <f t="shared" ref="AC275:AD275" si="1906">SUM(S275,U275,W275,Y275,AA275)</f>
        <v>4</v>
      </c>
      <c r="AD275" s="50">
        <f t="shared" si="1906"/>
        <v>7</v>
      </c>
      <c r="AE275" s="53">
        <f t="shared" si="1794"/>
        <v>1</v>
      </c>
      <c r="AF275" s="54">
        <f t="shared" si="1795"/>
        <v>3</v>
      </c>
      <c r="AG275" s="53">
        <f t="shared" si="1796"/>
        <v>0</v>
      </c>
      <c r="AH275" s="54">
        <f t="shared" si="1797"/>
        <v>0</v>
      </c>
      <c r="AI275" s="53">
        <f t="shared" si="1798"/>
        <v>2</v>
      </c>
      <c r="AJ275" s="54">
        <f t="shared" si="1799"/>
        <v>4</v>
      </c>
      <c r="AK275" s="53">
        <f t="shared" si="1800"/>
        <v>2</v>
      </c>
      <c r="AL275" s="54">
        <f t="shared" si="1801"/>
        <v>4</v>
      </c>
      <c r="AM275" s="53">
        <f t="shared" si="1802"/>
        <v>1</v>
      </c>
      <c r="AN275" s="54">
        <f t="shared" si="1803"/>
        <v>3</v>
      </c>
      <c r="AO275" s="53">
        <f t="shared" si="1804"/>
        <v>1</v>
      </c>
      <c r="AP275" s="54">
        <f t="shared" si="1805"/>
        <v>3</v>
      </c>
      <c r="AQ275" s="49">
        <f t="shared" ref="AQ275:AR275" si="1907">SUM(AG275,AI275,AK275,AM275,AO275)</f>
        <v>6</v>
      </c>
      <c r="AR275" s="50">
        <f t="shared" si="1907"/>
        <v>14</v>
      </c>
      <c r="AS275" s="53">
        <f t="shared" si="1807"/>
        <v>1</v>
      </c>
      <c r="AT275" s="54">
        <f t="shared" si="1808"/>
        <v>3</v>
      </c>
      <c r="AU275" s="53">
        <f t="shared" si="1809"/>
        <v>1</v>
      </c>
      <c r="AV275" s="54">
        <f t="shared" si="1810"/>
        <v>2</v>
      </c>
      <c r="AW275" s="53">
        <f t="shared" si="1811"/>
        <v>1</v>
      </c>
      <c r="AX275" s="54">
        <f t="shared" si="1812"/>
        <v>2</v>
      </c>
      <c r="AY275" s="53">
        <f t="shared" si="1813"/>
        <v>0</v>
      </c>
      <c r="AZ275" s="54">
        <f t="shared" si="1814"/>
        <v>0</v>
      </c>
      <c r="BA275" s="53">
        <f t="shared" si="1815"/>
        <v>2</v>
      </c>
      <c r="BB275" s="54">
        <f t="shared" si="1816"/>
        <v>4</v>
      </c>
      <c r="BC275" s="49">
        <f t="shared" ref="BC275:BD275" si="1908">SUM(AS275,AU275,AW275,AY275,BA275)</f>
        <v>5</v>
      </c>
      <c r="BD275" s="50">
        <f t="shared" si="1908"/>
        <v>11</v>
      </c>
      <c r="BE275" s="68">
        <f t="shared" ref="BE275:BF275" si="1909">SUM(E275,G275,I275,O275,Q275,AC275,AQ275,BC275)</f>
        <v>21</v>
      </c>
      <c r="BF275" s="69">
        <f t="shared" si="1909"/>
        <v>46</v>
      </c>
      <c r="BG275" s="46" t="str">
        <f>BF275*'ОВгП_РАО'!$B$21</f>
        <v>#REF!</v>
      </c>
      <c r="BH275" s="46" t="str">
        <f>'ОВгП_РАО'!$B$21</f>
        <v>#REF!</v>
      </c>
    </row>
    <row r="276" ht="15.75" customHeight="1">
      <c r="A276" s="80">
        <f t="shared" si="1819"/>
        <v>46268</v>
      </c>
      <c r="B276" s="47" t="s">
        <v>142</v>
      </c>
      <c r="C276" s="46" t="s">
        <v>96</v>
      </c>
      <c r="D276" s="47" t="s">
        <v>98</v>
      </c>
      <c r="E276" s="73">
        <f t="shared" si="1770"/>
        <v>0</v>
      </c>
      <c r="F276" s="50">
        <f t="shared" si="1771"/>
        <v>0</v>
      </c>
      <c r="G276" s="73">
        <f t="shared" si="1772"/>
        <v>1</v>
      </c>
      <c r="H276" s="50">
        <f t="shared" si="1773"/>
        <v>3</v>
      </c>
      <c r="I276" s="73">
        <f t="shared" si="1774"/>
        <v>2</v>
      </c>
      <c r="J276" s="50">
        <f t="shared" si="1775"/>
        <v>4</v>
      </c>
      <c r="K276" s="53">
        <f t="shared" si="1776"/>
        <v>2</v>
      </c>
      <c r="L276" s="54">
        <f t="shared" si="1777"/>
        <v>4</v>
      </c>
      <c r="M276" s="53">
        <f t="shared" si="1778"/>
        <v>1</v>
      </c>
      <c r="N276" s="54">
        <f t="shared" si="1779"/>
        <v>3</v>
      </c>
      <c r="O276" s="49">
        <f t="shared" ref="O276:P276" si="1910">SUM(K276,M276)</f>
        <v>3</v>
      </c>
      <c r="P276" s="50">
        <f t="shared" si="1910"/>
        <v>7</v>
      </c>
      <c r="Q276" s="73">
        <f t="shared" si="1781"/>
        <v>1</v>
      </c>
      <c r="R276" s="50">
        <f t="shared" si="1782"/>
        <v>1</v>
      </c>
      <c r="S276" s="53">
        <f t="shared" si="1783"/>
        <v>1</v>
      </c>
      <c r="T276" s="54">
        <f t="shared" si="1784"/>
        <v>2</v>
      </c>
      <c r="U276" s="53">
        <f t="shared" si="1785"/>
        <v>1</v>
      </c>
      <c r="V276" s="54">
        <f t="shared" si="1786"/>
        <v>1</v>
      </c>
      <c r="W276" s="53">
        <f t="shared" si="1787"/>
        <v>0</v>
      </c>
      <c r="X276" s="54">
        <f t="shared" si="1788"/>
        <v>0</v>
      </c>
      <c r="Y276" s="53">
        <f t="shared" si="1789"/>
        <v>1</v>
      </c>
      <c r="Z276" s="54">
        <f t="shared" si="1790"/>
        <v>3</v>
      </c>
      <c r="AA276" s="53">
        <f t="shared" si="1791"/>
        <v>1</v>
      </c>
      <c r="AB276" s="54">
        <f t="shared" si="1792"/>
        <v>3</v>
      </c>
      <c r="AC276" s="49">
        <f t="shared" ref="AC276:AD276" si="1911">SUM(S276,U276,W276,Y276,AA276)</f>
        <v>4</v>
      </c>
      <c r="AD276" s="50">
        <f t="shared" si="1911"/>
        <v>9</v>
      </c>
      <c r="AE276" s="53">
        <f t="shared" si="1794"/>
        <v>1</v>
      </c>
      <c r="AF276" s="54">
        <f t="shared" si="1795"/>
        <v>1</v>
      </c>
      <c r="AG276" s="53">
        <f t="shared" si="1796"/>
        <v>1</v>
      </c>
      <c r="AH276" s="54">
        <f t="shared" si="1797"/>
        <v>3</v>
      </c>
      <c r="AI276" s="53">
        <f t="shared" si="1798"/>
        <v>1</v>
      </c>
      <c r="AJ276" s="54">
        <f t="shared" si="1799"/>
        <v>1</v>
      </c>
      <c r="AK276" s="53">
        <f t="shared" si="1800"/>
        <v>1</v>
      </c>
      <c r="AL276" s="54">
        <f t="shared" si="1801"/>
        <v>3</v>
      </c>
      <c r="AM276" s="53">
        <f t="shared" si="1802"/>
        <v>2</v>
      </c>
      <c r="AN276" s="54">
        <f t="shared" si="1803"/>
        <v>4</v>
      </c>
      <c r="AO276" s="53">
        <f t="shared" si="1804"/>
        <v>1</v>
      </c>
      <c r="AP276" s="54">
        <f t="shared" si="1805"/>
        <v>2</v>
      </c>
      <c r="AQ276" s="49">
        <f t="shared" ref="AQ276:AR276" si="1912">SUM(AG276,AI276,AK276,AM276,AO276)</f>
        <v>6</v>
      </c>
      <c r="AR276" s="50">
        <f t="shared" si="1912"/>
        <v>13</v>
      </c>
      <c r="AS276" s="53">
        <f t="shared" si="1807"/>
        <v>1</v>
      </c>
      <c r="AT276" s="54">
        <f t="shared" si="1808"/>
        <v>1</v>
      </c>
      <c r="AU276" s="53">
        <f t="shared" si="1809"/>
        <v>1</v>
      </c>
      <c r="AV276" s="54">
        <f t="shared" si="1810"/>
        <v>2</v>
      </c>
      <c r="AW276" s="53">
        <f t="shared" si="1811"/>
        <v>1</v>
      </c>
      <c r="AX276" s="54">
        <f t="shared" si="1812"/>
        <v>2</v>
      </c>
      <c r="AY276" s="53">
        <f t="shared" si="1813"/>
        <v>0</v>
      </c>
      <c r="AZ276" s="54">
        <f t="shared" si="1814"/>
        <v>0</v>
      </c>
      <c r="BA276" s="53">
        <f t="shared" si="1815"/>
        <v>2</v>
      </c>
      <c r="BB276" s="54">
        <f t="shared" si="1816"/>
        <v>4</v>
      </c>
      <c r="BC276" s="49">
        <f t="shared" ref="BC276:BD276" si="1913">SUM(AS276,AU276,AW276,AY276,BA276)</f>
        <v>5</v>
      </c>
      <c r="BD276" s="50">
        <f t="shared" si="1913"/>
        <v>9</v>
      </c>
      <c r="BE276" s="68">
        <f t="shared" ref="BE276:BF276" si="1914">SUM(E276,G276,I276,O276,Q276,AC276,AQ276,BC276)</f>
        <v>22</v>
      </c>
      <c r="BF276" s="69">
        <f t="shared" si="1914"/>
        <v>46</v>
      </c>
      <c r="BG276" s="46" t="str">
        <f>BF276*'ОВгП_РАО'!$B$22</f>
        <v>#REF!</v>
      </c>
      <c r="BH276" s="46" t="str">
        <f>'ОВгП_РАО'!$B$22</f>
        <v>#REF!</v>
      </c>
    </row>
    <row r="277" ht="15.75" customHeight="1">
      <c r="A277" s="80">
        <f t="shared" si="1819"/>
        <v>46268</v>
      </c>
      <c r="B277" s="47" t="s">
        <v>143</v>
      </c>
      <c r="C277" s="46" t="s">
        <v>96</v>
      </c>
      <c r="D277" s="47" t="s">
        <v>98</v>
      </c>
      <c r="E277" s="73">
        <f t="shared" si="1770"/>
        <v>0</v>
      </c>
      <c r="F277" s="50">
        <f t="shared" si="1771"/>
        <v>0</v>
      </c>
      <c r="G277" s="73">
        <f t="shared" si="1772"/>
        <v>0</v>
      </c>
      <c r="H277" s="50">
        <f t="shared" si="1773"/>
        <v>0</v>
      </c>
      <c r="I277" s="73">
        <f t="shared" si="1774"/>
        <v>0</v>
      </c>
      <c r="J277" s="50">
        <f t="shared" si="1775"/>
        <v>0</v>
      </c>
      <c r="K277" s="53">
        <f t="shared" si="1776"/>
        <v>1</v>
      </c>
      <c r="L277" s="54">
        <f t="shared" si="1777"/>
        <v>1</v>
      </c>
      <c r="M277" s="53">
        <f t="shared" si="1778"/>
        <v>1</v>
      </c>
      <c r="N277" s="54">
        <f t="shared" si="1779"/>
        <v>3</v>
      </c>
      <c r="O277" s="49">
        <f t="shared" ref="O277:P277" si="1915">SUM(K277,M277)</f>
        <v>2</v>
      </c>
      <c r="P277" s="50">
        <f t="shared" si="1915"/>
        <v>4</v>
      </c>
      <c r="Q277" s="73">
        <f t="shared" si="1781"/>
        <v>1</v>
      </c>
      <c r="R277" s="50">
        <f t="shared" si="1782"/>
        <v>2</v>
      </c>
      <c r="S277" s="53">
        <f t="shared" si="1783"/>
        <v>1</v>
      </c>
      <c r="T277" s="54">
        <f t="shared" si="1784"/>
        <v>3</v>
      </c>
      <c r="U277" s="53">
        <f t="shared" si="1785"/>
        <v>2</v>
      </c>
      <c r="V277" s="54">
        <f t="shared" si="1786"/>
        <v>4</v>
      </c>
      <c r="W277" s="53">
        <f t="shared" si="1787"/>
        <v>1</v>
      </c>
      <c r="X277" s="54">
        <f t="shared" si="1788"/>
        <v>3</v>
      </c>
      <c r="Y277" s="53">
        <f t="shared" si="1789"/>
        <v>2</v>
      </c>
      <c r="Z277" s="54">
        <f t="shared" si="1790"/>
        <v>4</v>
      </c>
      <c r="AA277" s="53">
        <f t="shared" si="1791"/>
        <v>2</v>
      </c>
      <c r="AB277" s="54">
        <f t="shared" si="1792"/>
        <v>4</v>
      </c>
      <c r="AC277" s="49">
        <f t="shared" ref="AC277:AD277" si="1916">SUM(S277,U277,W277,Y277,AA277)</f>
        <v>8</v>
      </c>
      <c r="AD277" s="50">
        <f t="shared" si="1916"/>
        <v>18</v>
      </c>
      <c r="AE277" s="53">
        <f t="shared" si="1794"/>
        <v>1</v>
      </c>
      <c r="AF277" s="54">
        <f t="shared" si="1795"/>
        <v>2</v>
      </c>
      <c r="AG277" s="53">
        <f t="shared" si="1796"/>
        <v>1</v>
      </c>
      <c r="AH277" s="54">
        <f t="shared" si="1797"/>
        <v>1</v>
      </c>
      <c r="AI277" s="53">
        <f t="shared" si="1798"/>
        <v>1</v>
      </c>
      <c r="AJ277" s="54">
        <f t="shared" si="1799"/>
        <v>1</v>
      </c>
      <c r="AK277" s="53">
        <f t="shared" si="1800"/>
        <v>1</v>
      </c>
      <c r="AL277" s="54">
        <f t="shared" si="1801"/>
        <v>1</v>
      </c>
      <c r="AM277" s="53">
        <f t="shared" si="1802"/>
        <v>1</v>
      </c>
      <c r="AN277" s="54">
        <f t="shared" si="1803"/>
        <v>1</v>
      </c>
      <c r="AO277" s="53">
        <f t="shared" si="1804"/>
        <v>1</v>
      </c>
      <c r="AP277" s="54">
        <f t="shared" si="1805"/>
        <v>3</v>
      </c>
      <c r="AQ277" s="49">
        <f t="shared" ref="AQ277:AR277" si="1917">SUM(AG277,AI277,AK277,AM277,AO277)</f>
        <v>5</v>
      </c>
      <c r="AR277" s="50">
        <f t="shared" si="1917"/>
        <v>7</v>
      </c>
      <c r="AS277" s="53">
        <f t="shared" si="1807"/>
        <v>0</v>
      </c>
      <c r="AT277" s="54">
        <f t="shared" si="1808"/>
        <v>0</v>
      </c>
      <c r="AU277" s="53">
        <f t="shared" si="1809"/>
        <v>2</v>
      </c>
      <c r="AV277" s="54">
        <f t="shared" si="1810"/>
        <v>4</v>
      </c>
      <c r="AW277" s="53">
        <f t="shared" si="1811"/>
        <v>1</v>
      </c>
      <c r="AX277" s="54">
        <f t="shared" si="1812"/>
        <v>3</v>
      </c>
      <c r="AY277" s="53">
        <f t="shared" si="1813"/>
        <v>1</v>
      </c>
      <c r="AZ277" s="54">
        <f t="shared" si="1814"/>
        <v>2</v>
      </c>
      <c r="BA277" s="53">
        <f t="shared" si="1815"/>
        <v>2</v>
      </c>
      <c r="BB277" s="54">
        <f t="shared" si="1816"/>
        <v>4</v>
      </c>
      <c r="BC277" s="49">
        <f t="shared" ref="BC277:BD277" si="1918">SUM(AS277,AU277,AW277,AY277,BA277)</f>
        <v>6</v>
      </c>
      <c r="BD277" s="50">
        <f t="shared" si="1918"/>
        <v>13</v>
      </c>
      <c r="BE277" s="68">
        <f t="shared" ref="BE277:BF277" si="1919">SUM(E277,G277,I277,O277,Q277,AC277,AQ277,BC277)</f>
        <v>22</v>
      </c>
      <c r="BF277" s="69">
        <f t="shared" si="1919"/>
        <v>44</v>
      </c>
      <c r="BG277" s="46" t="str">
        <f>BF277*'ОВгП_РАО'!$B$23</f>
        <v>#REF!</v>
      </c>
      <c r="BH277" s="46" t="str">
        <f>'ОВгП_РАО'!$B$23</f>
        <v>#REF!</v>
      </c>
    </row>
    <row r="278" ht="15.75" customHeight="1">
      <c r="A278" s="80">
        <f t="shared" si="1819"/>
        <v>46268</v>
      </c>
      <c r="B278" s="47" t="s">
        <v>144</v>
      </c>
      <c r="C278" s="46" t="s">
        <v>96</v>
      </c>
      <c r="D278" s="47" t="s">
        <v>145</v>
      </c>
      <c r="E278" s="73">
        <f t="shared" si="1770"/>
        <v>1</v>
      </c>
      <c r="F278" s="50">
        <f t="shared" si="1771"/>
        <v>1</v>
      </c>
      <c r="G278" s="73">
        <f t="shared" si="1772"/>
        <v>1</v>
      </c>
      <c r="H278" s="50">
        <f t="shared" si="1773"/>
        <v>1</v>
      </c>
      <c r="I278" s="73">
        <f t="shared" si="1774"/>
        <v>2</v>
      </c>
      <c r="J278" s="50">
        <f t="shared" si="1775"/>
        <v>4</v>
      </c>
      <c r="K278" s="53">
        <f t="shared" si="1776"/>
        <v>1</v>
      </c>
      <c r="L278" s="54">
        <f t="shared" si="1777"/>
        <v>1</v>
      </c>
      <c r="M278" s="53">
        <f t="shared" si="1778"/>
        <v>1</v>
      </c>
      <c r="N278" s="54">
        <f t="shared" si="1779"/>
        <v>1</v>
      </c>
      <c r="O278" s="49">
        <f t="shared" ref="O278:P278" si="1920">SUM(K278,M278)</f>
        <v>2</v>
      </c>
      <c r="P278" s="50">
        <f t="shared" si="1920"/>
        <v>2</v>
      </c>
      <c r="Q278" s="73">
        <f t="shared" si="1781"/>
        <v>2</v>
      </c>
      <c r="R278" s="50">
        <f t="shared" si="1782"/>
        <v>4</v>
      </c>
      <c r="S278" s="53">
        <f t="shared" si="1783"/>
        <v>2</v>
      </c>
      <c r="T278" s="54">
        <f t="shared" si="1784"/>
        <v>4</v>
      </c>
      <c r="U278" s="53">
        <f t="shared" si="1785"/>
        <v>1</v>
      </c>
      <c r="V278" s="54">
        <f t="shared" si="1786"/>
        <v>1</v>
      </c>
      <c r="W278" s="53">
        <f t="shared" si="1787"/>
        <v>1</v>
      </c>
      <c r="X278" s="54">
        <f t="shared" si="1788"/>
        <v>2</v>
      </c>
      <c r="Y278" s="53">
        <f t="shared" si="1789"/>
        <v>1</v>
      </c>
      <c r="Z278" s="54">
        <f t="shared" si="1790"/>
        <v>3</v>
      </c>
      <c r="AA278" s="53">
        <f t="shared" si="1791"/>
        <v>0</v>
      </c>
      <c r="AB278" s="54">
        <f t="shared" si="1792"/>
        <v>0</v>
      </c>
      <c r="AC278" s="49">
        <f t="shared" ref="AC278:AD278" si="1921">SUM(S278,U278,W278,Y278,AA278)</f>
        <v>5</v>
      </c>
      <c r="AD278" s="50">
        <f t="shared" si="1921"/>
        <v>10</v>
      </c>
      <c r="AE278" s="53">
        <f t="shared" si="1794"/>
        <v>0</v>
      </c>
      <c r="AF278" s="54">
        <f t="shared" si="1795"/>
        <v>0</v>
      </c>
      <c r="AG278" s="53">
        <f t="shared" si="1796"/>
        <v>1</v>
      </c>
      <c r="AH278" s="54">
        <f t="shared" si="1797"/>
        <v>2</v>
      </c>
      <c r="AI278" s="53">
        <f t="shared" si="1798"/>
        <v>0</v>
      </c>
      <c r="AJ278" s="54">
        <f t="shared" si="1799"/>
        <v>0</v>
      </c>
      <c r="AK278" s="53">
        <f t="shared" si="1800"/>
        <v>1</v>
      </c>
      <c r="AL278" s="54">
        <f t="shared" si="1801"/>
        <v>3</v>
      </c>
      <c r="AM278" s="53">
        <f t="shared" si="1802"/>
        <v>1</v>
      </c>
      <c r="AN278" s="54">
        <f t="shared" si="1803"/>
        <v>2</v>
      </c>
      <c r="AO278" s="53">
        <f t="shared" si="1804"/>
        <v>2</v>
      </c>
      <c r="AP278" s="54">
        <f t="shared" si="1805"/>
        <v>4</v>
      </c>
      <c r="AQ278" s="49">
        <f t="shared" ref="AQ278:AR278" si="1922">SUM(AG278,AI278,AK278,AM278,AO278)</f>
        <v>5</v>
      </c>
      <c r="AR278" s="50">
        <f t="shared" si="1922"/>
        <v>11</v>
      </c>
      <c r="AS278" s="53">
        <f t="shared" si="1807"/>
        <v>0</v>
      </c>
      <c r="AT278" s="54">
        <f t="shared" si="1808"/>
        <v>0</v>
      </c>
      <c r="AU278" s="53">
        <f t="shared" si="1809"/>
        <v>1</v>
      </c>
      <c r="AV278" s="54">
        <f t="shared" si="1810"/>
        <v>1</v>
      </c>
      <c r="AW278" s="53">
        <f t="shared" si="1811"/>
        <v>2</v>
      </c>
      <c r="AX278" s="54">
        <f t="shared" si="1812"/>
        <v>4</v>
      </c>
      <c r="AY278" s="53">
        <f t="shared" si="1813"/>
        <v>1</v>
      </c>
      <c r="AZ278" s="54">
        <f t="shared" si="1814"/>
        <v>1</v>
      </c>
      <c r="BA278" s="53">
        <f t="shared" si="1815"/>
        <v>1</v>
      </c>
      <c r="BB278" s="54">
        <f t="shared" si="1816"/>
        <v>1</v>
      </c>
      <c r="BC278" s="49">
        <f t="shared" ref="BC278:BD278" si="1923">SUM(AS278,AU278,AW278,AY278,BA278)</f>
        <v>5</v>
      </c>
      <c r="BD278" s="50">
        <f t="shared" si="1923"/>
        <v>7</v>
      </c>
      <c r="BE278" s="68">
        <f t="shared" ref="BE278:BF278" si="1924">SUM(E278,G278,I278,O278,Q278,AC278,AQ278,BC278)</f>
        <v>23</v>
      </c>
      <c r="BF278" s="69">
        <f t="shared" si="1924"/>
        <v>40</v>
      </c>
      <c r="BG278" s="46" t="str">
        <f>BF278*'ОВгП_РАО'!$B$24</f>
        <v>#REF!</v>
      </c>
      <c r="BH278" s="46" t="str">
        <f>'ОВгП_РАО'!$B$24</f>
        <v>#REF!</v>
      </c>
    </row>
    <row r="279" ht="15.75" customHeight="1">
      <c r="A279" s="80">
        <f t="shared" si="1819"/>
        <v>46268</v>
      </c>
      <c r="B279" s="47" t="s">
        <v>146</v>
      </c>
      <c r="C279" s="46" t="s">
        <v>96</v>
      </c>
      <c r="D279" s="47" t="s">
        <v>145</v>
      </c>
      <c r="E279" s="73">
        <f t="shared" si="1770"/>
        <v>2</v>
      </c>
      <c r="F279" s="50">
        <f t="shared" si="1771"/>
        <v>4</v>
      </c>
      <c r="G279" s="73">
        <f t="shared" si="1772"/>
        <v>0</v>
      </c>
      <c r="H279" s="50">
        <f t="shared" si="1773"/>
        <v>0</v>
      </c>
      <c r="I279" s="73">
        <f t="shared" si="1774"/>
        <v>2</v>
      </c>
      <c r="J279" s="50">
        <f t="shared" si="1775"/>
        <v>4</v>
      </c>
      <c r="K279" s="53">
        <f t="shared" si="1776"/>
        <v>1</v>
      </c>
      <c r="L279" s="54">
        <f t="shared" si="1777"/>
        <v>3</v>
      </c>
      <c r="M279" s="53">
        <f t="shared" si="1778"/>
        <v>0</v>
      </c>
      <c r="N279" s="54">
        <f t="shared" si="1779"/>
        <v>0</v>
      </c>
      <c r="O279" s="49">
        <f t="shared" ref="O279:P279" si="1925">SUM(K279,M279)</f>
        <v>1</v>
      </c>
      <c r="P279" s="50">
        <f t="shared" si="1925"/>
        <v>3</v>
      </c>
      <c r="Q279" s="73">
        <f t="shared" si="1781"/>
        <v>1</v>
      </c>
      <c r="R279" s="50">
        <f t="shared" si="1782"/>
        <v>3</v>
      </c>
      <c r="S279" s="53">
        <f t="shared" si="1783"/>
        <v>1</v>
      </c>
      <c r="T279" s="54">
        <f t="shared" si="1784"/>
        <v>3</v>
      </c>
      <c r="U279" s="53">
        <f t="shared" si="1785"/>
        <v>1</v>
      </c>
      <c r="V279" s="54">
        <f t="shared" si="1786"/>
        <v>3</v>
      </c>
      <c r="W279" s="53">
        <f t="shared" si="1787"/>
        <v>1</v>
      </c>
      <c r="X279" s="54">
        <f t="shared" si="1788"/>
        <v>3</v>
      </c>
      <c r="Y279" s="53">
        <f t="shared" si="1789"/>
        <v>1</v>
      </c>
      <c r="Z279" s="54">
        <f t="shared" si="1790"/>
        <v>2</v>
      </c>
      <c r="AA279" s="53">
        <f t="shared" si="1791"/>
        <v>1</v>
      </c>
      <c r="AB279" s="54">
        <f t="shared" si="1792"/>
        <v>1</v>
      </c>
      <c r="AC279" s="49">
        <f t="shared" ref="AC279:AD279" si="1926">SUM(S279,U279,W279,Y279,AA279)</f>
        <v>5</v>
      </c>
      <c r="AD279" s="50">
        <f t="shared" si="1926"/>
        <v>12</v>
      </c>
      <c r="AE279" s="53">
        <f t="shared" si="1794"/>
        <v>1</v>
      </c>
      <c r="AF279" s="54">
        <f t="shared" si="1795"/>
        <v>1</v>
      </c>
      <c r="AG279" s="53">
        <f t="shared" si="1796"/>
        <v>1</v>
      </c>
      <c r="AH279" s="54">
        <f t="shared" si="1797"/>
        <v>3</v>
      </c>
      <c r="AI279" s="53">
        <f t="shared" si="1798"/>
        <v>0</v>
      </c>
      <c r="AJ279" s="54">
        <f t="shared" si="1799"/>
        <v>0</v>
      </c>
      <c r="AK279" s="53">
        <f t="shared" si="1800"/>
        <v>1</v>
      </c>
      <c r="AL279" s="54">
        <f t="shared" si="1801"/>
        <v>3</v>
      </c>
      <c r="AM279" s="53">
        <f t="shared" si="1802"/>
        <v>2</v>
      </c>
      <c r="AN279" s="54">
        <f t="shared" si="1803"/>
        <v>4</v>
      </c>
      <c r="AO279" s="53">
        <f t="shared" si="1804"/>
        <v>2</v>
      </c>
      <c r="AP279" s="54">
        <f t="shared" si="1805"/>
        <v>4</v>
      </c>
      <c r="AQ279" s="49">
        <f t="shared" ref="AQ279:AR279" si="1927">SUM(AG279,AI279,AK279,AM279,AO279)</f>
        <v>6</v>
      </c>
      <c r="AR279" s="50">
        <f t="shared" si="1927"/>
        <v>14</v>
      </c>
      <c r="AS279" s="53">
        <f t="shared" si="1807"/>
        <v>1</v>
      </c>
      <c r="AT279" s="54">
        <f t="shared" si="1808"/>
        <v>2</v>
      </c>
      <c r="AU279" s="53">
        <f t="shared" si="1809"/>
        <v>1</v>
      </c>
      <c r="AV279" s="54">
        <f t="shared" si="1810"/>
        <v>3</v>
      </c>
      <c r="AW279" s="53">
        <f t="shared" si="1811"/>
        <v>1</v>
      </c>
      <c r="AX279" s="54">
        <f t="shared" si="1812"/>
        <v>3</v>
      </c>
      <c r="AY279" s="53">
        <f t="shared" si="1813"/>
        <v>1</v>
      </c>
      <c r="AZ279" s="54">
        <f t="shared" si="1814"/>
        <v>1</v>
      </c>
      <c r="BA279" s="53">
        <f t="shared" si="1815"/>
        <v>1</v>
      </c>
      <c r="BB279" s="54">
        <f t="shared" si="1816"/>
        <v>2</v>
      </c>
      <c r="BC279" s="49">
        <f t="shared" ref="BC279:BD279" si="1928">SUM(AS279,AU279,AW279,AY279,BA279)</f>
        <v>5</v>
      </c>
      <c r="BD279" s="50">
        <f t="shared" si="1928"/>
        <v>11</v>
      </c>
      <c r="BE279" s="68">
        <f t="shared" ref="BE279:BF279" si="1929">SUM(E279,G279,I279,O279,Q279,AC279,AQ279,BC279)</f>
        <v>22</v>
      </c>
      <c r="BF279" s="69">
        <f t="shared" si="1929"/>
        <v>51</v>
      </c>
      <c r="BG279" s="46" t="str">
        <f>BF279*'ОВгП_РАО'!$B$25</f>
        <v>#REF!</v>
      </c>
      <c r="BH279" s="46" t="str">
        <f>'ОВгП_РАО'!$B$25</f>
        <v>#REF!</v>
      </c>
    </row>
    <row r="280" ht="15.75" customHeight="1">
      <c r="A280" s="80">
        <f t="shared" si="1819"/>
        <v>46268</v>
      </c>
      <c r="B280" s="47" t="s">
        <v>147</v>
      </c>
      <c r="C280" s="46" t="s">
        <v>96</v>
      </c>
      <c r="D280" s="47" t="s">
        <v>148</v>
      </c>
      <c r="E280" s="73">
        <f t="shared" si="1770"/>
        <v>1</v>
      </c>
      <c r="F280" s="50">
        <f t="shared" si="1771"/>
        <v>1</v>
      </c>
      <c r="G280" s="73">
        <f t="shared" si="1772"/>
        <v>1</v>
      </c>
      <c r="H280" s="50">
        <f t="shared" si="1773"/>
        <v>3</v>
      </c>
      <c r="I280" s="73">
        <f t="shared" si="1774"/>
        <v>1</v>
      </c>
      <c r="J280" s="50">
        <f t="shared" si="1775"/>
        <v>1</v>
      </c>
      <c r="K280" s="53">
        <f t="shared" si="1776"/>
        <v>1</v>
      </c>
      <c r="L280" s="54">
        <f t="shared" si="1777"/>
        <v>2</v>
      </c>
      <c r="M280" s="53">
        <f t="shared" si="1778"/>
        <v>0</v>
      </c>
      <c r="N280" s="54">
        <f t="shared" si="1779"/>
        <v>0</v>
      </c>
      <c r="O280" s="49">
        <f t="shared" ref="O280:P280" si="1930">SUM(K280,M280)</f>
        <v>1</v>
      </c>
      <c r="P280" s="50">
        <f t="shared" si="1930"/>
        <v>2</v>
      </c>
      <c r="Q280" s="73">
        <f t="shared" si="1781"/>
        <v>0</v>
      </c>
      <c r="R280" s="50">
        <f t="shared" si="1782"/>
        <v>0</v>
      </c>
      <c r="S280" s="53">
        <f t="shared" si="1783"/>
        <v>0</v>
      </c>
      <c r="T280" s="54">
        <f t="shared" si="1784"/>
        <v>0</v>
      </c>
      <c r="U280" s="53">
        <f t="shared" si="1785"/>
        <v>0</v>
      </c>
      <c r="V280" s="54">
        <f t="shared" si="1786"/>
        <v>0</v>
      </c>
      <c r="W280" s="53">
        <f t="shared" si="1787"/>
        <v>2</v>
      </c>
      <c r="X280" s="54">
        <f t="shared" si="1788"/>
        <v>4</v>
      </c>
      <c r="Y280" s="53">
        <f t="shared" si="1789"/>
        <v>1</v>
      </c>
      <c r="Z280" s="54">
        <f t="shared" si="1790"/>
        <v>2</v>
      </c>
      <c r="AA280" s="53">
        <f t="shared" si="1791"/>
        <v>1</v>
      </c>
      <c r="AB280" s="54">
        <f t="shared" si="1792"/>
        <v>1</v>
      </c>
      <c r="AC280" s="49">
        <f t="shared" ref="AC280:AD280" si="1931">SUM(S280,U280,W280,Y280,AA280)</f>
        <v>4</v>
      </c>
      <c r="AD280" s="50">
        <f t="shared" si="1931"/>
        <v>7</v>
      </c>
      <c r="AE280" s="53">
        <f t="shared" si="1794"/>
        <v>0</v>
      </c>
      <c r="AF280" s="54">
        <f t="shared" si="1795"/>
        <v>0</v>
      </c>
      <c r="AG280" s="53">
        <f t="shared" si="1796"/>
        <v>0</v>
      </c>
      <c r="AH280" s="54">
        <f t="shared" si="1797"/>
        <v>0</v>
      </c>
      <c r="AI280" s="53">
        <f t="shared" si="1798"/>
        <v>0</v>
      </c>
      <c r="AJ280" s="54">
        <f t="shared" si="1799"/>
        <v>0</v>
      </c>
      <c r="AK280" s="53">
        <f t="shared" si="1800"/>
        <v>1</v>
      </c>
      <c r="AL280" s="54">
        <f t="shared" si="1801"/>
        <v>1</v>
      </c>
      <c r="AM280" s="53">
        <f t="shared" si="1802"/>
        <v>0</v>
      </c>
      <c r="AN280" s="54">
        <f t="shared" si="1803"/>
        <v>0</v>
      </c>
      <c r="AO280" s="53">
        <f t="shared" si="1804"/>
        <v>1</v>
      </c>
      <c r="AP280" s="54">
        <f t="shared" si="1805"/>
        <v>2</v>
      </c>
      <c r="AQ280" s="49">
        <f t="shared" ref="AQ280:AR280" si="1932">SUM(AG280,AI280,AK280,AM280,AO280)</f>
        <v>2</v>
      </c>
      <c r="AR280" s="50">
        <f t="shared" si="1932"/>
        <v>3</v>
      </c>
      <c r="AS280" s="53">
        <f t="shared" si="1807"/>
        <v>2</v>
      </c>
      <c r="AT280" s="54">
        <f t="shared" si="1808"/>
        <v>4</v>
      </c>
      <c r="AU280" s="53">
        <f t="shared" si="1809"/>
        <v>0</v>
      </c>
      <c r="AV280" s="54">
        <f t="shared" si="1810"/>
        <v>0</v>
      </c>
      <c r="AW280" s="53">
        <f t="shared" si="1811"/>
        <v>1</v>
      </c>
      <c r="AX280" s="54">
        <f t="shared" si="1812"/>
        <v>3</v>
      </c>
      <c r="AY280" s="53">
        <f t="shared" si="1813"/>
        <v>2</v>
      </c>
      <c r="AZ280" s="54">
        <f t="shared" si="1814"/>
        <v>4</v>
      </c>
      <c r="BA280" s="53">
        <f t="shared" si="1815"/>
        <v>1</v>
      </c>
      <c r="BB280" s="54">
        <f t="shared" si="1816"/>
        <v>2</v>
      </c>
      <c r="BC280" s="49">
        <f t="shared" ref="BC280:BD280" si="1933">SUM(AS280,AU280,AW280,AY280,BA280)</f>
        <v>6</v>
      </c>
      <c r="BD280" s="50">
        <f t="shared" si="1933"/>
        <v>13</v>
      </c>
      <c r="BE280" s="68">
        <f t="shared" ref="BE280:BF280" si="1934">SUM(E280,G280,I280,O280,Q280,AC280,AQ280,BC280)</f>
        <v>16</v>
      </c>
      <c r="BF280" s="69">
        <f t="shared" si="1934"/>
        <v>30</v>
      </c>
      <c r="BG280" s="46" t="str">
        <f>BF280*'ОВгП_РАО'!$B$26</f>
        <v>#REF!</v>
      </c>
      <c r="BH280" s="46" t="str">
        <f>'ОВгП_РАО'!$B$26</f>
        <v>#REF!</v>
      </c>
    </row>
    <row r="281" ht="15.75" customHeight="1">
      <c r="A281" s="80">
        <f t="shared" si="1819"/>
        <v>46268</v>
      </c>
      <c r="B281" s="47" t="s">
        <v>149</v>
      </c>
      <c r="C281" s="47" t="s">
        <v>122</v>
      </c>
      <c r="D281" s="47" t="s">
        <v>150</v>
      </c>
      <c r="E281" s="73">
        <f t="shared" si="1770"/>
        <v>0</v>
      </c>
      <c r="F281" s="50">
        <f t="shared" si="1771"/>
        <v>0</v>
      </c>
      <c r="G281" s="73">
        <f t="shared" si="1772"/>
        <v>1</v>
      </c>
      <c r="H281" s="50">
        <f t="shared" si="1773"/>
        <v>3</v>
      </c>
      <c r="I281" s="73">
        <f t="shared" si="1774"/>
        <v>1</v>
      </c>
      <c r="J281" s="50">
        <f t="shared" si="1775"/>
        <v>3</v>
      </c>
      <c r="K281" s="53">
        <f t="shared" si="1776"/>
        <v>1</v>
      </c>
      <c r="L281" s="54">
        <f t="shared" si="1777"/>
        <v>2</v>
      </c>
      <c r="M281" s="53">
        <f t="shared" si="1778"/>
        <v>0</v>
      </c>
      <c r="N281" s="54">
        <f t="shared" si="1779"/>
        <v>0</v>
      </c>
      <c r="O281" s="49">
        <f t="shared" ref="O281:P281" si="1935">SUM(K281,M281)</f>
        <v>1</v>
      </c>
      <c r="P281" s="50">
        <f t="shared" si="1935"/>
        <v>2</v>
      </c>
      <c r="Q281" s="73">
        <f t="shared" si="1781"/>
        <v>2</v>
      </c>
      <c r="R281" s="50">
        <f t="shared" si="1782"/>
        <v>4</v>
      </c>
      <c r="S281" s="53">
        <f t="shared" si="1783"/>
        <v>1</v>
      </c>
      <c r="T281" s="54">
        <f t="shared" si="1784"/>
        <v>1</v>
      </c>
      <c r="U281" s="53">
        <f t="shared" si="1785"/>
        <v>1</v>
      </c>
      <c r="V281" s="54">
        <f t="shared" si="1786"/>
        <v>1</v>
      </c>
      <c r="W281" s="53">
        <f t="shared" si="1787"/>
        <v>0</v>
      </c>
      <c r="X281" s="54">
        <f t="shared" si="1788"/>
        <v>0</v>
      </c>
      <c r="Y281" s="53">
        <f t="shared" si="1789"/>
        <v>2</v>
      </c>
      <c r="Z281" s="54">
        <f t="shared" si="1790"/>
        <v>4</v>
      </c>
      <c r="AA281" s="53">
        <f t="shared" si="1791"/>
        <v>0</v>
      </c>
      <c r="AB281" s="54">
        <f t="shared" si="1792"/>
        <v>0</v>
      </c>
      <c r="AC281" s="49">
        <f t="shared" ref="AC281:AD281" si="1936">SUM(S281,U281,W281,Y281,AA281)</f>
        <v>4</v>
      </c>
      <c r="AD281" s="50">
        <f t="shared" si="1936"/>
        <v>6</v>
      </c>
      <c r="AE281" s="53">
        <f t="shared" si="1794"/>
        <v>0</v>
      </c>
      <c r="AF281" s="54">
        <f t="shared" si="1795"/>
        <v>0</v>
      </c>
      <c r="AG281" s="53">
        <f t="shared" si="1796"/>
        <v>0</v>
      </c>
      <c r="AH281" s="54">
        <f t="shared" si="1797"/>
        <v>0</v>
      </c>
      <c r="AI281" s="53">
        <f t="shared" si="1798"/>
        <v>0</v>
      </c>
      <c r="AJ281" s="54">
        <f t="shared" si="1799"/>
        <v>0</v>
      </c>
      <c r="AK281" s="53">
        <f t="shared" si="1800"/>
        <v>0</v>
      </c>
      <c r="AL281" s="54">
        <f t="shared" si="1801"/>
        <v>0</v>
      </c>
      <c r="AM281" s="53">
        <f t="shared" si="1802"/>
        <v>1</v>
      </c>
      <c r="AN281" s="54">
        <f t="shared" si="1803"/>
        <v>1</v>
      </c>
      <c r="AO281" s="53">
        <f t="shared" si="1804"/>
        <v>1</v>
      </c>
      <c r="AP281" s="54">
        <f t="shared" si="1805"/>
        <v>2</v>
      </c>
      <c r="AQ281" s="49">
        <f t="shared" ref="AQ281:AR281" si="1937">SUM(AG281,AI281,AK281,AM281,AO281)</f>
        <v>2</v>
      </c>
      <c r="AR281" s="50">
        <f t="shared" si="1937"/>
        <v>3</v>
      </c>
      <c r="AS281" s="53">
        <f t="shared" si="1807"/>
        <v>1</v>
      </c>
      <c r="AT281" s="54">
        <f t="shared" si="1808"/>
        <v>3</v>
      </c>
      <c r="AU281" s="53">
        <f t="shared" si="1809"/>
        <v>1</v>
      </c>
      <c r="AV281" s="54">
        <f t="shared" si="1810"/>
        <v>2</v>
      </c>
      <c r="AW281" s="53">
        <f t="shared" si="1811"/>
        <v>1</v>
      </c>
      <c r="AX281" s="54">
        <f t="shared" si="1812"/>
        <v>1</v>
      </c>
      <c r="AY281" s="53">
        <f t="shared" si="1813"/>
        <v>2</v>
      </c>
      <c r="AZ281" s="54">
        <f t="shared" si="1814"/>
        <v>4</v>
      </c>
      <c r="BA281" s="53">
        <f t="shared" si="1815"/>
        <v>1</v>
      </c>
      <c r="BB281" s="54">
        <f t="shared" si="1816"/>
        <v>1</v>
      </c>
      <c r="BC281" s="49">
        <f t="shared" ref="BC281:BD281" si="1938">SUM(AS281,AU281,AW281,AY281,BA281)</f>
        <v>6</v>
      </c>
      <c r="BD281" s="50">
        <f t="shared" si="1938"/>
        <v>11</v>
      </c>
      <c r="BE281" s="68">
        <f t="shared" ref="BE281:BF281" si="1939">SUM(E281,G281,I281,O281,Q281,AC281,AQ281,BC281)</f>
        <v>17</v>
      </c>
      <c r="BF281" s="69">
        <f t="shared" si="1939"/>
        <v>32</v>
      </c>
      <c r="BG281" s="46" t="str">
        <f>BF281*'ОВгП_РАО'!$B$27</f>
        <v>#REF!</v>
      </c>
      <c r="BH281" s="46" t="str">
        <f>'ОВгП_РАО'!$B$27</f>
        <v>#REF!</v>
      </c>
    </row>
    <row r="282" ht="15.75" customHeight="1">
      <c r="A282" s="80">
        <f t="shared" si="1819"/>
        <v>46268</v>
      </c>
      <c r="B282" s="47" t="s">
        <v>151</v>
      </c>
      <c r="C282" s="47" t="s">
        <v>122</v>
      </c>
      <c r="D282" s="47" t="s">
        <v>152</v>
      </c>
      <c r="E282" s="73">
        <f t="shared" si="1770"/>
        <v>14</v>
      </c>
      <c r="F282" s="50">
        <f t="shared" ref="F282:F290" si="1945">RANDBETWEEN(0,100)</f>
        <v>42</v>
      </c>
      <c r="G282" s="73">
        <f t="shared" si="1772"/>
        <v>29</v>
      </c>
      <c r="H282" s="50">
        <f t="shared" ref="H282:H290" si="1946">RANDBETWEEN(0,100)</f>
        <v>86</v>
      </c>
      <c r="I282" s="73">
        <f t="shared" si="1774"/>
        <v>2</v>
      </c>
      <c r="J282" s="50">
        <f t="shared" ref="J282:J290" si="1947">RANDBETWEEN(0,100)</f>
        <v>6</v>
      </c>
      <c r="K282" s="53">
        <f t="shared" si="1776"/>
        <v>1</v>
      </c>
      <c r="L282" s="54">
        <f t="shared" ref="L282:L290" si="1948">RANDBETWEEN(0,100)</f>
        <v>1</v>
      </c>
      <c r="M282" s="53">
        <f t="shared" si="1778"/>
        <v>4</v>
      </c>
      <c r="N282" s="54">
        <f t="shared" ref="N282:N290" si="1949">RANDBETWEEN(0,100)</f>
        <v>10</v>
      </c>
      <c r="O282" s="49">
        <f t="shared" ref="O282:P282" si="1940">SUM(K282,M282)</f>
        <v>5</v>
      </c>
      <c r="P282" s="50">
        <f t="shared" si="1940"/>
        <v>11</v>
      </c>
      <c r="Q282" s="73">
        <f t="shared" si="1781"/>
        <v>25</v>
      </c>
      <c r="R282" s="50">
        <f t="shared" ref="R282:R290" si="1951">RANDBETWEEN(0,100)</f>
        <v>73</v>
      </c>
      <c r="S282" s="53">
        <f t="shared" si="1783"/>
        <v>8</v>
      </c>
      <c r="T282" s="54">
        <f t="shared" ref="T282:T290" si="1952">RANDBETWEEN(0,300)</f>
        <v>24</v>
      </c>
      <c r="U282" s="53">
        <f t="shared" si="1785"/>
        <v>81</v>
      </c>
      <c r="V282" s="54">
        <f t="shared" ref="V282:V290" si="1953">RANDBETWEEN(0,300)</f>
        <v>242</v>
      </c>
      <c r="W282" s="53">
        <f t="shared" si="1787"/>
        <v>100</v>
      </c>
      <c r="X282" s="54">
        <f t="shared" ref="X282:X290" si="1954">RANDBETWEEN(0,300)</f>
        <v>298</v>
      </c>
      <c r="Y282" s="53">
        <f t="shared" si="1789"/>
        <v>91</v>
      </c>
      <c r="Z282" s="54">
        <f t="shared" ref="Z282:Z290" si="1955">RANDBETWEEN(0,300)</f>
        <v>271</v>
      </c>
      <c r="AA282" s="53">
        <f t="shared" si="1791"/>
        <v>83</v>
      </c>
      <c r="AB282" s="54">
        <f t="shared" ref="AB282:AB290" si="1956">RANDBETWEEN(0,300)</f>
        <v>249</v>
      </c>
      <c r="AC282" s="49">
        <f t="shared" ref="AC282:AD282" si="1941">SUM(S282,U282,W282,Y282,AA282)</f>
        <v>363</v>
      </c>
      <c r="AD282" s="50">
        <f t="shared" si="1941"/>
        <v>1084</v>
      </c>
      <c r="AE282" s="53">
        <f t="shared" si="1794"/>
        <v>80</v>
      </c>
      <c r="AF282" s="54">
        <f>RANDBETWEEN(100,500)</f>
        <v>238</v>
      </c>
      <c r="AG282" s="53">
        <f t="shared" si="1796"/>
        <v>123</v>
      </c>
      <c r="AH282" s="54">
        <f>RANDBETWEEN(100,500)</f>
        <v>368</v>
      </c>
      <c r="AI282" s="53">
        <f t="shared" si="1798"/>
        <v>108</v>
      </c>
      <c r="AJ282" s="54">
        <f>RANDBETWEEN(100,500)</f>
        <v>323</v>
      </c>
      <c r="AK282" s="53">
        <f t="shared" si="1800"/>
        <v>157</v>
      </c>
      <c r="AL282" s="54">
        <f>RANDBETWEEN(100,500)</f>
        <v>470</v>
      </c>
      <c r="AM282" s="53">
        <f t="shared" si="1802"/>
        <v>84</v>
      </c>
      <c r="AN282" s="54">
        <f>RANDBETWEEN(100,500)</f>
        <v>251</v>
      </c>
      <c r="AO282" s="53">
        <f t="shared" si="1804"/>
        <v>160</v>
      </c>
      <c r="AP282" s="54">
        <f>RANDBETWEEN(100,500)</f>
        <v>478</v>
      </c>
      <c r="AQ282" s="49">
        <f t="shared" ref="AQ282:AR282" si="1942">SUM(AG282,AI282,AK282,AM282,AO282)</f>
        <v>632</v>
      </c>
      <c r="AR282" s="50">
        <f t="shared" si="1942"/>
        <v>1890</v>
      </c>
      <c r="AS282" s="53">
        <f t="shared" si="1807"/>
        <v>82</v>
      </c>
      <c r="AT282" s="54">
        <f>RANDBETWEEN(100,500)</f>
        <v>246</v>
      </c>
      <c r="AU282" s="53">
        <f t="shared" si="1809"/>
        <v>119</v>
      </c>
      <c r="AV282" s="54">
        <f>RANDBETWEEN(100,500)</f>
        <v>355</v>
      </c>
      <c r="AW282" s="53">
        <f t="shared" si="1811"/>
        <v>77</v>
      </c>
      <c r="AX282" s="54">
        <f>RANDBETWEEN(100,500)</f>
        <v>230</v>
      </c>
      <c r="AY282" s="53">
        <f t="shared" si="1813"/>
        <v>66</v>
      </c>
      <c r="AZ282" s="54">
        <f>RANDBETWEEN(100,500)</f>
        <v>196</v>
      </c>
      <c r="BA282" s="53">
        <f t="shared" si="1815"/>
        <v>85</v>
      </c>
      <c r="BB282" s="54">
        <f>RANDBETWEEN(100,500)</f>
        <v>255</v>
      </c>
      <c r="BC282" s="49">
        <f t="shared" ref="BC282:BD282" si="1943">SUM(AS282,AU282,AW282,AY282,BA282)</f>
        <v>429</v>
      </c>
      <c r="BD282" s="50">
        <f t="shared" si="1943"/>
        <v>1282</v>
      </c>
      <c r="BE282" s="68">
        <f t="shared" ref="BE282:BF282" si="1944">SUM(E282,G282,I282,O282,Q282,AC282,AQ282,BC282)</f>
        <v>1499</v>
      </c>
      <c r="BF282" s="69">
        <f t="shared" si="1944"/>
        <v>4474</v>
      </c>
      <c r="BG282" s="46" t="str">
        <f>BF282*'ОВгП_РАО'!$B$28</f>
        <v>#REF!</v>
      </c>
      <c r="BH282" s="46" t="str">
        <f>'ОВгП_РАО'!$B$28</f>
        <v>#REF!</v>
      </c>
    </row>
    <row r="283" ht="15.75" customHeight="1">
      <c r="A283" s="80">
        <f t="shared" si="1819"/>
        <v>46268</v>
      </c>
      <c r="B283" s="47" t="s">
        <v>153</v>
      </c>
      <c r="C283" s="47" t="s">
        <v>122</v>
      </c>
      <c r="D283" s="47" t="s">
        <v>152</v>
      </c>
      <c r="E283" s="73">
        <f t="shared" si="1770"/>
        <v>28</v>
      </c>
      <c r="F283" s="50">
        <f t="shared" si="1945"/>
        <v>82</v>
      </c>
      <c r="G283" s="73">
        <f t="shared" si="1772"/>
        <v>22</v>
      </c>
      <c r="H283" s="50">
        <f t="shared" si="1946"/>
        <v>65</v>
      </c>
      <c r="I283" s="73">
        <f t="shared" si="1774"/>
        <v>18</v>
      </c>
      <c r="J283" s="50">
        <f t="shared" si="1947"/>
        <v>52</v>
      </c>
      <c r="K283" s="53">
        <f t="shared" si="1776"/>
        <v>11</v>
      </c>
      <c r="L283" s="54">
        <f t="shared" si="1948"/>
        <v>31</v>
      </c>
      <c r="M283" s="53">
        <f t="shared" si="1778"/>
        <v>9</v>
      </c>
      <c r="N283" s="54">
        <f t="shared" si="1949"/>
        <v>25</v>
      </c>
      <c r="O283" s="49">
        <f t="shared" ref="O283:P283" si="1950">SUM(K283,M283)</f>
        <v>20</v>
      </c>
      <c r="P283" s="50">
        <f t="shared" si="1950"/>
        <v>56</v>
      </c>
      <c r="Q283" s="73">
        <f t="shared" si="1781"/>
        <v>16</v>
      </c>
      <c r="R283" s="50">
        <f t="shared" si="1951"/>
        <v>47</v>
      </c>
      <c r="S283" s="53">
        <f t="shared" si="1783"/>
        <v>68</v>
      </c>
      <c r="T283" s="54">
        <f t="shared" si="1952"/>
        <v>202</v>
      </c>
      <c r="U283" s="53">
        <f t="shared" si="1785"/>
        <v>65</v>
      </c>
      <c r="V283" s="54">
        <f t="shared" si="1953"/>
        <v>194</v>
      </c>
      <c r="W283" s="53">
        <f t="shared" si="1787"/>
        <v>43</v>
      </c>
      <c r="X283" s="54">
        <f t="shared" si="1954"/>
        <v>127</v>
      </c>
      <c r="Y283" s="53">
        <f t="shared" si="1789"/>
        <v>31</v>
      </c>
      <c r="Z283" s="54">
        <f t="shared" si="1955"/>
        <v>91</v>
      </c>
      <c r="AA283" s="53">
        <f t="shared" si="1791"/>
        <v>36</v>
      </c>
      <c r="AB283" s="54">
        <f t="shared" si="1956"/>
        <v>107</v>
      </c>
      <c r="AC283" s="49">
        <f t="shared" ref="AC283:AD283" si="1957">SUM(S283,U283,W283,Y283,AA283)</f>
        <v>243</v>
      </c>
      <c r="AD283" s="50">
        <f t="shared" si="1957"/>
        <v>721</v>
      </c>
      <c r="AE283" s="53">
        <f t="shared" si="1794"/>
        <v>55</v>
      </c>
      <c r="AF283" s="54">
        <f t="shared" ref="AF283:AF290" si="1963">RANDBETWEEN(0,300)</f>
        <v>164</v>
      </c>
      <c r="AG283" s="53">
        <f t="shared" si="1796"/>
        <v>37</v>
      </c>
      <c r="AH283" s="54">
        <f t="shared" ref="AH283:AH290" si="1964">RANDBETWEEN(0,300)</f>
        <v>110</v>
      </c>
      <c r="AI283" s="53">
        <f t="shared" si="1798"/>
        <v>25</v>
      </c>
      <c r="AJ283" s="54">
        <f t="shared" ref="AJ283:AJ290" si="1965">RANDBETWEEN(0,300)</f>
        <v>75</v>
      </c>
      <c r="AK283" s="53">
        <f t="shared" si="1800"/>
        <v>40</v>
      </c>
      <c r="AL283" s="54">
        <f t="shared" ref="AL283:AL290" si="1966">RANDBETWEEN(0,300)</f>
        <v>120</v>
      </c>
      <c r="AM283" s="53">
        <f t="shared" si="1802"/>
        <v>5</v>
      </c>
      <c r="AN283" s="54">
        <f t="shared" ref="AN283:AN290" si="1967">RANDBETWEEN(0,300)</f>
        <v>13</v>
      </c>
      <c r="AO283" s="53">
        <f t="shared" si="1804"/>
        <v>87</v>
      </c>
      <c r="AP283" s="54">
        <f t="shared" ref="AP283:AP290" si="1968">RANDBETWEEN(0,300)</f>
        <v>260</v>
      </c>
      <c r="AQ283" s="49">
        <f t="shared" ref="AQ283:AR283" si="1958">SUM(AG283,AI283,AK283,AM283,AO283)</f>
        <v>194</v>
      </c>
      <c r="AR283" s="50">
        <f t="shared" si="1958"/>
        <v>578</v>
      </c>
      <c r="AS283" s="53">
        <f t="shared" si="1807"/>
        <v>31</v>
      </c>
      <c r="AT283" s="54">
        <f t="shared" ref="AT283:AT284" si="1970">RANDBETWEEN(0,300)</f>
        <v>92</v>
      </c>
      <c r="AU283" s="53">
        <f t="shared" si="1809"/>
        <v>45</v>
      </c>
      <c r="AV283" s="54">
        <f t="shared" ref="AV283:AV284" si="1971">RANDBETWEEN(0,300)</f>
        <v>133</v>
      </c>
      <c r="AW283" s="53">
        <f t="shared" si="1811"/>
        <v>26</v>
      </c>
      <c r="AX283" s="54">
        <f t="shared" ref="AX283:AX284" si="1972">RANDBETWEEN(0,300)</f>
        <v>78</v>
      </c>
      <c r="AY283" s="53">
        <f t="shared" si="1813"/>
        <v>90</v>
      </c>
      <c r="AZ283" s="54">
        <f t="shared" ref="AZ283:AZ284" si="1973">RANDBETWEEN(0,300)</f>
        <v>268</v>
      </c>
      <c r="BA283" s="53">
        <f t="shared" si="1815"/>
        <v>94</v>
      </c>
      <c r="BB283" s="54">
        <f t="shared" ref="BB283:BB284" si="1974">RANDBETWEEN(0,300)</f>
        <v>281</v>
      </c>
      <c r="BC283" s="49">
        <f t="shared" ref="BC283:BD283" si="1959">SUM(AS283,AU283,AW283,AY283,BA283)</f>
        <v>286</v>
      </c>
      <c r="BD283" s="50">
        <f t="shared" si="1959"/>
        <v>852</v>
      </c>
      <c r="BE283" s="68">
        <f t="shared" ref="BE283:BF283" si="1960">SUM(E283,G283,I283,O283,Q283,AC283,AQ283,BC283)</f>
        <v>827</v>
      </c>
      <c r="BF283" s="69">
        <f t="shared" si="1960"/>
        <v>2453</v>
      </c>
      <c r="BG283" s="46" t="str">
        <f>BF283*'ОВгП_РАО'!$B$29</f>
        <v>#REF!</v>
      </c>
      <c r="BH283" s="46" t="str">
        <f>'ОВгП_РАО'!$B$29</f>
        <v>#REF!</v>
      </c>
    </row>
    <row r="284" ht="15.75" customHeight="1">
      <c r="A284" s="80">
        <f t="shared" si="1819"/>
        <v>46268</v>
      </c>
      <c r="B284" s="47" t="s">
        <v>154</v>
      </c>
      <c r="C284" s="47" t="s">
        <v>122</v>
      </c>
      <c r="D284" s="47" t="s">
        <v>152</v>
      </c>
      <c r="E284" s="73">
        <f t="shared" si="1770"/>
        <v>11</v>
      </c>
      <c r="F284" s="50">
        <f t="shared" si="1945"/>
        <v>31</v>
      </c>
      <c r="G284" s="73">
        <f t="shared" si="1772"/>
        <v>22</v>
      </c>
      <c r="H284" s="50">
        <f t="shared" si="1946"/>
        <v>65</v>
      </c>
      <c r="I284" s="73">
        <f t="shared" si="1774"/>
        <v>23</v>
      </c>
      <c r="J284" s="50">
        <f t="shared" si="1947"/>
        <v>68</v>
      </c>
      <c r="K284" s="53">
        <f t="shared" si="1776"/>
        <v>4</v>
      </c>
      <c r="L284" s="54">
        <f t="shared" si="1948"/>
        <v>11</v>
      </c>
      <c r="M284" s="53">
        <f t="shared" si="1778"/>
        <v>2</v>
      </c>
      <c r="N284" s="54">
        <f t="shared" si="1949"/>
        <v>5</v>
      </c>
      <c r="O284" s="49">
        <f t="shared" ref="O284:P284" si="1961">SUM(K284,M284)</f>
        <v>6</v>
      </c>
      <c r="P284" s="50">
        <f t="shared" si="1961"/>
        <v>16</v>
      </c>
      <c r="Q284" s="73">
        <f t="shared" si="1781"/>
        <v>21</v>
      </c>
      <c r="R284" s="50">
        <f t="shared" si="1951"/>
        <v>61</v>
      </c>
      <c r="S284" s="53">
        <f t="shared" si="1783"/>
        <v>42</v>
      </c>
      <c r="T284" s="54">
        <f t="shared" si="1952"/>
        <v>126</v>
      </c>
      <c r="U284" s="53">
        <f t="shared" si="1785"/>
        <v>8</v>
      </c>
      <c r="V284" s="54">
        <f t="shared" si="1953"/>
        <v>22</v>
      </c>
      <c r="W284" s="53">
        <f t="shared" si="1787"/>
        <v>11</v>
      </c>
      <c r="X284" s="54">
        <f t="shared" si="1954"/>
        <v>33</v>
      </c>
      <c r="Y284" s="53">
        <f t="shared" si="1789"/>
        <v>70</v>
      </c>
      <c r="Z284" s="54">
        <f t="shared" si="1955"/>
        <v>209</v>
      </c>
      <c r="AA284" s="53">
        <f t="shared" si="1791"/>
        <v>51</v>
      </c>
      <c r="AB284" s="54">
        <f t="shared" si="1956"/>
        <v>153</v>
      </c>
      <c r="AC284" s="49">
        <f t="shared" ref="AC284:AD284" si="1962">SUM(S284,U284,W284,Y284,AA284)</f>
        <v>182</v>
      </c>
      <c r="AD284" s="50">
        <f t="shared" si="1962"/>
        <v>543</v>
      </c>
      <c r="AE284" s="53">
        <f t="shared" si="1794"/>
        <v>26</v>
      </c>
      <c r="AF284" s="54">
        <f t="shared" si="1963"/>
        <v>78</v>
      </c>
      <c r="AG284" s="53">
        <f t="shared" si="1796"/>
        <v>31</v>
      </c>
      <c r="AH284" s="54">
        <f t="shared" si="1964"/>
        <v>91</v>
      </c>
      <c r="AI284" s="53">
        <f t="shared" si="1798"/>
        <v>3</v>
      </c>
      <c r="AJ284" s="54">
        <f t="shared" si="1965"/>
        <v>7</v>
      </c>
      <c r="AK284" s="53">
        <f t="shared" si="1800"/>
        <v>72</v>
      </c>
      <c r="AL284" s="54">
        <f t="shared" si="1966"/>
        <v>215</v>
      </c>
      <c r="AM284" s="53">
        <f t="shared" si="1802"/>
        <v>55</v>
      </c>
      <c r="AN284" s="54">
        <f t="shared" si="1967"/>
        <v>163</v>
      </c>
      <c r="AO284" s="53">
        <f t="shared" si="1804"/>
        <v>15</v>
      </c>
      <c r="AP284" s="54">
        <f t="shared" si="1968"/>
        <v>43</v>
      </c>
      <c r="AQ284" s="49">
        <f t="shared" ref="AQ284:AR284" si="1969">SUM(AG284,AI284,AK284,AM284,AO284)</f>
        <v>176</v>
      </c>
      <c r="AR284" s="50">
        <f t="shared" si="1969"/>
        <v>519</v>
      </c>
      <c r="AS284" s="53">
        <f t="shared" si="1807"/>
        <v>17</v>
      </c>
      <c r="AT284" s="54">
        <f t="shared" si="1970"/>
        <v>50</v>
      </c>
      <c r="AU284" s="53">
        <f t="shared" si="1809"/>
        <v>43</v>
      </c>
      <c r="AV284" s="54">
        <f t="shared" si="1971"/>
        <v>128</v>
      </c>
      <c r="AW284" s="53">
        <f t="shared" si="1811"/>
        <v>32</v>
      </c>
      <c r="AX284" s="54">
        <f t="shared" si="1972"/>
        <v>96</v>
      </c>
      <c r="AY284" s="53">
        <f t="shared" si="1813"/>
        <v>21</v>
      </c>
      <c r="AZ284" s="54">
        <f t="shared" si="1973"/>
        <v>63</v>
      </c>
      <c r="BA284" s="53">
        <f t="shared" si="1815"/>
        <v>91</v>
      </c>
      <c r="BB284" s="54">
        <f t="shared" si="1974"/>
        <v>273</v>
      </c>
      <c r="BC284" s="49">
        <f t="shared" ref="BC284:BD284" si="1975">SUM(AS284,AU284,AW284,AY284,BA284)</f>
        <v>204</v>
      </c>
      <c r="BD284" s="50">
        <f t="shared" si="1975"/>
        <v>610</v>
      </c>
      <c r="BE284" s="68">
        <f t="shared" ref="BE284:BF284" si="1976">SUM(E284,G284,I284,O284,Q284,AC284,AQ284,BC284)</f>
        <v>645</v>
      </c>
      <c r="BF284" s="69">
        <f t="shared" si="1976"/>
        <v>1913</v>
      </c>
      <c r="BG284" s="46" t="str">
        <f>BF284*'ОВгП_РАО'!$B$30</f>
        <v>#REF!</v>
      </c>
      <c r="BH284" s="46" t="str">
        <f>'ОВгП_РАО'!$B$30</f>
        <v>#REF!</v>
      </c>
    </row>
    <row r="285" ht="15.75" customHeight="1">
      <c r="A285" s="80">
        <f t="shared" si="1819"/>
        <v>46268</v>
      </c>
      <c r="B285" s="47" t="s">
        <v>155</v>
      </c>
      <c r="C285" s="47" t="s">
        <v>122</v>
      </c>
      <c r="D285" s="47" t="s">
        <v>156</v>
      </c>
      <c r="E285" s="73">
        <f t="shared" si="1770"/>
        <v>11</v>
      </c>
      <c r="F285" s="50">
        <f t="shared" si="1945"/>
        <v>31</v>
      </c>
      <c r="G285" s="73">
        <f t="shared" si="1772"/>
        <v>30</v>
      </c>
      <c r="H285" s="50">
        <f t="shared" si="1946"/>
        <v>90</v>
      </c>
      <c r="I285" s="73">
        <f t="shared" si="1774"/>
        <v>24</v>
      </c>
      <c r="J285" s="50">
        <f t="shared" si="1947"/>
        <v>72</v>
      </c>
      <c r="K285" s="53">
        <f t="shared" si="1776"/>
        <v>11</v>
      </c>
      <c r="L285" s="54">
        <f t="shared" si="1948"/>
        <v>32</v>
      </c>
      <c r="M285" s="53">
        <f t="shared" si="1778"/>
        <v>29</v>
      </c>
      <c r="N285" s="54">
        <f t="shared" si="1949"/>
        <v>87</v>
      </c>
      <c r="O285" s="49">
        <f t="shared" ref="O285:P285" si="1977">SUM(K285,M285)</f>
        <v>40</v>
      </c>
      <c r="P285" s="50">
        <f t="shared" si="1977"/>
        <v>119</v>
      </c>
      <c r="Q285" s="73">
        <f t="shared" si="1781"/>
        <v>18</v>
      </c>
      <c r="R285" s="50">
        <f t="shared" si="1951"/>
        <v>53</v>
      </c>
      <c r="S285" s="53">
        <f t="shared" si="1783"/>
        <v>16</v>
      </c>
      <c r="T285" s="54">
        <f t="shared" si="1952"/>
        <v>46</v>
      </c>
      <c r="U285" s="53">
        <f t="shared" si="1785"/>
        <v>84</v>
      </c>
      <c r="V285" s="54">
        <f t="shared" si="1953"/>
        <v>251</v>
      </c>
      <c r="W285" s="53">
        <f t="shared" si="1787"/>
        <v>9</v>
      </c>
      <c r="X285" s="54">
        <f t="shared" si="1954"/>
        <v>26</v>
      </c>
      <c r="Y285" s="53">
        <f t="shared" si="1789"/>
        <v>92</v>
      </c>
      <c r="Z285" s="54">
        <f t="shared" si="1955"/>
        <v>276</v>
      </c>
      <c r="AA285" s="53">
        <f t="shared" si="1791"/>
        <v>26</v>
      </c>
      <c r="AB285" s="54">
        <f t="shared" si="1956"/>
        <v>76</v>
      </c>
      <c r="AC285" s="49">
        <f t="shared" ref="AC285:AD285" si="1978">SUM(S285,U285,W285,Y285,AA285)</f>
        <v>227</v>
      </c>
      <c r="AD285" s="50">
        <f t="shared" si="1978"/>
        <v>675</v>
      </c>
      <c r="AE285" s="53">
        <f t="shared" si="1794"/>
        <v>24</v>
      </c>
      <c r="AF285" s="54">
        <f t="shared" si="1963"/>
        <v>71</v>
      </c>
      <c r="AG285" s="53">
        <f t="shared" si="1796"/>
        <v>23</v>
      </c>
      <c r="AH285" s="54">
        <f t="shared" si="1964"/>
        <v>68</v>
      </c>
      <c r="AI285" s="53">
        <f t="shared" si="1798"/>
        <v>95</v>
      </c>
      <c r="AJ285" s="54">
        <f t="shared" si="1965"/>
        <v>285</v>
      </c>
      <c r="AK285" s="53">
        <f t="shared" si="1800"/>
        <v>40</v>
      </c>
      <c r="AL285" s="54">
        <f t="shared" si="1966"/>
        <v>120</v>
      </c>
      <c r="AM285" s="53">
        <f t="shared" si="1802"/>
        <v>71</v>
      </c>
      <c r="AN285" s="54">
        <f t="shared" si="1967"/>
        <v>213</v>
      </c>
      <c r="AO285" s="53">
        <f t="shared" si="1804"/>
        <v>80</v>
      </c>
      <c r="AP285" s="54">
        <f t="shared" si="1968"/>
        <v>238</v>
      </c>
      <c r="AQ285" s="49">
        <f t="shared" ref="AQ285:AR285" si="1979">SUM(AG285,AI285,AK285,AM285,AO285)</f>
        <v>309</v>
      </c>
      <c r="AR285" s="50">
        <f t="shared" si="1979"/>
        <v>924</v>
      </c>
      <c r="AS285" s="53">
        <f t="shared" si="1807"/>
        <v>6</v>
      </c>
      <c r="AT285" s="54">
        <f t="shared" ref="AT285:AT287" si="1985">RANDBETWEEN(0,100)</f>
        <v>17</v>
      </c>
      <c r="AU285" s="53">
        <f t="shared" si="1809"/>
        <v>3</v>
      </c>
      <c r="AV285" s="54">
        <f t="shared" ref="AV285:AV287" si="1986">RANDBETWEEN(0,100)</f>
        <v>8</v>
      </c>
      <c r="AW285" s="53">
        <f t="shared" si="1811"/>
        <v>13</v>
      </c>
      <c r="AX285" s="54">
        <f t="shared" ref="AX285:AX287" si="1987">RANDBETWEEN(0,100)</f>
        <v>38</v>
      </c>
      <c r="AY285" s="53">
        <f t="shared" si="1813"/>
        <v>23</v>
      </c>
      <c r="AZ285" s="54">
        <f t="shared" ref="AZ285:AZ287" si="1988">RANDBETWEEN(0,100)</f>
        <v>68</v>
      </c>
      <c r="BA285" s="53">
        <f t="shared" si="1815"/>
        <v>9</v>
      </c>
      <c r="BB285" s="54">
        <f t="shared" ref="BB285:BB287" si="1989">RANDBETWEEN(0,100)</f>
        <v>26</v>
      </c>
      <c r="BC285" s="49">
        <f t="shared" ref="BC285:BD285" si="1980">SUM(AS285,AU285,AW285,AY285,BA285)</f>
        <v>54</v>
      </c>
      <c r="BD285" s="50">
        <f t="shared" si="1980"/>
        <v>157</v>
      </c>
      <c r="BE285" s="68">
        <f t="shared" ref="BE285:BF285" si="1981">SUM(E285,G285,I285,O285,Q285,AC285,AQ285,BC285)</f>
        <v>713</v>
      </c>
      <c r="BF285" s="69">
        <f t="shared" si="1981"/>
        <v>2121</v>
      </c>
      <c r="BG285" s="46" t="str">
        <f>BF285*'ОВгП_РАО'!$B$31</f>
        <v>#REF!</v>
      </c>
      <c r="BH285" s="46" t="str">
        <f>'ОВгП_РАО'!$B$31</f>
        <v>#REF!</v>
      </c>
    </row>
    <row r="286" ht="15.75" customHeight="1">
      <c r="A286" s="80">
        <f t="shared" si="1819"/>
        <v>46268</v>
      </c>
      <c r="B286" s="47" t="s">
        <v>158</v>
      </c>
      <c r="C286" s="47" t="s">
        <v>122</v>
      </c>
      <c r="D286" s="47" t="s">
        <v>156</v>
      </c>
      <c r="E286" s="73">
        <f t="shared" si="1770"/>
        <v>26</v>
      </c>
      <c r="F286" s="50">
        <f t="shared" si="1945"/>
        <v>78</v>
      </c>
      <c r="G286" s="73">
        <f t="shared" si="1772"/>
        <v>33</v>
      </c>
      <c r="H286" s="50">
        <f t="shared" si="1946"/>
        <v>97</v>
      </c>
      <c r="I286" s="73">
        <f t="shared" si="1774"/>
        <v>28</v>
      </c>
      <c r="J286" s="50">
        <f t="shared" si="1947"/>
        <v>84</v>
      </c>
      <c r="K286" s="53">
        <f t="shared" si="1776"/>
        <v>31</v>
      </c>
      <c r="L286" s="54">
        <f t="shared" si="1948"/>
        <v>92</v>
      </c>
      <c r="M286" s="53">
        <f t="shared" si="1778"/>
        <v>3</v>
      </c>
      <c r="N286" s="54">
        <f t="shared" si="1949"/>
        <v>9</v>
      </c>
      <c r="O286" s="49">
        <f t="shared" ref="O286:P286" si="1982">SUM(K286,M286)</f>
        <v>34</v>
      </c>
      <c r="P286" s="50">
        <f t="shared" si="1982"/>
        <v>101</v>
      </c>
      <c r="Q286" s="73">
        <f t="shared" si="1781"/>
        <v>25</v>
      </c>
      <c r="R286" s="50">
        <f t="shared" si="1951"/>
        <v>73</v>
      </c>
      <c r="S286" s="53">
        <f t="shared" si="1783"/>
        <v>56</v>
      </c>
      <c r="T286" s="54">
        <f t="shared" si="1952"/>
        <v>167</v>
      </c>
      <c r="U286" s="53">
        <f t="shared" si="1785"/>
        <v>49</v>
      </c>
      <c r="V286" s="54">
        <f t="shared" si="1953"/>
        <v>147</v>
      </c>
      <c r="W286" s="53">
        <f t="shared" si="1787"/>
        <v>58</v>
      </c>
      <c r="X286" s="54">
        <f t="shared" si="1954"/>
        <v>173</v>
      </c>
      <c r="Y286" s="53">
        <f t="shared" si="1789"/>
        <v>34</v>
      </c>
      <c r="Z286" s="54">
        <f t="shared" si="1955"/>
        <v>102</v>
      </c>
      <c r="AA286" s="53">
        <f t="shared" si="1791"/>
        <v>85</v>
      </c>
      <c r="AB286" s="54">
        <f t="shared" si="1956"/>
        <v>255</v>
      </c>
      <c r="AC286" s="49">
        <f t="shared" ref="AC286:AD286" si="1983">SUM(S286,U286,W286,Y286,AA286)</f>
        <v>282</v>
      </c>
      <c r="AD286" s="50">
        <f t="shared" si="1983"/>
        <v>844</v>
      </c>
      <c r="AE286" s="53">
        <f t="shared" si="1794"/>
        <v>66</v>
      </c>
      <c r="AF286" s="54">
        <f t="shared" si="1963"/>
        <v>198</v>
      </c>
      <c r="AG286" s="53">
        <f t="shared" si="1796"/>
        <v>73</v>
      </c>
      <c r="AH286" s="54">
        <f t="shared" si="1964"/>
        <v>219</v>
      </c>
      <c r="AI286" s="53">
        <f t="shared" si="1798"/>
        <v>1</v>
      </c>
      <c r="AJ286" s="54">
        <f t="shared" si="1965"/>
        <v>2</v>
      </c>
      <c r="AK286" s="53">
        <f t="shared" si="1800"/>
        <v>82</v>
      </c>
      <c r="AL286" s="54">
        <f t="shared" si="1966"/>
        <v>244</v>
      </c>
      <c r="AM286" s="53">
        <f t="shared" si="1802"/>
        <v>79</v>
      </c>
      <c r="AN286" s="54">
        <f t="shared" si="1967"/>
        <v>237</v>
      </c>
      <c r="AO286" s="53">
        <f t="shared" si="1804"/>
        <v>30</v>
      </c>
      <c r="AP286" s="54">
        <f t="shared" si="1968"/>
        <v>88</v>
      </c>
      <c r="AQ286" s="49">
        <f t="shared" ref="AQ286:AR286" si="1984">SUM(AG286,AI286,AK286,AM286,AO286)</f>
        <v>265</v>
      </c>
      <c r="AR286" s="50">
        <f t="shared" si="1984"/>
        <v>790</v>
      </c>
      <c r="AS286" s="53">
        <f t="shared" si="1807"/>
        <v>33</v>
      </c>
      <c r="AT286" s="54">
        <f t="shared" si="1985"/>
        <v>97</v>
      </c>
      <c r="AU286" s="53">
        <f t="shared" si="1809"/>
        <v>22</v>
      </c>
      <c r="AV286" s="54">
        <f t="shared" si="1986"/>
        <v>65</v>
      </c>
      <c r="AW286" s="53">
        <f t="shared" si="1811"/>
        <v>19</v>
      </c>
      <c r="AX286" s="54">
        <f t="shared" si="1987"/>
        <v>57</v>
      </c>
      <c r="AY286" s="53">
        <f t="shared" si="1813"/>
        <v>6</v>
      </c>
      <c r="AZ286" s="54">
        <f t="shared" si="1988"/>
        <v>17</v>
      </c>
      <c r="BA286" s="53">
        <f t="shared" si="1815"/>
        <v>4</v>
      </c>
      <c r="BB286" s="54">
        <f t="shared" si="1989"/>
        <v>12</v>
      </c>
      <c r="BC286" s="49">
        <f t="shared" ref="BC286:BD286" si="1990">SUM(AS286,AU286,AW286,AY286,BA286)</f>
        <v>84</v>
      </c>
      <c r="BD286" s="50">
        <f t="shared" si="1990"/>
        <v>248</v>
      </c>
      <c r="BE286" s="68">
        <f t="shared" ref="BE286:BF286" si="1991">SUM(E286,G286,I286,O286,Q286,AC286,AQ286,BC286)</f>
        <v>777</v>
      </c>
      <c r="BF286" s="69">
        <f t="shared" si="1991"/>
        <v>2315</v>
      </c>
      <c r="BG286" s="46" t="str">
        <f>BF286*'ОВгП_РАО'!$B$32</f>
        <v>#REF!</v>
      </c>
      <c r="BH286" s="46" t="str">
        <f>'ОВгП_РАО'!$B$32</f>
        <v>#REF!</v>
      </c>
    </row>
    <row r="287" ht="15.75" customHeight="1">
      <c r="A287" s="80">
        <f t="shared" si="1819"/>
        <v>46268</v>
      </c>
      <c r="B287" s="47" t="s">
        <v>159</v>
      </c>
      <c r="C287" s="47" t="s">
        <v>122</v>
      </c>
      <c r="D287" s="47" t="s">
        <v>156</v>
      </c>
      <c r="E287" s="73">
        <f t="shared" si="1770"/>
        <v>8</v>
      </c>
      <c r="F287" s="50">
        <f t="shared" si="1945"/>
        <v>22</v>
      </c>
      <c r="G287" s="73">
        <f t="shared" si="1772"/>
        <v>2</v>
      </c>
      <c r="H287" s="50">
        <f t="shared" si="1946"/>
        <v>4</v>
      </c>
      <c r="I287" s="73">
        <f t="shared" si="1774"/>
        <v>28</v>
      </c>
      <c r="J287" s="50">
        <f t="shared" si="1947"/>
        <v>84</v>
      </c>
      <c r="K287" s="53">
        <f t="shared" si="1776"/>
        <v>32</v>
      </c>
      <c r="L287" s="54">
        <f t="shared" si="1948"/>
        <v>95</v>
      </c>
      <c r="M287" s="53">
        <f t="shared" si="1778"/>
        <v>10</v>
      </c>
      <c r="N287" s="54">
        <f t="shared" si="1949"/>
        <v>29</v>
      </c>
      <c r="O287" s="49">
        <f t="shared" ref="O287:P287" si="1992">SUM(K287,M287)</f>
        <v>42</v>
      </c>
      <c r="P287" s="50">
        <f t="shared" si="1992"/>
        <v>124</v>
      </c>
      <c r="Q287" s="73">
        <f t="shared" si="1781"/>
        <v>16</v>
      </c>
      <c r="R287" s="50">
        <f t="shared" si="1951"/>
        <v>47</v>
      </c>
      <c r="S287" s="53">
        <f t="shared" si="1783"/>
        <v>39</v>
      </c>
      <c r="T287" s="54">
        <f t="shared" si="1952"/>
        <v>115</v>
      </c>
      <c r="U287" s="53">
        <f t="shared" si="1785"/>
        <v>73</v>
      </c>
      <c r="V287" s="54">
        <f t="shared" si="1953"/>
        <v>217</v>
      </c>
      <c r="W287" s="53">
        <f t="shared" si="1787"/>
        <v>47</v>
      </c>
      <c r="X287" s="54">
        <f t="shared" si="1954"/>
        <v>140</v>
      </c>
      <c r="Y287" s="53">
        <f t="shared" si="1789"/>
        <v>27</v>
      </c>
      <c r="Z287" s="54">
        <f t="shared" si="1955"/>
        <v>81</v>
      </c>
      <c r="AA287" s="53">
        <f t="shared" si="1791"/>
        <v>45</v>
      </c>
      <c r="AB287" s="54">
        <f t="shared" si="1956"/>
        <v>135</v>
      </c>
      <c r="AC287" s="49">
        <f t="shared" ref="AC287:AD287" si="1993">SUM(S287,U287,W287,Y287,AA287)</f>
        <v>231</v>
      </c>
      <c r="AD287" s="50">
        <f t="shared" si="1993"/>
        <v>688</v>
      </c>
      <c r="AE287" s="53">
        <f t="shared" si="1794"/>
        <v>93</v>
      </c>
      <c r="AF287" s="54">
        <f t="shared" si="1963"/>
        <v>278</v>
      </c>
      <c r="AG287" s="53">
        <f t="shared" si="1796"/>
        <v>61</v>
      </c>
      <c r="AH287" s="54">
        <f t="shared" si="1964"/>
        <v>181</v>
      </c>
      <c r="AI287" s="53">
        <f t="shared" si="1798"/>
        <v>4</v>
      </c>
      <c r="AJ287" s="54">
        <f t="shared" si="1965"/>
        <v>11</v>
      </c>
      <c r="AK287" s="53">
        <f t="shared" si="1800"/>
        <v>51</v>
      </c>
      <c r="AL287" s="54">
        <f t="shared" si="1966"/>
        <v>152</v>
      </c>
      <c r="AM287" s="53">
        <f t="shared" si="1802"/>
        <v>75</v>
      </c>
      <c r="AN287" s="54">
        <f t="shared" si="1967"/>
        <v>225</v>
      </c>
      <c r="AO287" s="53">
        <f t="shared" si="1804"/>
        <v>81</v>
      </c>
      <c r="AP287" s="54">
        <f t="shared" si="1968"/>
        <v>243</v>
      </c>
      <c r="AQ287" s="49">
        <f t="shared" ref="AQ287:AR287" si="1994">SUM(AG287,AI287,AK287,AM287,AO287)</f>
        <v>272</v>
      </c>
      <c r="AR287" s="50">
        <f t="shared" si="1994"/>
        <v>812</v>
      </c>
      <c r="AS287" s="53">
        <f t="shared" si="1807"/>
        <v>2</v>
      </c>
      <c r="AT287" s="54">
        <f t="shared" si="1985"/>
        <v>4</v>
      </c>
      <c r="AU287" s="53">
        <f t="shared" si="1809"/>
        <v>16</v>
      </c>
      <c r="AV287" s="54">
        <f t="shared" si="1986"/>
        <v>46</v>
      </c>
      <c r="AW287" s="53">
        <f t="shared" si="1811"/>
        <v>26</v>
      </c>
      <c r="AX287" s="54">
        <f t="shared" si="1987"/>
        <v>77</v>
      </c>
      <c r="AY287" s="53">
        <f t="shared" si="1813"/>
        <v>13</v>
      </c>
      <c r="AZ287" s="54">
        <f t="shared" si="1988"/>
        <v>39</v>
      </c>
      <c r="BA287" s="53">
        <f t="shared" si="1815"/>
        <v>12</v>
      </c>
      <c r="BB287" s="54">
        <f t="shared" si="1989"/>
        <v>36</v>
      </c>
      <c r="BC287" s="49">
        <f t="shared" ref="BC287:BD287" si="1995">SUM(AS287,AU287,AW287,AY287,BA287)</f>
        <v>69</v>
      </c>
      <c r="BD287" s="50">
        <f t="shared" si="1995"/>
        <v>202</v>
      </c>
      <c r="BE287" s="68">
        <f t="shared" ref="BE287:BF287" si="1996">SUM(E287,G287,I287,O287,Q287,AC287,AQ287,BC287)</f>
        <v>668</v>
      </c>
      <c r="BF287" s="69">
        <f t="shared" si="1996"/>
        <v>1983</v>
      </c>
      <c r="BG287" s="46" t="str">
        <f>BF287*'ОВгП_РАО'!$B$33</f>
        <v>#REF!</v>
      </c>
      <c r="BH287" s="46" t="str">
        <f>'ОВгП_РАО'!$B$33</f>
        <v>#REF!</v>
      </c>
    </row>
    <row r="288" ht="15.75" customHeight="1">
      <c r="A288" s="80">
        <f t="shared" si="1819"/>
        <v>46268</v>
      </c>
      <c r="B288" s="47" t="s">
        <v>160</v>
      </c>
      <c r="C288" s="47" t="s">
        <v>161</v>
      </c>
      <c r="D288" s="47" t="s">
        <v>98</v>
      </c>
      <c r="E288" s="73">
        <f t="shared" si="1770"/>
        <v>17</v>
      </c>
      <c r="F288" s="50">
        <f t="shared" si="1945"/>
        <v>49</v>
      </c>
      <c r="G288" s="73">
        <f t="shared" si="1772"/>
        <v>17</v>
      </c>
      <c r="H288" s="50">
        <f t="shared" si="1946"/>
        <v>50</v>
      </c>
      <c r="I288" s="73">
        <f t="shared" si="1774"/>
        <v>10</v>
      </c>
      <c r="J288" s="50">
        <f t="shared" si="1947"/>
        <v>30</v>
      </c>
      <c r="K288" s="53">
        <f t="shared" si="1776"/>
        <v>23</v>
      </c>
      <c r="L288" s="54">
        <f t="shared" si="1948"/>
        <v>67</v>
      </c>
      <c r="M288" s="53">
        <f t="shared" si="1778"/>
        <v>7</v>
      </c>
      <c r="N288" s="54">
        <f t="shared" si="1949"/>
        <v>19</v>
      </c>
      <c r="O288" s="49">
        <f t="shared" ref="O288:P288" si="1997">SUM(K288,M288)</f>
        <v>30</v>
      </c>
      <c r="P288" s="50">
        <f t="shared" si="1997"/>
        <v>86</v>
      </c>
      <c r="Q288" s="73">
        <f t="shared" si="1781"/>
        <v>3</v>
      </c>
      <c r="R288" s="50">
        <f t="shared" si="1951"/>
        <v>7</v>
      </c>
      <c r="S288" s="53">
        <f t="shared" si="1783"/>
        <v>34</v>
      </c>
      <c r="T288" s="54">
        <f t="shared" si="1952"/>
        <v>100</v>
      </c>
      <c r="U288" s="53">
        <f t="shared" si="1785"/>
        <v>41</v>
      </c>
      <c r="V288" s="54">
        <f t="shared" si="1953"/>
        <v>122</v>
      </c>
      <c r="W288" s="53">
        <f t="shared" si="1787"/>
        <v>81</v>
      </c>
      <c r="X288" s="54">
        <f t="shared" si="1954"/>
        <v>243</v>
      </c>
      <c r="Y288" s="53">
        <f t="shared" si="1789"/>
        <v>90</v>
      </c>
      <c r="Z288" s="54">
        <f t="shared" si="1955"/>
        <v>268</v>
      </c>
      <c r="AA288" s="53">
        <f t="shared" si="1791"/>
        <v>28</v>
      </c>
      <c r="AB288" s="54">
        <f t="shared" si="1956"/>
        <v>83</v>
      </c>
      <c r="AC288" s="49">
        <f t="shared" ref="AC288:AD288" si="1998">SUM(S288,U288,W288,Y288,AA288)</f>
        <v>274</v>
      </c>
      <c r="AD288" s="50">
        <f t="shared" si="1998"/>
        <v>816</v>
      </c>
      <c r="AE288" s="53">
        <f t="shared" si="1794"/>
        <v>83</v>
      </c>
      <c r="AF288" s="54">
        <f t="shared" si="1963"/>
        <v>249</v>
      </c>
      <c r="AG288" s="53">
        <f t="shared" si="1796"/>
        <v>92</v>
      </c>
      <c r="AH288" s="54">
        <f t="shared" si="1964"/>
        <v>274</v>
      </c>
      <c r="AI288" s="53">
        <f t="shared" si="1798"/>
        <v>11</v>
      </c>
      <c r="AJ288" s="54">
        <f t="shared" si="1965"/>
        <v>33</v>
      </c>
      <c r="AK288" s="53">
        <f t="shared" si="1800"/>
        <v>61</v>
      </c>
      <c r="AL288" s="54">
        <f t="shared" si="1966"/>
        <v>183</v>
      </c>
      <c r="AM288" s="53">
        <f t="shared" si="1802"/>
        <v>81</v>
      </c>
      <c r="AN288" s="54">
        <f t="shared" si="1967"/>
        <v>242</v>
      </c>
      <c r="AO288" s="53">
        <f t="shared" si="1804"/>
        <v>7</v>
      </c>
      <c r="AP288" s="54">
        <f t="shared" si="1968"/>
        <v>19</v>
      </c>
      <c r="AQ288" s="49">
        <f t="shared" ref="AQ288:AR288" si="1999">SUM(AG288,AI288,AK288,AM288,AO288)</f>
        <v>252</v>
      </c>
      <c r="AR288" s="50">
        <f t="shared" si="1999"/>
        <v>751</v>
      </c>
      <c r="AS288" s="53">
        <f t="shared" si="1807"/>
        <v>4</v>
      </c>
      <c r="AT288" s="54">
        <f t="shared" ref="AT288:AT290" si="2005">RANDBETWEEN(0,300)</f>
        <v>11</v>
      </c>
      <c r="AU288" s="53">
        <f t="shared" si="1809"/>
        <v>77</v>
      </c>
      <c r="AV288" s="54">
        <f t="shared" ref="AV288:AV290" si="2006">RANDBETWEEN(0,300)</f>
        <v>229</v>
      </c>
      <c r="AW288" s="53">
        <f t="shared" si="1811"/>
        <v>29</v>
      </c>
      <c r="AX288" s="54">
        <f t="shared" ref="AX288:AX290" si="2007">RANDBETWEEN(0,300)</f>
        <v>86</v>
      </c>
      <c r="AY288" s="53">
        <f t="shared" si="1813"/>
        <v>11</v>
      </c>
      <c r="AZ288" s="54">
        <f t="shared" ref="AZ288:AZ290" si="2008">RANDBETWEEN(0,300)</f>
        <v>32</v>
      </c>
      <c r="BA288" s="53">
        <f t="shared" si="1815"/>
        <v>31</v>
      </c>
      <c r="BB288" s="54">
        <f t="shared" ref="BB288:BB290" si="2009">RANDBETWEEN(0,300)</f>
        <v>92</v>
      </c>
      <c r="BC288" s="49">
        <f t="shared" ref="BC288:BD288" si="2000">SUM(AS288,AU288,AW288,AY288,BA288)</f>
        <v>152</v>
      </c>
      <c r="BD288" s="50">
        <f t="shared" si="2000"/>
        <v>450</v>
      </c>
      <c r="BE288" s="68">
        <f t="shared" ref="BE288:BF288" si="2001">SUM(E288,G288,I288,O288,Q288,AC288,AQ288,BC288)</f>
        <v>755</v>
      </c>
      <c r="BF288" s="69">
        <f t="shared" si="2001"/>
        <v>2239</v>
      </c>
      <c r="BG288" s="46" t="str">
        <f>BF288*'ОВгП_РАО'!$B$34</f>
        <v>#REF!</v>
      </c>
      <c r="BH288" s="46" t="str">
        <f>'ОВгП_РАО'!$B$34</f>
        <v>#REF!</v>
      </c>
    </row>
    <row r="289" ht="15.75" customHeight="1">
      <c r="A289" s="80">
        <f t="shared" si="1819"/>
        <v>46268</v>
      </c>
      <c r="B289" s="47" t="s">
        <v>163</v>
      </c>
      <c r="C289" s="47" t="s">
        <v>161</v>
      </c>
      <c r="D289" s="47" t="s">
        <v>145</v>
      </c>
      <c r="E289" s="73">
        <f t="shared" si="1770"/>
        <v>10</v>
      </c>
      <c r="F289" s="50">
        <f t="shared" si="1945"/>
        <v>30</v>
      </c>
      <c r="G289" s="73">
        <f t="shared" si="1772"/>
        <v>24</v>
      </c>
      <c r="H289" s="50">
        <f t="shared" si="1946"/>
        <v>72</v>
      </c>
      <c r="I289" s="73">
        <f t="shared" si="1774"/>
        <v>4</v>
      </c>
      <c r="J289" s="50">
        <f t="shared" si="1947"/>
        <v>12</v>
      </c>
      <c r="K289" s="53">
        <f t="shared" si="1776"/>
        <v>5</v>
      </c>
      <c r="L289" s="54">
        <f t="shared" si="1948"/>
        <v>13</v>
      </c>
      <c r="M289" s="53">
        <f t="shared" si="1778"/>
        <v>26</v>
      </c>
      <c r="N289" s="54">
        <f t="shared" si="1949"/>
        <v>78</v>
      </c>
      <c r="O289" s="49">
        <f t="shared" ref="O289:P289" si="2002">SUM(K289,M289)</f>
        <v>31</v>
      </c>
      <c r="P289" s="50">
        <f t="shared" si="2002"/>
        <v>91</v>
      </c>
      <c r="Q289" s="73">
        <f t="shared" si="1781"/>
        <v>4</v>
      </c>
      <c r="R289" s="50">
        <f t="shared" si="1951"/>
        <v>10</v>
      </c>
      <c r="S289" s="53">
        <f t="shared" si="1783"/>
        <v>97</v>
      </c>
      <c r="T289" s="54">
        <f t="shared" si="1952"/>
        <v>291</v>
      </c>
      <c r="U289" s="53">
        <f t="shared" si="1785"/>
        <v>56</v>
      </c>
      <c r="V289" s="54">
        <f t="shared" si="1953"/>
        <v>168</v>
      </c>
      <c r="W289" s="53">
        <f t="shared" si="1787"/>
        <v>37</v>
      </c>
      <c r="X289" s="54">
        <f t="shared" si="1954"/>
        <v>110</v>
      </c>
      <c r="Y289" s="53">
        <f t="shared" si="1789"/>
        <v>56</v>
      </c>
      <c r="Z289" s="54">
        <f t="shared" si="1955"/>
        <v>166</v>
      </c>
      <c r="AA289" s="53">
        <f t="shared" si="1791"/>
        <v>86</v>
      </c>
      <c r="AB289" s="54">
        <f t="shared" si="1956"/>
        <v>256</v>
      </c>
      <c r="AC289" s="49">
        <f t="shared" ref="AC289:AD289" si="2003">SUM(S289,U289,W289,Y289,AA289)</f>
        <v>332</v>
      </c>
      <c r="AD289" s="50">
        <f t="shared" si="2003"/>
        <v>991</v>
      </c>
      <c r="AE289" s="53">
        <f t="shared" si="1794"/>
        <v>73</v>
      </c>
      <c r="AF289" s="54">
        <f t="shared" si="1963"/>
        <v>218</v>
      </c>
      <c r="AG289" s="53">
        <f t="shared" si="1796"/>
        <v>79</v>
      </c>
      <c r="AH289" s="54">
        <f t="shared" si="1964"/>
        <v>236</v>
      </c>
      <c r="AI289" s="53">
        <f t="shared" si="1798"/>
        <v>77</v>
      </c>
      <c r="AJ289" s="54">
        <f t="shared" si="1965"/>
        <v>230</v>
      </c>
      <c r="AK289" s="53">
        <f t="shared" si="1800"/>
        <v>69</v>
      </c>
      <c r="AL289" s="54">
        <f t="shared" si="1966"/>
        <v>206</v>
      </c>
      <c r="AM289" s="53">
        <f t="shared" si="1802"/>
        <v>77</v>
      </c>
      <c r="AN289" s="54">
        <f t="shared" si="1967"/>
        <v>229</v>
      </c>
      <c r="AO289" s="53">
        <f t="shared" si="1804"/>
        <v>11</v>
      </c>
      <c r="AP289" s="54">
        <f t="shared" si="1968"/>
        <v>32</v>
      </c>
      <c r="AQ289" s="49">
        <f t="shared" ref="AQ289:AR289" si="2004">SUM(AG289,AI289,AK289,AM289,AO289)</f>
        <v>313</v>
      </c>
      <c r="AR289" s="50">
        <f t="shared" si="2004"/>
        <v>933</v>
      </c>
      <c r="AS289" s="53">
        <f t="shared" si="1807"/>
        <v>43</v>
      </c>
      <c r="AT289" s="54">
        <f t="shared" si="2005"/>
        <v>127</v>
      </c>
      <c r="AU289" s="53">
        <f t="shared" si="1809"/>
        <v>70</v>
      </c>
      <c r="AV289" s="54">
        <f t="shared" si="2006"/>
        <v>210</v>
      </c>
      <c r="AW289" s="53">
        <f t="shared" si="1811"/>
        <v>88</v>
      </c>
      <c r="AX289" s="54">
        <f t="shared" si="2007"/>
        <v>263</v>
      </c>
      <c r="AY289" s="53">
        <f t="shared" si="1813"/>
        <v>25</v>
      </c>
      <c r="AZ289" s="54">
        <f t="shared" si="2008"/>
        <v>75</v>
      </c>
      <c r="BA289" s="53">
        <f t="shared" si="1815"/>
        <v>11</v>
      </c>
      <c r="BB289" s="54">
        <f t="shared" si="2009"/>
        <v>32</v>
      </c>
      <c r="BC289" s="49">
        <f t="shared" ref="BC289:BD289" si="2010">SUM(AS289,AU289,AW289,AY289,BA289)</f>
        <v>237</v>
      </c>
      <c r="BD289" s="50">
        <f t="shared" si="2010"/>
        <v>707</v>
      </c>
      <c r="BE289" s="68">
        <f t="shared" ref="BE289:BF289" si="2011">SUM(E289,G289,I289,O289,Q289,AC289,AQ289,BC289)</f>
        <v>955</v>
      </c>
      <c r="BF289" s="69">
        <f t="shared" si="2011"/>
        <v>2846</v>
      </c>
      <c r="BG289" s="46" t="str">
        <f>BF289*'ОВгП_РАО'!$B$35</f>
        <v>#REF!</v>
      </c>
      <c r="BH289" s="46" t="str">
        <f>'ОВгП_РАО'!$B$35</f>
        <v>#REF!</v>
      </c>
    </row>
    <row r="290" ht="15.75" customHeight="1">
      <c r="A290" s="80">
        <f t="shared" si="1819"/>
        <v>46268</v>
      </c>
      <c r="B290" s="47" t="s">
        <v>164</v>
      </c>
      <c r="C290" s="47" t="s">
        <v>161</v>
      </c>
      <c r="D290" s="47" t="s">
        <v>148</v>
      </c>
      <c r="E290" s="73">
        <f t="shared" si="1770"/>
        <v>33</v>
      </c>
      <c r="F290" s="50">
        <f t="shared" si="1945"/>
        <v>98</v>
      </c>
      <c r="G290" s="73">
        <f t="shared" si="1772"/>
        <v>15</v>
      </c>
      <c r="H290" s="50">
        <f t="shared" si="1946"/>
        <v>44</v>
      </c>
      <c r="I290" s="73">
        <f t="shared" si="1774"/>
        <v>34</v>
      </c>
      <c r="J290" s="50">
        <f t="shared" si="1947"/>
        <v>100</v>
      </c>
      <c r="K290" s="53">
        <f t="shared" si="1776"/>
        <v>31</v>
      </c>
      <c r="L290" s="54">
        <f t="shared" si="1948"/>
        <v>91</v>
      </c>
      <c r="M290" s="53">
        <f t="shared" si="1778"/>
        <v>26</v>
      </c>
      <c r="N290" s="54">
        <f t="shared" si="1949"/>
        <v>78</v>
      </c>
      <c r="O290" s="49">
        <f t="shared" ref="O290:P290" si="2012">SUM(K290,M290)</f>
        <v>57</v>
      </c>
      <c r="P290" s="50">
        <f t="shared" si="2012"/>
        <v>169</v>
      </c>
      <c r="Q290" s="73">
        <f t="shared" si="1781"/>
        <v>32</v>
      </c>
      <c r="R290" s="50">
        <f t="shared" si="1951"/>
        <v>94</v>
      </c>
      <c r="S290" s="53">
        <f t="shared" si="1783"/>
        <v>29</v>
      </c>
      <c r="T290" s="54">
        <f t="shared" si="1952"/>
        <v>85</v>
      </c>
      <c r="U290" s="53">
        <f t="shared" si="1785"/>
        <v>46</v>
      </c>
      <c r="V290" s="54">
        <f t="shared" si="1953"/>
        <v>136</v>
      </c>
      <c r="W290" s="53">
        <f t="shared" si="1787"/>
        <v>66</v>
      </c>
      <c r="X290" s="54">
        <f t="shared" si="1954"/>
        <v>197</v>
      </c>
      <c r="Y290" s="53">
        <f t="shared" si="1789"/>
        <v>87</v>
      </c>
      <c r="Z290" s="54">
        <f t="shared" si="1955"/>
        <v>260</v>
      </c>
      <c r="AA290" s="53">
        <f t="shared" si="1791"/>
        <v>25</v>
      </c>
      <c r="AB290" s="54">
        <f t="shared" si="1956"/>
        <v>73</v>
      </c>
      <c r="AC290" s="49">
        <f t="shared" ref="AC290:AD290" si="2013">SUM(S290,U290,W290,Y290,AA290)</f>
        <v>253</v>
      </c>
      <c r="AD290" s="50">
        <f t="shared" si="2013"/>
        <v>751</v>
      </c>
      <c r="AE290" s="53">
        <f t="shared" si="1794"/>
        <v>83</v>
      </c>
      <c r="AF290" s="54">
        <f t="shared" si="1963"/>
        <v>249</v>
      </c>
      <c r="AG290" s="53">
        <f t="shared" si="1796"/>
        <v>93</v>
      </c>
      <c r="AH290" s="54">
        <f t="shared" si="1964"/>
        <v>277</v>
      </c>
      <c r="AI290" s="53">
        <f t="shared" si="1798"/>
        <v>26</v>
      </c>
      <c r="AJ290" s="54">
        <f t="shared" si="1965"/>
        <v>78</v>
      </c>
      <c r="AK290" s="53">
        <f t="shared" si="1800"/>
        <v>16</v>
      </c>
      <c r="AL290" s="54">
        <f t="shared" si="1966"/>
        <v>47</v>
      </c>
      <c r="AM290" s="53">
        <f t="shared" si="1802"/>
        <v>29</v>
      </c>
      <c r="AN290" s="54">
        <f t="shared" si="1967"/>
        <v>85</v>
      </c>
      <c r="AO290" s="53">
        <f t="shared" si="1804"/>
        <v>79</v>
      </c>
      <c r="AP290" s="54">
        <f t="shared" si="1968"/>
        <v>236</v>
      </c>
      <c r="AQ290" s="49">
        <f t="shared" ref="AQ290:AR290" si="2014">SUM(AG290,AI290,AK290,AM290,AO290)</f>
        <v>243</v>
      </c>
      <c r="AR290" s="50">
        <f t="shared" si="2014"/>
        <v>723</v>
      </c>
      <c r="AS290" s="53">
        <f t="shared" si="1807"/>
        <v>98</v>
      </c>
      <c r="AT290" s="54">
        <f t="shared" si="2005"/>
        <v>293</v>
      </c>
      <c r="AU290" s="53">
        <f t="shared" si="1809"/>
        <v>81</v>
      </c>
      <c r="AV290" s="54">
        <f t="shared" si="2006"/>
        <v>242</v>
      </c>
      <c r="AW290" s="53">
        <f t="shared" si="1811"/>
        <v>20</v>
      </c>
      <c r="AX290" s="54">
        <f t="shared" si="2007"/>
        <v>59</v>
      </c>
      <c r="AY290" s="53">
        <f t="shared" si="1813"/>
        <v>62</v>
      </c>
      <c r="AZ290" s="54">
        <f t="shared" si="2008"/>
        <v>185</v>
      </c>
      <c r="BA290" s="53">
        <f t="shared" si="1815"/>
        <v>11</v>
      </c>
      <c r="BB290" s="54">
        <f t="shared" si="2009"/>
        <v>31</v>
      </c>
      <c r="BC290" s="49">
        <f t="shared" ref="BC290:BD290" si="2015">SUM(AS290,AU290,AW290,AY290,BA290)</f>
        <v>272</v>
      </c>
      <c r="BD290" s="50">
        <f t="shared" si="2015"/>
        <v>810</v>
      </c>
      <c r="BE290" s="68">
        <f t="shared" ref="BE290:BF290" si="2016">SUM(E290,G290,I290,O290,Q290,AC290,AQ290,BC290)</f>
        <v>939</v>
      </c>
      <c r="BF290" s="69">
        <f t="shared" si="2016"/>
        <v>2789</v>
      </c>
      <c r="BG290" s="46" t="str">
        <f>BF290*'ОВгП_РАО'!$B$36</f>
        <v>#REF!</v>
      </c>
      <c r="BH290" s="46" t="str">
        <f>'ОВгП_РАО'!B288</f>
        <v>#REF!</v>
      </c>
    </row>
    <row r="291" ht="15.75" customHeight="1">
      <c r="A291" s="161"/>
      <c r="B291" s="162"/>
      <c r="C291" s="162"/>
      <c r="D291" s="162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  <c r="BC291" s="40"/>
      <c r="BD291" s="40"/>
      <c r="BE291" s="40"/>
      <c r="BF291" s="42"/>
    </row>
    <row r="292" ht="15.75" customHeight="1">
      <c r="A292" s="44">
        <f>A290+1</f>
        <v>46269</v>
      </c>
      <c r="B292" s="163" t="s">
        <v>95</v>
      </c>
      <c r="C292" s="46" t="s">
        <v>96</v>
      </c>
      <c r="D292" s="47" t="s">
        <v>98</v>
      </c>
      <c r="E292" s="49">
        <f t="shared" ref="E292:E326" si="2022">ROUNDUP(F292/3,0)</f>
        <v>0</v>
      </c>
      <c r="F292" s="50">
        <f t="shared" ref="F292:F317" si="2023">RANDBETWEEN(0,4)</f>
        <v>0</v>
      </c>
      <c r="G292" s="49">
        <f t="shared" ref="G292:G326" si="2024">ROUNDUP(H292/3,0)</f>
        <v>1</v>
      </c>
      <c r="H292" s="50">
        <f t="shared" ref="H292:H317" si="2025">RANDBETWEEN(0,4)</f>
        <v>1</v>
      </c>
      <c r="I292" s="49">
        <f t="shared" ref="I292:I326" si="2026">ROUNDUP(J292/3,0)</f>
        <v>2</v>
      </c>
      <c r="J292" s="50">
        <f t="shared" ref="J292:J317" si="2027">RANDBETWEEN(0,4)</f>
        <v>4</v>
      </c>
      <c r="K292" s="53">
        <f t="shared" ref="K292:K326" si="2028">ROUNDUP(L292/3,0)</f>
        <v>2</v>
      </c>
      <c r="L292" s="54">
        <f t="shared" ref="L292:L317" si="2029">RANDBETWEEN(0,4)</f>
        <v>4</v>
      </c>
      <c r="M292" s="53">
        <f t="shared" ref="M292:M326" si="2030">ROUNDUP(N292/3,0)</f>
        <v>1</v>
      </c>
      <c r="N292" s="54">
        <f t="shared" ref="N292:N317" si="2031">RANDBETWEEN(0,4)</f>
        <v>2</v>
      </c>
      <c r="O292" s="49">
        <f t="shared" ref="O292:P292" si="2017">SUM(K292,M292)</f>
        <v>3</v>
      </c>
      <c r="P292" s="50">
        <f t="shared" si="2017"/>
        <v>6</v>
      </c>
      <c r="Q292" s="49">
        <f t="shared" ref="Q292:Q326" si="2033">ROUNDUP(R292/3,0)</f>
        <v>1</v>
      </c>
      <c r="R292" s="50">
        <f t="shared" ref="R292:R317" si="2034">RANDBETWEEN(0,4)</f>
        <v>3</v>
      </c>
      <c r="S292" s="53">
        <f t="shared" ref="S292:S326" si="2035">ROUNDUP(T292/3,0)</f>
        <v>2</v>
      </c>
      <c r="T292" s="54">
        <f t="shared" ref="T292:T317" si="2036">RANDBETWEEN(0,4)</f>
        <v>4</v>
      </c>
      <c r="U292" s="53">
        <f t="shared" ref="U292:U326" si="2037">ROUNDUP(V292/3,0)</f>
        <v>2</v>
      </c>
      <c r="V292" s="54">
        <f t="shared" ref="V292:V317" si="2038">RANDBETWEEN(0,4)</f>
        <v>4</v>
      </c>
      <c r="W292" s="53">
        <f t="shared" ref="W292:W326" si="2039">ROUNDUP(X292/3,0)</f>
        <v>1</v>
      </c>
      <c r="X292" s="54">
        <f t="shared" ref="X292:X317" si="2040">RANDBETWEEN(0,4)</f>
        <v>2</v>
      </c>
      <c r="Y292" s="53">
        <f t="shared" ref="Y292:Y326" si="2041">ROUNDUP(Z292/3,0)</f>
        <v>0</v>
      </c>
      <c r="Z292" s="54">
        <f t="shared" ref="Z292:Z317" si="2042">RANDBETWEEN(0,4)</f>
        <v>0</v>
      </c>
      <c r="AA292" s="53">
        <f t="shared" ref="AA292:AA326" si="2043">ROUNDUP(AB292/3,0)</f>
        <v>0</v>
      </c>
      <c r="AB292" s="54">
        <f t="shared" ref="AB292:AB317" si="2044">RANDBETWEEN(0,4)</f>
        <v>0</v>
      </c>
      <c r="AC292" s="49">
        <f t="shared" ref="AC292:AD292" si="2018">SUM(S292,U292,W292,Y292,AA292)</f>
        <v>5</v>
      </c>
      <c r="AD292" s="50">
        <f t="shared" si="2018"/>
        <v>10</v>
      </c>
      <c r="AE292" s="53">
        <f t="shared" ref="AE292:AE326" si="2046">ROUNDUP(AF292/3,0)</f>
        <v>2</v>
      </c>
      <c r="AF292" s="54">
        <f t="shared" ref="AF292:AF317" si="2047">RANDBETWEEN(0,4)</f>
        <v>4</v>
      </c>
      <c r="AG292" s="53">
        <f t="shared" ref="AG292:AG326" si="2048">ROUNDUP(AH292/3,0)</f>
        <v>2</v>
      </c>
      <c r="AH292" s="54">
        <f t="shared" ref="AH292:AH317" si="2049">RANDBETWEEN(0,4)</f>
        <v>4</v>
      </c>
      <c r="AI292" s="53">
        <f t="shared" ref="AI292:AI326" si="2050">ROUNDUP(AJ292/3,0)</f>
        <v>0</v>
      </c>
      <c r="AJ292" s="54">
        <f t="shared" ref="AJ292:AJ317" si="2051">RANDBETWEEN(0,4)</f>
        <v>0</v>
      </c>
      <c r="AK292" s="53">
        <f t="shared" ref="AK292:AK326" si="2052">ROUNDUP(AL292/3,0)</f>
        <v>1</v>
      </c>
      <c r="AL292" s="54">
        <f t="shared" ref="AL292:AL317" si="2053">RANDBETWEEN(0,4)</f>
        <v>2</v>
      </c>
      <c r="AM292" s="53">
        <f t="shared" ref="AM292:AM326" si="2054">ROUNDUP(AN292/3,0)</f>
        <v>1</v>
      </c>
      <c r="AN292" s="54">
        <f t="shared" ref="AN292:AN317" si="2055">RANDBETWEEN(0,4)</f>
        <v>3</v>
      </c>
      <c r="AO292" s="53">
        <f t="shared" ref="AO292:AO326" si="2056">ROUNDUP(AP292/3,0)</f>
        <v>1</v>
      </c>
      <c r="AP292" s="54">
        <f t="shared" ref="AP292:AP317" si="2057">RANDBETWEEN(0,4)</f>
        <v>3</v>
      </c>
      <c r="AQ292" s="49">
        <f t="shared" ref="AQ292:AR292" si="2019">SUM(AG292,AI292,AK292,AM292,AO292)</f>
        <v>5</v>
      </c>
      <c r="AR292" s="50">
        <f t="shared" si="2019"/>
        <v>12</v>
      </c>
      <c r="AS292" s="53">
        <f t="shared" ref="AS292:AS326" si="2059">ROUNDUP(AT292/3,0)</f>
        <v>1</v>
      </c>
      <c r="AT292" s="54">
        <f t="shared" ref="AT292:AT317" si="2060">RANDBETWEEN(0,4)</f>
        <v>1</v>
      </c>
      <c r="AU292" s="53">
        <f t="shared" ref="AU292:AU326" si="2061">ROUNDUP(AV292/3,0)</f>
        <v>0</v>
      </c>
      <c r="AV292" s="54">
        <f t="shared" ref="AV292:AV317" si="2062">RANDBETWEEN(0,4)</f>
        <v>0</v>
      </c>
      <c r="AW292" s="53">
        <f t="shared" ref="AW292:AW326" si="2063">ROUNDUP(AX292/3,0)</f>
        <v>1</v>
      </c>
      <c r="AX292" s="54">
        <f t="shared" ref="AX292:AX317" si="2064">RANDBETWEEN(0,4)</f>
        <v>1</v>
      </c>
      <c r="AY292" s="53">
        <f t="shared" ref="AY292:AY326" si="2065">ROUNDUP(AZ292/3,0)</f>
        <v>1</v>
      </c>
      <c r="AZ292" s="54">
        <f t="shared" ref="AZ292:AZ317" si="2066">RANDBETWEEN(0,4)</f>
        <v>2</v>
      </c>
      <c r="BA292" s="53">
        <f t="shared" ref="BA292:BA326" si="2067">ROUNDUP(BB292/3,0)</f>
        <v>1</v>
      </c>
      <c r="BB292" s="54">
        <f t="shared" ref="BB292:BB317" si="2068">RANDBETWEEN(0,4)</f>
        <v>1</v>
      </c>
      <c r="BC292" s="49">
        <f t="shared" ref="BC292:BD292" si="2020">SUM(AS292,AU292,AW292,AY292,BA292)</f>
        <v>4</v>
      </c>
      <c r="BD292" s="50">
        <f t="shared" si="2020"/>
        <v>5</v>
      </c>
      <c r="BE292" s="68">
        <f t="shared" ref="BE292:BF292" si="2021">SUM(E292,G292,I292,O292,Q292,AC292,AQ292,BC292)</f>
        <v>21</v>
      </c>
      <c r="BF292" s="69">
        <f t="shared" si="2021"/>
        <v>41</v>
      </c>
      <c r="BG292" s="46" t="str">
        <f>BF292*'ОВгП_РАО'!$B$2</f>
        <v>#REF!</v>
      </c>
      <c r="BH292" s="46" t="str">
        <f>'ОВгП_РАО'!$B$2</f>
        <v>#REF!</v>
      </c>
    </row>
    <row r="293" ht="15.75" customHeight="1">
      <c r="A293" s="71">
        <f t="shared" ref="A293:A326" si="2071">A292</f>
        <v>46269</v>
      </c>
      <c r="B293" s="45" t="s">
        <v>115</v>
      </c>
      <c r="C293" s="46" t="s">
        <v>96</v>
      </c>
      <c r="D293" s="47" t="s">
        <v>98</v>
      </c>
      <c r="E293" s="73">
        <f t="shared" si="2022"/>
        <v>1</v>
      </c>
      <c r="F293" s="50">
        <f t="shared" si="2023"/>
        <v>3</v>
      </c>
      <c r="G293" s="73">
        <f t="shared" si="2024"/>
        <v>2</v>
      </c>
      <c r="H293" s="50">
        <f t="shared" si="2025"/>
        <v>4</v>
      </c>
      <c r="I293" s="73">
        <f t="shared" si="2026"/>
        <v>1</v>
      </c>
      <c r="J293" s="50">
        <f t="shared" si="2027"/>
        <v>1</v>
      </c>
      <c r="K293" s="53">
        <f t="shared" si="2028"/>
        <v>1</v>
      </c>
      <c r="L293" s="54">
        <f t="shared" si="2029"/>
        <v>1</v>
      </c>
      <c r="M293" s="53">
        <f t="shared" si="2030"/>
        <v>1</v>
      </c>
      <c r="N293" s="54">
        <f t="shared" si="2031"/>
        <v>2</v>
      </c>
      <c r="O293" s="49">
        <f t="shared" ref="O293:P293" si="2032">SUM(K293,M293)</f>
        <v>2</v>
      </c>
      <c r="P293" s="50">
        <f t="shared" si="2032"/>
        <v>3</v>
      </c>
      <c r="Q293" s="73">
        <f t="shared" si="2033"/>
        <v>1</v>
      </c>
      <c r="R293" s="50">
        <f t="shared" si="2034"/>
        <v>2</v>
      </c>
      <c r="S293" s="53">
        <f t="shared" si="2035"/>
        <v>1</v>
      </c>
      <c r="T293" s="54">
        <f t="shared" si="2036"/>
        <v>1</v>
      </c>
      <c r="U293" s="53">
        <f t="shared" si="2037"/>
        <v>1</v>
      </c>
      <c r="V293" s="54">
        <f t="shared" si="2038"/>
        <v>1</v>
      </c>
      <c r="W293" s="53">
        <f t="shared" si="2039"/>
        <v>1</v>
      </c>
      <c r="X293" s="54">
        <f t="shared" si="2040"/>
        <v>3</v>
      </c>
      <c r="Y293" s="53">
        <f t="shared" si="2041"/>
        <v>1</v>
      </c>
      <c r="Z293" s="54">
        <f t="shared" si="2042"/>
        <v>2</v>
      </c>
      <c r="AA293" s="53">
        <f t="shared" si="2043"/>
        <v>0</v>
      </c>
      <c r="AB293" s="54">
        <f t="shared" si="2044"/>
        <v>0</v>
      </c>
      <c r="AC293" s="49">
        <f t="shared" ref="AC293:AD293" si="2045">SUM(S293,U293,W293,Y293,AA293)</f>
        <v>4</v>
      </c>
      <c r="AD293" s="50">
        <f t="shared" si="2045"/>
        <v>7</v>
      </c>
      <c r="AE293" s="53">
        <f t="shared" si="2046"/>
        <v>1</v>
      </c>
      <c r="AF293" s="54">
        <f t="shared" si="2047"/>
        <v>2</v>
      </c>
      <c r="AG293" s="53">
        <f t="shared" si="2048"/>
        <v>1</v>
      </c>
      <c r="AH293" s="54">
        <f t="shared" si="2049"/>
        <v>2</v>
      </c>
      <c r="AI293" s="53">
        <f t="shared" si="2050"/>
        <v>1</v>
      </c>
      <c r="AJ293" s="54">
        <f t="shared" si="2051"/>
        <v>2</v>
      </c>
      <c r="AK293" s="53">
        <f t="shared" si="2052"/>
        <v>1</v>
      </c>
      <c r="AL293" s="54">
        <f t="shared" si="2053"/>
        <v>2</v>
      </c>
      <c r="AM293" s="53">
        <f t="shared" si="2054"/>
        <v>1</v>
      </c>
      <c r="AN293" s="54">
        <f t="shared" si="2055"/>
        <v>2</v>
      </c>
      <c r="AO293" s="53">
        <f t="shared" si="2056"/>
        <v>1</v>
      </c>
      <c r="AP293" s="54">
        <f t="shared" si="2057"/>
        <v>2</v>
      </c>
      <c r="AQ293" s="49">
        <f t="shared" ref="AQ293:AR293" si="2058">SUM(AG293,AI293,AK293,AM293,AO293)</f>
        <v>5</v>
      </c>
      <c r="AR293" s="50">
        <f t="shared" si="2058"/>
        <v>10</v>
      </c>
      <c r="AS293" s="53">
        <f t="shared" si="2059"/>
        <v>1</v>
      </c>
      <c r="AT293" s="54">
        <f t="shared" si="2060"/>
        <v>1</v>
      </c>
      <c r="AU293" s="53">
        <f t="shared" si="2061"/>
        <v>1</v>
      </c>
      <c r="AV293" s="54">
        <f t="shared" si="2062"/>
        <v>3</v>
      </c>
      <c r="AW293" s="53">
        <f t="shared" si="2063"/>
        <v>0</v>
      </c>
      <c r="AX293" s="54">
        <f t="shared" si="2064"/>
        <v>0</v>
      </c>
      <c r="AY293" s="53">
        <f t="shared" si="2065"/>
        <v>0</v>
      </c>
      <c r="AZ293" s="54">
        <f t="shared" si="2066"/>
        <v>0</v>
      </c>
      <c r="BA293" s="53">
        <f t="shared" si="2067"/>
        <v>0</v>
      </c>
      <c r="BB293" s="54">
        <f t="shared" si="2068"/>
        <v>0</v>
      </c>
      <c r="BC293" s="49">
        <f t="shared" ref="BC293:BD293" si="2069">SUM(AS293,AU293,AW293,AY293,BA293)</f>
        <v>2</v>
      </c>
      <c r="BD293" s="50">
        <f t="shared" si="2069"/>
        <v>4</v>
      </c>
      <c r="BE293" s="68">
        <f t="shared" ref="BE293:BF293" si="2070">SUM(E293,G293,I293,O293,Q293,AC293,AQ293,BC293)</f>
        <v>18</v>
      </c>
      <c r="BF293" s="69">
        <f t="shared" si="2070"/>
        <v>34</v>
      </c>
      <c r="BG293" s="46" t="str">
        <f>BF293*'ОВгП_РАО'!$B$3</f>
        <v>#REF!</v>
      </c>
      <c r="BH293" s="46" t="str">
        <f>'ОВгП_РАО'!$B$3</f>
        <v>#REF!</v>
      </c>
    </row>
    <row r="294" ht="15.75" customHeight="1">
      <c r="A294" s="80">
        <f t="shared" si="2071"/>
        <v>46269</v>
      </c>
      <c r="B294" s="45" t="s">
        <v>116</v>
      </c>
      <c r="C294" s="46" t="s">
        <v>96</v>
      </c>
      <c r="D294" s="47" t="s">
        <v>98</v>
      </c>
      <c r="E294" s="73">
        <f t="shared" si="2022"/>
        <v>1</v>
      </c>
      <c r="F294" s="50">
        <f t="shared" si="2023"/>
        <v>3</v>
      </c>
      <c r="G294" s="73">
        <f t="shared" si="2024"/>
        <v>2</v>
      </c>
      <c r="H294" s="50">
        <f t="shared" si="2025"/>
        <v>4</v>
      </c>
      <c r="I294" s="73">
        <f t="shared" si="2026"/>
        <v>2</v>
      </c>
      <c r="J294" s="50">
        <f t="shared" si="2027"/>
        <v>4</v>
      </c>
      <c r="K294" s="53">
        <f t="shared" si="2028"/>
        <v>2</v>
      </c>
      <c r="L294" s="54">
        <f t="shared" si="2029"/>
        <v>4</v>
      </c>
      <c r="M294" s="53">
        <f t="shared" si="2030"/>
        <v>1</v>
      </c>
      <c r="N294" s="54">
        <f t="shared" si="2031"/>
        <v>2</v>
      </c>
      <c r="O294" s="49">
        <f t="shared" ref="O294:P294" si="2072">SUM(K294,M294)</f>
        <v>3</v>
      </c>
      <c r="P294" s="50">
        <f t="shared" si="2072"/>
        <v>6</v>
      </c>
      <c r="Q294" s="73">
        <f t="shared" si="2033"/>
        <v>1</v>
      </c>
      <c r="R294" s="50">
        <f t="shared" si="2034"/>
        <v>2</v>
      </c>
      <c r="S294" s="53">
        <f t="shared" si="2035"/>
        <v>1</v>
      </c>
      <c r="T294" s="54">
        <f t="shared" si="2036"/>
        <v>2</v>
      </c>
      <c r="U294" s="53">
        <f t="shared" si="2037"/>
        <v>1</v>
      </c>
      <c r="V294" s="54">
        <f t="shared" si="2038"/>
        <v>2</v>
      </c>
      <c r="W294" s="53">
        <f t="shared" si="2039"/>
        <v>1</v>
      </c>
      <c r="X294" s="54">
        <f t="shared" si="2040"/>
        <v>3</v>
      </c>
      <c r="Y294" s="53">
        <f t="shared" si="2041"/>
        <v>1</v>
      </c>
      <c r="Z294" s="54">
        <f t="shared" si="2042"/>
        <v>2</v>
      </c>
      <c r="AA294" s="53">
        <f t="shared" si="2043"/>
        <v>1</v>
      </c>
      <c r="AB294" s="54">
        <f t="shared" si="2044"/>
        <v>2</v>
      </c>
      <c r="AC294" s="49">
        <f t="shared" ref="AC294:AD294" si="2073">SUM(S294,U294,W294,Y294,AA294)</f>
        <v>5</v>
      </c>
      <c r="AD294" s="50">
        <f t="shared" si="2073"/>
        <v>11</v>
      </c>
      <c r="AE294" s="53">
        <f t="shared" si="2046"/>
        <v>0</v>
      </c>
      <c r="AF294" s="54">
        <f t="shared" si="2047"/>
        <v>0</v>
      </c>
      <c r="AG294" s="53">
        <f t="shared" si="2048"/>
        <v>1</v>
      </c>
      <c r="AH294" s="54">
        <f t="shared" si="2049"/>
        <v>1</v>
      </c>
      <c r="AI294" s="53">
        <f t="shared" si="2050"/>
        <v>0</v>
      </c>
      <c r="AJ294" s="54">
        <f t="shared" si="2051"/>
        <v>0</v>
      </c>
      <c r="AK294" s="53">
        <f t="shared" si="2052"/>
        <v>1</v>
      </c>
      <c r="AL294" s="54">
        <f t="shared" si="2053"/>
        <v>2</v>
      </c>
      <c r="AM294" s="53">
        <f t="shared" si="2054"/>
        <v>2</v>
      </c>
      <c r="AN294" s="54">
        <f t="shared" si="2055"/>
        <v>4</v>
      </c>
      <c r="AO294" s="53">
        <f t="shared" si="2056"/>
        <v>1</v>
      </c>
      <c r="AP294" s="54">
        <f t="shared" si="2057"/>
        <v>3</v>
      </c>
      <c r="AQ294" s="49">
        <f t="shared" ref="AQ294:AR294" si="2074">SUM(AG294,AI294,AK294,AM294,AO294)</f>
        <v>5</v>
      </c>
      <c r="AR294" s="50">
        <f t="shared" si="2074"/>
        <v>10</v>
      </c>
      <c r="AS294" s="53">
        <f t="shared" si="2059"/>
        <v>1</v>
      </c>
      <c r="AT294" s="54">
        <f t="shared" si="2060"/>
        <v>3</v>
      </c>
      <c r="AU294" s="53">
        <f t="shared" si="2061"/>
        <v>1</v>
      </c>
      <c r="AV294" s="54">
        <f t="shared" si="2062"/>
        <v>2</v>
      </c>
      <c r="AW294" s="53">
        <f t="shared" si="2063"/>
        <v>1</v>
      </c>
      <c r="AX294" s="54">
        <f t="shared" si="2064"/>
        <v>3</v>
      </c>
      <c r="AY294" s="53">
        <f t="shared" si="2065"/>
        <v>1</v>
      </c>
      <c r="AZ294" s="54">
        <f t="shared" si="2066"/>
        <v>3</v>
      </c>
      <c r="BA294" s="53">
        <f t="shared" si="2067"/>
        <v>2</v>
      </c>
      <c r="BB294" s="54">
        <f t="shared" si="2068"/>
        <v>4</v>
      </c>
      <c r="BC294" s="49">
        <f t="shared" ref="BC294:BD294" si="2075">SUM(AS294,AU294,AW294,AY294,BA294)</f>
        <v>6</v>
      </c>
      <c r="BD294" s="50">
        <f t="shared" si="2075"/>
        <v>15</v>
      </c>
      <c r="BE294" s="68">
        <f t="shared" ref="BE294:BF294" si="2076">SUM(E294,G294,I294,O294,Q294,AC294,AQ294,BC294)</f>
        <v>25</v>
      </c>
      <c r="BF294" s="69">
        <f t="shared" si="2076"/>
        <v>55</v>
      </c>
      <c r="BG294" s="46" t="str">
        <f>BF294*'ОВгП_РАО'!$B$4</f>
        <v>#REF!</v>
      </c>
      <c r="BH294" s="46" t="str">
        <f>'ОВгП_РАО'!$B$4</f>
        <v>#REF!</v>
      </c>
    </row>
    <row r="295" ht="15.75" customHeight="1">
      <c r="A295" s="80">
        <f t="shared" si="2071"/>
        <v>46269</v>
      </c>
      <c r="B295" s="45" t="s">
        <v>117</v>
      </c>
      <c r="C295" s="46" t="s">
        <v>96</v>
      </c>
      <c r="D295" s="47" t="s">
        <v>98</v>
      </c>
      <c r="E295" s="73">
        <f t="shared" si="2022"/>
        <v>2</v>
      </c>
      <c r="F295" s="50">
        <f t="shared" si="2023"/>
        <v>4</v>
      </c>
      <c r="G295" s="73">
        <f t="shared" si="2024"/>
        <v>1</v>
      </c>
      <c r="H295" s="50">
        <f t="shared" si="2025"/>
        <v>2</v>
      </c>
      <c r="I295" s="73">
        <f t="shared" si="2026"/>
        <v>1</v>
      </c>
      <c r="J295" s="50">
        <f t="shared" si="2027"/>
        <v>2</v>
      </c>
      <c r="K295" s="53">
        <f t="shared" si="2028"/>
        <v>1</v>
      </c>
      <c r="L295" s="54">
        <f t="shared" si="2029"/>
        <v>1</v>
      </c>
      <c r="M295" s="53">
        <f t="shared" si="2030"/>
        <v>0</v>
      </c>
      <c r="N295" s="54">
        <f t="shared" si="2031"/>
        <v>0</v>
      </c>
      <c r="O295" s="49">
        <f t="shared" ref="O295:P295" si="2077">SUM(K295,M295)</f>
        <v>1</v>
      </c>
      <c r="P295" s="50">
        <f t="shared" si="2077"/>
        <v>1</v>
      </c>
      <c r="Q295" s="73">
        <f t="shared" si="2033"/>
        <v>1</v>
      </c>
      <c r="R295" s="50">
        <f t="shared" si="2034"/>
        <v>1</v>
      </c>
      <c r="S295" s="53">
        <f t="shared" si="2035"/>
        <v>0</v>
      </c>
      <c r="T295" s="54">
        <f t="shared" si="2036"/>
        <v>0</v>
      </c>
      <c r="U295" s="53">
        <f t="shared" si="2037"/>
        <v>2</v>
      </c>
      <c r="V295" s="54">
        <f t="shared" si="2038"/>
        <v>4</v>
      </c>
      <c r="W295" s="53">
        <f t="shared" si="2039"/>
        <v>0</v>
      </c>
      <c r="X295" s="54">
        <f t="shared" si="2040"/>
        <v>0</v>
      </c>
      <c r="Y295" s="53">
        <f t="shared" si="2041"/>
        <v>2</v>
      </c>
      <c r="Z295" s="54">
        <f t="shared" si="2042"/>
        <v>4</v>
      </c>
      <c r="AA295" s="53">
        <f t="shared" si="2043"/>
        <v>1</v>
      </c>
      <c r="AB295" s="54">
        <f t="shared" si="2044"/>
        <v>1</v>
      </c>
      <c r="AC295" s="49">
        <f t="shared" ref="AC295:AD295" si="2078">SUM(S295,U295,W295,Y295,AA295)</f>
        <v>5</v>
      </c>
      <c r="AD295" s="50">
        <f t="shared" si="2078"/>
        <v>9</v>
      </c>
      <c r="AE295" s="53">
        <f t="shared" si="2046"/>
        <v>0</v>
      </c>
      <c r="AF295" s="54">
        <f t="shared" si="2047"/>
        <v>0</v>
      </c>
      <c r="AG295" s="53">
        <f t="shared" si="2048"/>
        <v>1</v>
      </c>
      <c r="AH295" s="54">
        <f t="shared" si="2049"/>
        <v>2</v>
      </c>
      <c r="AI295" s="53">
        <f t="shared" si="2050"/>
        <v>0</v>
      </c>
      <c r="AJ295" s="54">
        <f t="shared" si="2051"/>
        <v>0</v>
      </c>
      <c r="AK295" s="53">
        <f t="shared" si="2052"/>
        <v>1</v>
      </c>
      <c r="AL295" s="54">
        <f t="shared" si="2053"/>
        <v>3</v>
      </c>
      <c r="AM295" s="53">
        <f t="shared" si="2054"/>
        <v>1</v>
      </c>
      <c r="AN295" s="54">
        <f t="shared" si="2055"/>
        <v>2</v>
      </c>
      <c r="AO295" s="53">
        <f t="shared" si="2056"/>
        <v>1</v>
      </c>
      <c r="AP295" s="54">
        <f t="shared" si="2057"/>
        <v>1</v>
      </c>
      <c r="AQ295" s="49">
        <f t="shared" ref="AQ295:AR295" si="2079">SUM(AG295,AI295,AK295,AM295,AO295)</f>
        <v>4</v>
      </c>
      <c r="AR295" s="50">
        <f t="shared" si="2079"/>
        <v>8</v>
      </c>
      <c r="AS295" s="53">
        <f t="shared" si="2059"/>
        <v>1</v>
      </c>
      <c r="AT295" s="54">
        <f t="shared" si="2060"/>
        <v>2</v>
      </c>
      <c r="AU295" s="53">
        <f t="shared" si="2061"/>
        <v>1</v>
      </c>
      <c r="AV295" s="54">
        <f t="shared" si="2062"/>
        <v>3</v>
      </c>
      <c r="AW295" s="53">
        <f t="shared" si="2063"/>
        <v>2</v>
      </c>
      <c r="AX295" s="54">
        <f t="shared" si="2064"/>
        <v>4</v>
      </c>
      <c r="AY295" s="53">
        <f t="shared" si="2065"/>
        <v>1</v>
      </c>
      <c r="AZ295" s="54">
        <f t="shared" si="2066"/>
        <v>1</v>
      </c>
      <c r="BA295" s="53">
        <f t="shared" si="2067"/>
        <v>1</v>
      </c>
      <c r="BB295" s="54">
        <f t="shared" si="2068"/>
        <v>3</v>
      </c>
      <c r="BC295" s="49">
        <f t="shared" ref="BC295:BD295" si="2080">SUM(AS295,AU295,AW295,AY295,BA295)</f>
        <v>6</v>
      </c>
      <c r="BD295" s="50">
        <f t="shared" si="2080"/>
        <v>13</v>
      </c>
      <c r="BE295" s="68">
        <f t="shared" ref="BE295:BF295" si="2081">SUM(E295,G295,I295,O295,Q295,AC295,AQ295,BC295)</f>
        <v>21</v>
      </c>
      <c r="BF295" s="69">
        <f t="shared" si="2081"/>
        <v>40</v>
      </c>
      <c r="BG295" s="46" t="str">
        <f>BF295*'ОВгП_РАО'!$B$5</f>
        <v>#REF!</v>
      </c>
      <c r="BH295" s="46" t="str">
        <f>'ОВгП_РАО'!$B$5</f>
        <v>#REF!</v>
      </c>
    </row>
    <row r="296" ht="15.75" customHeight="1">
      <c r="A296" s="80">
        <f t="shared" si="2071"/>
        <v>46269</v>
      </c>
      <c r="B296" s="45" t="s">
        <v>118</v>
      </c>
      <c r="C296" s="45" t="s">
        <v>96</v>
      </c>
      <c r="D296" s="47" t="s">
        <v>98</v>
      </c>
      <c r="E296" s="73">
        <f t="shared" si="2022"/>
        <v>1</v>
      </c>
      <c r="F296" s="50">
        <f t="shared" si="2023"/>
        <v>1</v>
      </c>
      <c r="G296" s="73">
        <f t="shared" si="2024"/>
        <v>1</v>
      </c>
      <c r="H296" s="50">
        <f t="shared" si="2025"/>
        <v>2</v>
      </c>
      <c r="I296" s="73">
        <f t="shared" si="2026"/>
        <v>1</v>
      </c>
      <c r="J296" s="50">
        <f t="shared" si="2027"/>
        <v>1</v>
      </c>
      <c r="K296" s="53">
        <f t="shared" si="2028"/>
        <v>1</v>
      </c>
      <c r="L296" s="54">
        <f t="shared" si="2029"/>
        <v>2</v>
      </c>
      <c r="M296" s="53">
        <f t="shared" si="2030"/>
        <v>1</v>
      </c>
      <c r="N296" s="54">
        <f t="shared" si="2031"/>
        <v>1</v>
      </c>
      <c r="O296" s="49">
        <f t="shared" ref="O296:P296" si="2082">SUM(K296,M296)</f>
        <v>2</v>
      </c>
      <c r="P296" s="50">
        <f t="shared" si="2082"/>
        <v>3</v>
      </c>
      <c r="Q296" s="73">
        <f t="shared" si="2033"/>
        <v>1</v>
      </c>
      <c r="R296" s="50">
        <f t="shared" si="2034"/>
        <v>2</v>
      </c>
      <c r="S296" s="53">
        <f t="shared" si="2035"/>
        <v>0</v>
      </c>
      <c r="T296" s="54">
        <f t="shared" si="2036"/>
        <v>0</v>
      </c>
      <c r="U296" s="53">
        <f t="shared" si="2037"/>
        <v>1</v>
      </c>
      <c r="V296" s="54">
        <f t="shared" si="2038"/>
        <v>1</v>
      </c>
      <c r="W296" s="53">
        <f t="shared" si="2039"/>
        <v>1</v>
      </c>
      <c r="X296" s="54">
        <f t="shared" si="2040"/>
        <v>1</v>
      </c>
      <c r="Y296" s="53">
        <f t="shared" si="2041"/>
        <v>1</v>
      </c>
      <c r="Z296" s="54">
        <f t="shared" si="2042"/>
        <v>3</v>
      </c>
      <c r="AA296" s="53">
        <f t="shared" si="2043"/>
        <v>1</v>
      </c>
      <c r="AB296" s="54">
        <f t="shared" si="2044"/>
        <v>1</v>
      </c>
      <c r="AC296" s="49">
        <f t="shared" ref="AC296:AD296" si="2083">SUM(S296,U296,W296,Y296,AA296)</f>
        <v>4</v>
      </c>
      <c r="AD296" s="50">
        <f t="shared" si="2083"/>
        <v>6</v>
      </c>
      <c r="AE296" s="53">
        <f t="shared" si="2046"/>
        <v>0</v>
      </c>
      <c r="AF296" s="54">
        <f t="shared" si="2047"/>
        <v>0</v>
      </c>
      <c r="AG296" s="53">
        <f t="shared" si="2048"/>
        <v>1</v>
      </c>
      <c r="AH296" s="54">
        <f t="shared" si="2049"/>
        <v>1</v>
      </c>
      <c r="AI296" s="53">
        <f t="shared" si="2050"/>
        <v>0</v>
      </c>
      <c r="AJ296" s="54">
        <f t="shared" si="2051"/>
        <v>0</v>
      </c>
      <c r="AK296" s="53">
        <f t="shared" si="2052"/>
        <v>2</v>
      </c>
      <c r="AL296" s="54">
        <f t="shared" si="2053"/>
        <v>4</v>
      </c>
      <c r="AM296" s="53">
        <f t="shared" si="2054"/>
        <v>2</v>
      </c>
      <c r="AN296" s="54">
        <f t="shared" si="2055"/>
        <v>4</v>
      </c>
      <c r="AO296" s="53">
        <f t="shared" si="2056"/>
        <v>1</v>
      </c>
      <c r="AP296" s="54">
        <f t="shared" si="2057"/>
        <v>2</v>
      </c>
      <c r="AQ296" s="49">
        <f t="shared" ref="AQ296:AR296" si="2084">SUM(AG296,AI296,AK296,AM296,AO296)</f>
        <v>6</v>
      </c>
      <c r="AR296" s="50">
        <f t="shared" si="2084"/>
        <v>11</v>
      </c>
      <c r="AS296" s="53">
        <f t="shared" si="2059"/>
        <v>1</v>
      </c>
      <c r="AT296" s="54">
        <f t="shared" si="2060"/>
        <v>2</v>
      </c>
      <c r="AU296" s="53">
        <f t="shared" si="2061"/>
        <v>1</v>
      </c>
      <c r="AV296" s="54">
        <f t="shared" si="2062"/>
        <v>1</v>
      </c>
      <c r="AW296" s="53">
        <f t="shared" si="2063"/>
        <v>0</v>
      </c>
      <c r="AX296" s="54">
        <f t="shared" si="2064"/>
        <v>0</v>
      </c>
      <c r="AY296" s="53">
        <f t="shared" si="2065"/>
        <v>1</v>
      </c>
      <c r="AZ296" s="54">
        <f t="shared" si="2066"/>
        <v>2</v>
      </c>
      <c r="BA296" s="53">
        <f t="shared" si="2067"/>
        <v>1</v>
      </c>
      <c r="BB296" s="54">
        <f t="shared" si="2068"/>
        <v>2</v>
      </c>
      <c r="BC296" s="49">
        <f t="shared" ref="BC296:BD296" si="2085">SUM(AS296,AU296,AW296,AY296,BA296)</f>
        <v>4</v>
      </c>
      <c r="BD296" s="50">
        <f t="shared" si="2085"/>
        <v>7</v>
      </c>
      <c r="BE296" s="68">
        <f t="shared" ref="BE296:BF296" si="2086">SUM(E296,G296,I296,O296,Q296,AC296,AQ296,BC296)</f>
        <v>20</v>
      </c>
      <c r="BF296" s="69">
        <f t="shared" si="2086"/>
        <v>33</v>
      </c>
      <c r="BG296" s="46" t="str">
        <f>BF296*'ОВгП_РАО'!$B$6</f>
        <v>#REF!</v>
      </c>
      <c r="BH296" s="46" t="str">
        <f>'ОВгП_РАО'!$B$6</f>
        <v>#REF!</v>
      </c>
    </row>
    <row r="297" ht="15.75" customHeight="1">
      <c r="A297" s="80">
        <f t="shared" si="2071"/>
        <v>46269</v>
      </c>
      <c r="B297" s="46" t="s">
        <v>119</v>
      </c>
      <c r="C297" s="45" t="s">
        <v>96</v>
      </c>
      <c r="D297" s="47" t="s">
        <v>120</v>
      </c>
      <c r="E297" s="73">
        <f t="shared" si="2022"/>
        <v>1</v>
      </c>
      <c r="F297" s="50">
        <f t="shared" si="2023"/>
        <v>3</v>
      </c>
      <c r="G297" s="73">
        <f t="shared" si="2024"/>
        <v>0</v>
      </c>
      <c r="H297" s="50">
        <f t="shared" si="2025"/>
        <v>0</v>
      </c>
      <c r="I297" s="73">
        <f t="shared" si="2026"/>
        <v>1</v>
      </c>
      <c r="J297" s="50">
        <f t="shared" si="2027"/>
        <v>2</v>
      </c>
      <c r="K297" s="53">
        <f t="shared" si="2028"/>
        <v>1</v>
      </c>
      <c r="L297" s="54">
        <f t="shared" si="2029"/>
        <v>2</v>
      </c>
      <c r="M297" s="53">
        <f t="shared" si="2030"/>
        <v>0</v>
      </c>
      <c r="N297" s="54">
        <f t="shared" si="2031"/>
        <v>0</v>
      </c>
      <c r="O297" s="49">
        <f t="shared" ref="O297:P297" si="2087">SUM(K297,M297)</f>
        <v>1</v>
      </c>
      <c r="P297" s="50">
        <f t="shared" si="2087"/>
        <v>2</v>
      </c>
      <c r="Q297" s="73">
        <f t="shared" si="2033"/>
        <v>1</v>
      </c>
      <c r="R297" s="50">
        <f t="shared" si="2034"/>
        <v>1</v>
      </c>
      <c r="S297" s="53">
        <f t="shared" si="2035"/>
        <v>2</v>
      </c>
      <c r="T297" s="54">
        <f t="shared" si="2036"/>
        <v>4</v>
      </c>
      <c r="U297" s="53">
        <f t="shared" si="2037"/>
        <v>0</v>
      </c>
      <c r="V297" s="54">
        <f t="shared" si="2038"/>
        <v>0</v>
      </c>
      <c r="W297" s="53">
        <f t="shared" si="2039"/>
        <v>1</v>
      </c>
      <c r="X297" s="54">
        <f t="shared" si="2040"/>
        <v>2</v>
      </c>
      <c r="Y297" s="53">
        <f t="shared" si="2041"/>
        <v>1</v>
      </c>
      <c r="Z297" s="54">
        <f t="shared" si="2042"/>
        <v>1</v>
      </c>
      <c r="AA297" s="53">
        <f t="shared" si="2043"/>
        <v>0</v>
      </c>
      <c r="AB297" s="54">
        <f t="shared" si="2044"/>
        <v>0</v>
      </c>
      <c r="AC297" s="49">
        <f t="shared" ref="AC297:AD297" si="2088">SUM(S297,U297,W297,Y297,AA297)</f>
        <v>4</v>
      </c>
      <c r="AD297" s="50">
        <f t="shared" si="2088"/>
        <v>7</v>
      </c>
      <c r="AE297" s="53">
        <f t="shared" si="2046"/>
        <v>1</v>
      </c>
      <c r="AF297" s="54">
        <f t="shared" si="2047"/>
        <v>2</v>
      </c>
      <c r="AG297" s="53">
        <f t="shared" si="2048"/>
        <v>1</v>
      </c>
      <c r="AH297" s="54">
        <f t="shared" si="2049"/>
        <v>2</v>
      </c>
      <c r="AI297" s="53">
        <f t="shared" si="2050"/>
        <v>2</v>
      </c>
      <c r="AJ297" s="54">
        <f t="shared" si="2051"/>
        <v>4</v>
      </c>
      <c r="AK297" s="53">
        <f t="shared" si="2052"/>
        <v>0</v>
      </c>
      <c r="AL297" s="54">
        <f t="shared" si="2053"/>
        <v>0</v>
      </c>
      <c r="AM297" s="53">
        <f t="shared" si="2054"/>
        <v>2</v>
      </c>
      <c r="AN297" s="54">
        <f t="shared" si="2055"/>
        <v>4</v>
      </c>
      <c r="AO297" s="53">
        <f t="shared" si="2056"/>
        <v>0</v>
      </c>
      <c r="AP297" s="54">
        <f t="shared" si="2057"/>
        <v>0</v>
      </c>
      <c r="AQ297" s="49">
        <f t="shared" ref="AQ297:AR297" si="2089">SUM(AG297,AI297,AK297,AM297,AO297)</f>
        <v>5</v>
      </c>
      <c r="AR297" s="50">
        <f t="shared" si="2089"/>
        <v>10</v>
      </c>
      <c r="AS297" s="53">
        <f t="shared" si="2059"/>
        <v>1</v>
      </c>
      <c r="AT297" s="54">
        <f t="shared" si="2060"/>
        <v>2</v>
      </c>
      <c r="AU297" s="53">
        <f t="shared" si="2061"/>
        <v>1</v>
      </c>
      <c r="AV297" s="54">
        <f t="shared" si="2062"/>
        <v>1</v>
      </c>
      <c r="AW297" s="53">
        <f t="shared" si="2063"/>
        <v>0</v>
      </c>
      <c r="AX297" s="54">
        <f t="shared" si="2064"/>
        <v>0</v>
      </c>
      <c r="AY297" s="53">
        <f t="shared" si="2065"/>
        <v>2</v>
      </c>
      <c r="AZ297" s="54">
        <f t="shared" si="2066"/>
        <v>4</v>
      </c>
      <c r="BA297" s="53">
        <f t="shared" si="2067"/>
        <v>1</v>
      </c>
      <c r="BB297" s="54">
        <f t="shared" si="2068"/>
        <v>2</v>
      </c>
      <c r="BC297" s="49">
        <f t="shared" ref="BC297:BD297" si="2090">SUM(AS297,AU297,AW297,AY297,BA297)</f>
        <v>5</v>
      </c>
      <c r="BD297" s="50">
        <f t="shared" si="2090"/>
        <v>9</v>
      </c>
      <c r="BE297" s="68">
        <f t="shared" ref="BE297:BF297" si="2091">SUM(E297,G297,I297,O297,Q297,AC297,AQ297,BC297)</f>
        <v>18</v>
      </c>
      <c r="BF297" s="69">
        <f t="shared" si="2091"/>
        <v>34</v>
      </c>
      <c r="BG297" s="46" t="str">
        <f>BF297*'ОВгП_РАО'!$B$7</f>
        <v>#REF!</v>
      </c>
      <c r="BH297" s="46" t="str">
        <f>'ОВгП_РАО'!$B$7</f>
        <v>#REF!</v>
      </c>
    </row>
    <row r="298" ht="15.75" customHeight="1">
      <c r="A298" s="80">
        <f t="shared" si="2071"/>
        <v>46269</v>
      </c>
      <c r="B298" s="45" t="s">
        <v>121</v>
      </c>
      <c r="C298" s="47" t="s">
        <v>122</v>
      </c>
      <c r="D298" s="47" t="s">
        <v>123</v>
      </c>
      <c r="E298" s="73">
        <f t="shared" si="2022"/>
        <v>0</v>
      </c>
      <c r="F298" s="50">
        <f t="shared" si="2023"/>
        <v>0</v>
      </c>
      <c r="G298" s="73">
        <f t="shared" si="2024"/>
        <v>1</v>
      </c>
      <c r="H298" s="50">
        <f t="shared" si="2025"/>
        <v>2</v>
      </c>
      <c r="I298" s="73">
        <f t="shared" si="2026"/>
        <v>1</v>
      </c>
      <c r="J298" s="50">
        <f t="shared" si="2027"/>
        <v>3</v>
      </c>
      <c r="K298" s="53">
        <f t="shared" si="2028"/>
        <v>0</v>
      </c>
      <c r="L298" s="54">
        <f t="shared" si="2029"/>
        <v>0</v>
      </c>
      <c r="M298" s="53">
        <f t="shared" si="2030"/>
        <v>1</v>
      </c>
      <c r="N298" s="54">
        <f t="shared" si="2031"/>
        <v>1</v>
      </c>
      <c r="O298" s="49">
        <f t="shared" ref="O298:P298" si="2092">SUM(K298,M298)</f>
        <v>1</v>
      </c>
      <c r="P298" s="50">
        <f t="shared" si="2092"/>
        <v>1</v>
      </c>
      <c r="Q298" s="73">
        <f t="shared" si="2033"/>
        <v>1</v>
      </c>
      <c r="R298" s="50">
        <f t="shared" si="2034"/>
        <v>3</v>
      </c>
      <c r="S298" s="53">
        <f t="shared" si="2035"/>
        <v>1</v>
      </c>
      <c r="T298" s="54">
        <f t="shared" si="2036"/>
        <v>3</v>
      </c>
      <c r="U298" s="53">
        <f t="shared" si="2037"/>
        <v>2</v>
      </c>
      <c r="V298" s="54">
        <f t="shared" si="2038"/>
        <v>4</v>
      </c>
      <c r="W298" s="53">
        <f t="shared" si="2039"/>
        <v>1</v>
      </c>
      <c r="X298" s="54">
        <f t="shared" si="2040"/>
        <v>2</v>
      </c>
      <c r="Y298" s="53">
        <f t="shared" si="2041"/>
        <v>1</v>
      </c>
      <c r="Z298" s="54">
        <f t="shared" si="2042"/>
        <v>1</v>
      </c>
      <c r="AA298" s="53">
        <f t="shared" si="2043"/>
        <v>0</v>
      </c>
      <c r="AB298" s="54">
        <f t="shared" si="2044"/>
        <v>0</v>
      </c>
      <c r="AC298" s="49">
        <f t="shared" ref="AC298:AD298" si="2093">SUM(S298,U298,W298,Y298,AA298)</f>
        <v>5</v>
      </c>
      <c r="AD298" s="50">
        <f t="shared" si="2093"/>
        <v>10</v>
      </c>
      <c r="AE298" s="53">
        <f t="shared" si="2046"/>
        <v>0</v>
      </c>
      <c r="AF298" s="54">
        <f t="shared" si="2047"/>
        <v>0</v>
      </c>
      <c r="AG298" s="53">
        <f t="shared" si="2048"/>
        <v>0</v>
      </c>
      <c r="AH298" s="54">
        <f t="shared" si="2049"/>
        <v>0</v>
      </c>
      <c r="AI298" s="53">
        <f t="shared" si="2050"/>
        <v>2</v>
      </c>
      <c r="AJ298" s="54">
        <f t="shared" si="2051"/>
        <v>4</v>
      </c>
      <c r="AK298" s="53">
        <f t="shared" si="2052"/>
        <v>1</v>
      </c>
      <c r="AL298" s="54">
        <f t="shared" si="2053"/>
        <v>2</v>
      </c>
      <c r="AM298" s="53">
        <f t="shared" si="2054"/>
        <v>1</v>
      </c>
      <c r="AN298" s="54">
        <f t="shared" si="2055"/>
        <v>3</v>
      </c>
      <c r="AO298" s="53">
        <f t="shared" si="2056"/>
        <v>1</v>
      </c>
      <c r="AP298" s="54">
        <f t="shared" si="2057"/>
        <v>3</v>
      </c>
      <c r="AQ298" s="49">
        <f t="shared" ref="AQ298:AR298" si="2094">SUM(AG298,AI298,AK298,AM298,AO298)</f>
        <v>5</v>
      </c>
      <c r="AR298" s="50">
        <f t="shared" si="2094"/>
        <v>12</v>
      </c>
      <c r="AS298" s="53">
        <f t="shared" si="2059"/>
        <v>0</v>
      </c>
      <c r="AT298" s="54">
        <f t="shared" si="2060"/>
        <v>0</v>
      </c>
      <c r="AU298" s="53">
        <f t="shared" si="2061"/>
        <v>0</v>
      </c>
      <c r="AV298" s="54">
        <f t="shared" si="2062"/>
        <v>0</v>
      </c>
      <c r="AW298" s="53">
        <f t="shared" si="2063"/>
        <v>1</v>
      </c>
      <c r="AX298" s="54">
        <f t="shared" si="2064"/>
        <v>1</v>
      </c>
      <c r="AY298" s="53">
        <f t="shared" si="2065"/>
        <v>2</v>
      </c>
      <c r="AZ298" s="54">
        <f t="shared" si="2066"/>
        <v>4</v>
      </c>
      <c r="BA298" s="53">
        <f t="shared" si="2067"/>
        <v>0</v>
      </c>
      <c r="BB298" s="54">
        <f t="shared" si="2068"/>
        <v>0</v>
      </c>
      <c r="BC298" s="49">
        <f t="shared" ref="BC298:BD298" si="2095">SUM(AS298,AU298,AW298,AY298,BA298)</f>
        <v>3</v>
      </c>
      <c r="BD298" s="50">
        <f t="shared" si="2095"/>
        <v>5</v>
      </c>
      <c r="BE298" s="68">
        <f t="shared" ref="BE298:BF298" si="2096">SUM(E298,G298,I298,O298,Q298,AC298,AQ298,BC298)</f>
        <v>17</v>
      </c>
      <c r="BF298" s="69">
        <f t="shared" si="2096"/>
        <v>36</v>
      </c>
      <c r="BG298" s="46" t="str">
        <f>BF298*'ОВгП_РАО'!$B$8</f>
        <v>#REF!</v>
      </c>
      <c r="BH298" s="46" t="str">
        <f>'ОВгП_РАО'!$B$8</f>
        <v>#REF!</v>
      </c>
    </row>
    <row r="299" ht="15.75" customHeight="1">
      <c r="A299" s="80">
        <f t="shared" si="2071"/>
        <v>46269</v>
      </c>
      <c r="B299" s="46" t="s">
        <v>124</v>
      </c>
      <c r="C299" s="46" t="s">
        <v>125</v>
      </c>
      <c r="D299" s="46" t="s">
        <v>126</v>
      </c>
      <c r="E299" s="73">
        <f t="shared" si="2022"/>
        <v>2</v>
      </c>
      <c r="F299" s="50">
        <f t="shared" si="2023"/>
        <v>4</v>
      </c>
      <c r="G299" s="73">
        <f t="shared" si="2024"/>
        <v>1</v>
      </c>
      <c r="H299" s="50">
        <f t="shared" si="2025"/>
        <v>2</v>
      </c>
      <c r="I299" s="73">
        <f t="shared" si="2026"/>
        <v>0</v>
      </c>
      <c r="J299" s="50">
        <f t="shared" si="2027"/>
        <v>0</v>
      </c>
      <c r="K299" s="53">
        <f t="shared" si="2028"/>
        <v>2</v>
      </c>
      <c r="L299" s="54">
        <f t="shared" si="2029"/>
        <v>4</v>
      </c>
      <c r="M299" s="53">
        <f t="shared" si="2030"/>
        <v>2</v>
      </c>
      <c r="N299" s="54">
        <f t="shared" si="2031"/>
        <v>4</v>
      </c>
      <c r="O299" s="49">
        <f t="shared" ref="O299:P299" si="2097">SUM(K299,M299)</f>
        <v>4</v>
      </c>
      <c r="P299" s="50">
        <f t="shared" si="2097"/>
        <v>8</v>
      </c>
      <c r="Q299" s="73">
        <f t="shared" si="2033"/>
        <v>0</v>
      </c>
      <c r="R299" s="50">
        <f t="shared" si="2034"/>
        <v>0</v>
      </c>
      <c r="S299" s="53">
        <f t="shared" si="2035"/>
        <v>1</v>
      </c>
      <c r="T299" s="54">
        <f t="shared" si="2036"/>
        <v>2</v>
      </c>
      <c r="U299" s="53">
        <f t="shared" si="2037"/>
        <v>1</v>
      </c>
      <c r="V299" s="54">
        <f t="shared" si="2038"/>
        <v>2</v>
      </c>
      <c r="W299" s="53">
        <f t="shared" si="2039"/>
        <v>2</v>
      </c>
      <c r="X299" s="54">
        <f t="shared" si="2040"/>
        <v>4</v>
      </c>
      <c r="Y299" s="53">
        <f t="shared" si="2041"/>
        <v>1</v>
      </c>
      <c r="Z299" s="54">
        <f t="shared" si="2042"/>
        <v>1</v>
      </c>
      <c r="AA299" s="53">
        <f t="shared" si="2043"/>
        <v>1</v>
      </c>
      <c r="AB299" s="54">
        <f t="shared" si="2044"/>
        <v>3</v>
      </c>
      <c r="AC299" s="49">
        <f t="shared" ref="AC299:AD299" si="2098">SUM(S299,U299,W299,Y299,AA299)</f>
        <v>6</v>
      </c>
      <c r="AD299" s="50">
        <f t="shared" si="2098"/>
        <v>12</v>
      </c>
      <c r="AE299" s="53">
        <f t="shared" si="2046"/>
        <v>1</v>
      </c>
      <c r="AF299" s="54">
        <f t="shared" si="2047"/>
        <v>3</v>
      </c>
      <c r="AG299" s="53">
        <f t="shared" si="2048"/>
        <v>1</v>
      </c>
      <c r="AH299" s="54">
        <f t="shared" si="2049"/>
        <v>1</v>
      </c>
      <c r="AI299" s="53">
        <f t="shared" si="2050"/>
        <v>1</v>
      </c>
      <c r="AJ299" s="54">
        <f t="shared" si="2051"/>
        <v>3</v>
      </c>
      <c r="AK299" s="53">
        <f t="shared" si="2052"/>
        <v>1</v>
      </c>
      <c r="AL299" s="54">
        <f t="shared" si="2053"/>
        <v>3</v>
      </c>
      <c r="AM299" s="53">
        <f t="shared" si="2054"/>
        <v>2</v>
      </c>
      <c r="AN299" s="54">
        <f t="shared" si="2055"/>
        <v>4</v>
      </c>
      <c r="AO299" s="53">
        <f t="shared" si="2056"/>
        <v>0</v>
      </c>
      <c r="AP299" s="54">
        <f t="shared" si="2057"/>
        <v>0</v>
      </c>
      <c r="AQ299" s="49">
        <f t="shared" ref="AQ299:AR299" si="2099">SUM(AG299,AI299,AK299,AM299,AO299)</f>
        <v>5</v>
      </c>
      <c r="AR299" s="50">
        <f t="shared" si="2099"/>
        <v>11</v>
      </c>
      <c r="AS299" s="53">
        <f t="shared" si="2059"/>
        <v>0</v>
      </c>
      <c r="AT299" s="54">
        <f t="shared" si="2060"/>
        <v>0</v>
      </c>
      <c r="AU299" s="53">
        <f t="shared" si="2061"/>
        <v>1</v>
      </c>
      <c r="AV299" s="54">
        <f t="shared" si="2062"/>
        <v>3</v>
      </c>
      <c r="AW299" s="53">
        <f t="shared" si="2063"/>
        <v>1</v>
      </c>
      <c r="AX299" s="54">
        <f t="shared" si="2064"/>
        <v>3</v>
      </c>
      <c r="AY299" s="53">
        <f t="shared" si="2065"/>
        <v>1</v>
      </c>
      <c r="AZ299" s="54">
        <f t="shared" si="2066"/>
        <v>3</v>
      </c>
      <c r="BA299" s="53">
        <f t="shared" si="2067"/>
        <v>1</v>
      </c>
      <c r="BB299" s="54">
        <f t="shared" si="2068"/>
        <v>1</v>
      </c>
      <c r="BC299" s="49">
        <f t="shared" ref="BC299:BD299" si="2100">SUM(AS299,AU299,AW299,AY299,BA299)</f>
        <v>4</v>
      </c>
      <c r="BD299" s="50">
        <f t="shared" si="2100"/>
        <v>10</v>
      </c>
      <c r="BE299" s="68">
        <f t="shared" ref="BE299:BF299" si="2101">SUM(E299,G299,I299,O299,Q299,AC299,AQ299,BC299)</f>
        <v>22</v>
      </c>
      <c r="BF299" s="69">
        <f t="shared" si="2101"/>
        <v>47</v>
      </c>
      <c r="BG299" s="46" t="str">
        <f>BF299*'ОВгП_РАО'!$B$9</f>
        <v>#REF!</v>
      </c>
      <c r="BH299" s="46" t="str">
        <f>'ОВгП_РАО'!$B$9</f>
        <v>#REF!</v>
      </c>
    </row>
    <row r="300" ht="15.75" customHeight="1">
      <c r="A300" s="80">
        <f t="shared" si="2071"/>
        <v>46269</v>
      </c>
      <c r="B300" s="46" t="s">
        <v>127</v>
      </c>
      <c r="C300" s="46" t="s">
        <v>125</v>
      </c>
      <c r="D300" s="46" t="s">
        <v>126</v>
      </c>
      <c r="E300" s="73">
        <f t="shared" si="2022"/>
        <v>1</v>
      </c>
      <c r="F300" s="50">
        <f t="shared" si="2023"/>
        <v>2</v>
      </c>
      <c r="G300" s="73">
        <f t="shared" si="2024"/>
        <v>1</v>
      </c>
      <c r="H300" s="50">
        <f t="shared" si="2025"/>
        <v>2</v>
      </c>
      <c r="I300" s="73">
        <f t="shared" si="2026"/>
        <v>1</v>
      </c>
      <c r="J300" s="50">
        <f t="shared" si="2027"/>
        <v>2</v>
      </c>
      <c r="K300" s="53">
        <f t="shared" si="2028"/>
        <v>2</v>
      </c>
      <c r="L300" s="54">
        <f t="shared" si="2029"/>
        <v>4</v>
      </c>
      <c r="M300" s="53">
        <f t="shared" si="2030"/>
        <v>2</v>
      </c>
      <c r="N300" s="54">
        <f t="shared" si="2031"/>
        <v>4</v>
      </c>
      <c r="O300" s="49">
        <f t="shared" ref="O300:P300" si="2102">SUM(K300,M300)</f>
        <v>4</v>
      </c>
      <c r="P300" s="50">
        <f t="shared" si="2102"/>
        <v>8</v>
      </c>
      <c r="Q300" s="73">
        <f t="shared" si="2033"/>
        <v>1</v>
      </c>
      <c r="R300" s="50">
        <f t="shared" si="2034"/>
        <v>1</v>
      </c>
      <c r="S300" s="53">
        <f t="shared" si="2035"/>
        <v>1</v>
      </c>
      <c r="T300" s="54">
        <f t="shared" si="2036"/>
        <v>1</v>
      </c>
      <c r="U300" s="53">
        <f t="shared" si="2037"/>
        <v>1</v>
      </c>
      <c r="V300" s="54">
        <f t="shared" si="2038"/>
        <v>2</v>
      </c>
      <c r="W300" s="53">
        <f t="shared" si="2039"/>
        <v>1</v>
      </c>
      <c r="X300" s="54">
        <f t="shared" si="2040"/>
        <v>3</v>
      </c>
      <c r="Y300" s="53">
        <f t="shared" si="2041"/>
        <v>1</v>
      </c>
      <c r="Z300" s="54">
        <f t="shared" si="2042"/>
        <v>3</v>
      </c>
      <c r="AA300" s="53">
        <f t="shared" si="2043"/>
        <v>1</v>
      </c>
      <c r="AB300" s="54">
        <f t="shared" si="2044"/>
        <v>3</v>
      </c>
      <c r="AC300" s="49">
        <f t="shared" ref="AC300:AD300" si="2103">SUM(S300,U300,W300,Y300,AA300)</f>
        <v>5</v>
      </c>
      <c r="AD300" s="50">
        <f t="shared" si="2103"/>
        <v>12</v>
      </c>
      <c r="AE300" s="53">
        <f t="shared" si="2046"/>
        <v>1</v>
      </c>
      <c r="AF300" s="54">
        <f t="shared" si="2047"/>
        <v>1</v>
      </c>
      <c r="AG300" s="53">
        <f t="shared" si="2048"/>
        <v>1</v>
      </c>
      <c r="AH300" s="54">
        <f t="shared" si="2049"/>
        <v>3</v>
      </c>
      <c r="AI300" s="53">
        <f t="shared" si="2050"/>
        <v>0</v>
      </c>
      <c r="AJ300" s="54">
        <f t="shared" si="2051"/>
        <v>0</v>
      </c>
      <c r="AK300" s="53">
        <f t="shared" si="2052"/>
        <v>2</v>
      </c>
      <c r="AL300" s="54">
        <f t="shared" si="2053"/>
        <v>4</v>
      </c>
      <c r="AM300" s="53">
        <f t="shared" si="2054"/>
        <v>1</v>
      </c>
      <c r="AN300" s="54">
        <f t="shared" si="2055"/>
        <v>1</v>
      </c>
      <c r="AO300" s="53">
        <f t="shared" si="2056"/>
        <v>1</v>
      </c>
      <c r="AP300" s="54">
        <f t="shared" si="2057"/>
        <v>3</v>
      </c>
      <c r="AQ300" s="49">
        <f t="shared" ref="AQ300:AR300" si="2104">SUM(AG300,AI300,AK300,AM300,AO300)</f>
        <v>5</v>
      </c>
      <c r="AR300" s="50">
        <f t="shared" si="2104"/>
        <v>11</v>
      </c>
      <c r="AS300" s="53">
        <f t="shared" si="2059"/>
        <v>1</v>
      </c>
      <c r="AT300" s="54">
        <f t="shared" si="2060"/>
        <v>3</v>
      </c>
      <c r="AU300" s="53">
        <f t="shared" si="2061"/>
        <v>1</v>
      </c>
      <c r="AV300" s="54">
        <f t="shared" si="2062"/>
        <v>1</v>
      </c>
      <c r="AW300" s="53">
        <f t="shared" si="2063"/>
        <v>2</v>
      </c>
      <c r="AX300" s="54">
        <f t="shared" si="2064"/>
        <v>4</v>
      </c>
      <c r="AY300" s="53">
        <f t="shared" si="2065"/>
        <v>1</v>
      </c>
      <c r="AZ300" s="54">
        <f t="shared" si="2066"/>
        <v>3</v>
      </c>
      <c r="BA300" s="53">
        <f t="shared" si="2067"/>
        <v>1</v>
      </c>
      <c r="BB300" s="54">
        <f t="shared" si="2068"/>
        <v>3</v>
      </c>
      <c r="BC300" s="49">
        <f t="shared" ref="BC300:BD300" si="2105">SUM(AS300,AU300,AW300,AY300,BA300)</f>
        <v>6</v>
      </c>
      <c r="BD300" s="50">
        <f t="shared" si="2105"/>
        <v>14</v>
      </c>
      <c r="BE300" s="68">
        <f t="shared" ref="BE300:BF300" si="2106">SUM(E300,G300,I300,O300,Q300,AC300,AQ300,BC300)</f>
        <v>24</v>
      </c>
      <c r="BF300" s="69">
        <f t="shared" si="2106"/>
        <v>52</v>
      </c>
      <c r="BG300" s="46" t="str">
        <f>BF300*'ОВгП_РАО'!$B$10</f>
        <v>#REF!</v>
      </c>
      <c r="BH300" s="46" t="str">
        <f>'ОВгП_РАО'!$B$10</f>
        <v>#REF!</v>
      </c>
    </row>
    <row r="301" ht="15.75" customHeight="1">
      <c r="A301" s="80">
        <f t="shared" si="2071"/>
        <v>46269</v>
      </c>
      <c r="B301" s="46" t="s">
        <v>128</v>
      </c>
      <c r="C301" s="46" t="s">
        <v>125</v>
      </c>
      <c r="D301" s="46" t="s">
        <v>126</v>
      </c>
      <c r="E301" s="73">
        <f t="shared" si="2022"/>
        <v>0</v>
      </c>
      <c r="F301" s="50">
        <f t="shared" si="2023"/>
        <v>0</v>
      </c>
      <c r="G301" s="73">
        <f t="shared" si="2024"/>
        <v>1</v>
      </c>
      <c r="H301" s="50">
        <f t="shared" si="2025"/>
        <v>2</v>
      </c>
      <c r="I301" s="73">
        <f t="shared" si="2026"/>
        <v>1</v>
      </c>
      <c r="J301" s="50">
        <f t="shared" si="2027"/>
        <v>3</v>
      </c>
      <c r="K301" s="53">
        <f t="shared" si="2028"/>
        <v>1</v>
      </c>
      <c r="L301" s="54">
        <f t="shared" si="2029"/>
        <v>2</v>
      </c>
      <c r="M301" s="53">
        <f t="shared" si="2030"/>
        <v>1</v>
      </c>
      <c r="N301" s="54">
        <f t="shared" si="2031"/>
        <v>1</v>
      </c>
      <c r="O301" s="49">
        <f t="shared" ref="O301:P301" si="2107">SUM(K301,M301)</f>
        <v>2</v>
      </c>
      <c r="P301" s="50">
        <f t="shared" si="2107"/>
        <v>3</v>
      </c>
      <c r="Q301" s="73">
        <f t="shared" si="2033"/>
        <v>1</v>
      </c>
      <c r="R301" s="50">
        <f t="shared" si="2034"/>
        <v>3</v>
      </c>
      <c r="S301" s="53">
        <f t="shared" si="2035"/>
        <v>1</v>
      </c>
      <c r="T301" s="54">
        <f t="shared" si="2036"/>
        <v>1</v>
      </c>
      <c r="U301" s="53">
        <f t="shared" si="2037"/>
        <v>2</v>
      </c>
      <c r="V301" s="54">
        <f t="shared" si="2038"/>
        <v>4</v>
      </c>
      <c r="W301" s="53">
        <f t="shared" si="2039"/>
        <v>1</v>
      </c>
      <c r="X301" s="54">
        <f t="shared" si="2040"/>
        <v>3</v>
      </c>
      <c r="Y301" s="53">
        <f t="shared" si="2041"/>
        <v>1</v>
      </c>
      <c r="Z301" s="54">
        <f t="shared" si="2042"/>
        <v>1</v>
      </c>
      <c r="AA301" s="53">
        <f t="shared" si="2043"/>
        <v>2</v>
      </c>
      <c r="AB301" s="54">
        <f t="shared" si="2044"/>
        <v>4</v>
      </c>
      <c r="AC301" s="49">
        <f t="shared" ref="AC301:AD301" si="2108">SUM(S301,U301,W301,Y301,AA301)</f>
        <v>7</v>
      </c>
      <c r="AD301" s="50">
        <f t="shared" si="2108"/>
        <v>13</v>
      </c>
      <c r="AE301" s="53">
        <f t="shared" si="2046"/>
        <v>2</v>
      </c>
      <c r="AF301" s="54">
        <f t="shared" si="2047"/>
        <v>4</v>
      </c>
      <c r="AG301" s="53">
        <f t="shared" si="2048"/>
        <v>1</v>
      </c>
      <c r="AH301" s="54">
        <f t="shared" si="2049"/>
        <v>1</v>
      </c>
      <c r="AI301" s="53">
        <f t="shared" si="2050"/>
        <v>1</v>
      </c>
      <c r="AJ301" s="54">
        <f t="shared" si="2051"/>
        <v>2</v>
      </c>
      <c r="AK301" s="53">
        <f t="shared" si="2052"/>
        <v>0</v>
      </c>
      <c r="AL301" s="54">
        <f t="shared" si="2053"/>
        <v>0</v>
      </c>
      <c r="AM301" s="53">
        <f t="shared" si="2054"/>
        <v>1</v>
      </c>
      <c r="AN301" s="54">
        <f t="shared" si="2055"/>
        <v>1</v>
      </c>
      <c r="AO301" s="53">
        <f t="shared" si="2056"/>
        <v>1</v>
      </c>
      <c r="AP301" s="54">
        <f t="shared" si="2057"/>
        <v>3</v>
      </c>
      <c r="AQ301" s="49">
        <f t="shared" ref="AQ301:AR301" si="2109">SUM(AG301,AI301,AK301,AM301,AO301)</f>
        <v>4</v>
      </c>
      <c r="AR301" s="50">
        <f t="shared" si="2109"/>
        <v>7</v>
      </c>
      <c r="AS301" s="53">
        <f t="shared" si="2059"/>
        <v>1</v>
      </c>
      <c r="AT301" s="54">
        <f t="shared" si="2060"/>
        <v>3</v>
      </c>
      <c r="AU301" s="53">
        <f t="shared" si="2061"/>
        <v>1</v>
      </c>
      <c r="AV301" s="54">
        <f t="shared" si="2062"/>
        <v>2</v>
      </c>
      <c r="AW301" s="53">
        <f t="shared" si="2063"/>
        <v>0</v>
      </c>
      <c r="AX301" s="54">
        <f t="shared" si="2064"/>
        <v>0</v>
      </c>
      <c r="AY301" s="53">
        <f t="shared" si="2065"/>
        <v>1</v>
      </c>
      <c r="AZ301" s="54">
        <f t="shared" si="2066"/>
        <v>1</v>
      </c>
      <c r="BA301" s="53">
        <f t="shared" si="2067"/>
        <v>1</v>
      </c>
      <c r="BB301" s="54">
        <f t="shared" si="2068"/>
        <v>2</v>
      </c>
      <c r="BC301" s="49">
        <f t="shared" ref="BC301:BD301" si="2110">SUM(AS301,AU301,AW301,AY301,BA301)</f>
        <v>4</v>
      </c>
      <c r="BD301" s="50">
        <f t="shared" si="2110"/>
        <v>8</v>
      </c>
      <c r="BE301" s="68">
        <f t="shared" ref="BE301:BF301" si="2111">SUM(E301,G301,I301,O301,Q301,AC301,AQ301,BC301)</f>
        <v>20</v>
      </c>
      <c r="BF301" s="69">
        <f t="shared" si="2111"/>
        <v>39</v>
      </c>
      <c r="BG301" s="46" t="str">
        <f>BF301*'ОВгП_РАО'!$B$11</f>
        <v>#REF!</v>
      </c>
      <c r="BH301" s="46" t="str">
        <f>'ОВгП_РАО'!$B$11</f>
        <v>#REF!</v>
      </c>
    </row>
    <row r="302" ht="15.75" customHeight="1">
      <c r="A302" s="80">
        <f t="shared" si="2071"/>
        <v>46269</v>
      </c>
      <c r="B302" s="45" t="s">
        <v>129</v>
      </c>
      <c r="C302" s="46" t="s">
        <v>125</v>
      </c>
      <c r="D302" s="45" t="s">
        <v>130</v>
      </c>
      <c r="E302" s="73">
        <f t="shared" si="2022"/>
        <v>1</v>
      </c>
      <c r="F302" s="50">
        <f t="shared" si="2023"/>
        <v>3</v>
      </c>
      <c r="G302" s="73">
        <f t="shared" si="2024"/>
        <v>1</v>
      </c>
      <c r="H302" s="50">
        <f t="shared" si="2025"/>
        <v>3</v>
      </c>
      <c r="I302" s="73">
        <f t="shared" si="2026"/>
        <v>2</v>
      </c>
      <c r="J302" s="50">
        <f t="shared" si="2027"/>
        <v>4</v>
      </c>
      <c r="K302" s="53">
        <f t="shared" si="2028"/>
        <v>1</v>
      </c>
      <c r="L302" s="54">
        <f t="shared" si="2029"/>
        <v>1</v>
      </c>
      <c r="M302" s="53">
        <f t="shared" si="2030"/>
        <v>1</v>
      </c>
      <c r="N302" s="54">
        <f t="shared" si="2031"/>
        <v>1</v>
      </c>
      <c r="O302" s="49">
        <f t="shared" ref="O302:P302" si="2112">SUM(K302,M302)</f>
        <v>2</v>
      </c>
      <c r="P302" s="50">
        <f t="shared" si="2112"/>
        <v>2</v>
      </c>
      <c r="Q302" s="73">
        <f t="shared" si="2033"/>
        <v>2</v>
      </c>
      <c r="R302" s="50">
        <f t="shared" si="2034"/>
        <v>4</v>
      </c>
      <c r="S302" s="53">
        <f t="shared" si="2035"/>
        <v>0</v>
      </c>
      <c r="T302" s="54">
        <f t="shared" si="2036"/>
        <v>0</v>
      </c>
      <c r="U302" s="53">
        <f t="shared" si="2037"/>
        <v>2</v>
      </c>
      <c r="V302" s="54">
        <f t="shared" si="2038"/>
        <v>4</v>
      </c>
      <c r="W302" s="53">
        <f t="shared" si="2039"/>
        <v>2</v>
      </c>
      <c r="X302" s="54">
        <f t="shared" si="2040"/>
        <v>4</v>
      </c>
      <c r="Y302" s="53">
        <f t="shared" si="2041"/>
        <v>0</v>
      </c>
      <c r="Z302" s="54">
        <f t="shared" si="2042"/>
        <v>0</v>
      </c>
      <c r="AA302" s="53">
        <f t="shared" si="2043"/>
        <v>1</v>
      </c>
      <c r="AB302" s="54">
        <f t="shared" si="2044"/>
        <v>3</v>
      </c>
      <c r="AC302" s="49">
        <f t="shared" ref="AC302:AD302" si="2113">SUM(S302,U302,W302,Y302,AA302)</f>
        <v>5</v>
      </c>
      <c r="AD302" s="50">
        <f t="shared" si="2113"/>
        <v>11</v>
      </c>
      <c r="AE302" s="53">
        <f t="shared" si="2046"/>
        <v>1</v>
      </c>
      <c r="AF302" s="54">
        <f t="shared" si="2047"/>
        <v>2</v>
      </c>
      <c r="AG302" s="53">
        <f t="shared" si="2048"/>
        <v>1</v>
      </c>
      <c r="AH302" s="54">
        <f t="shared" si="2049"/>
        <v>3</v>
      </c>
      <c r="AI302" s="53">
        <f t="shared" si="2050"/>
        <v>1</v>
      </c>
      <c r="AJ302" s="54">
        <f t="shared" si="2051"/>
        <v>1</v>
      </c>
      <c r="AK302" s="53">
        <f t="shared" si="2052"/>
        <v>1</v>
      </c>
      <c r="AL302" s="54">
        <f t="shared" si="2053"/>
        <v>2</v>
      </c>
      <c r="AM302" s="53">
        <f t="shared" si="2054"/>
        <v>1</v>
      </c>
      <c r="AN302" s="54">
        <f t="shared" si="2055"/>
        <v>3</v>
      </c>
      <c r="AO302" s="53">
        <f t="shared" si="2056"/>
        <v>2</v>
      </c>
      <c r="AP302" s="54">
        <f t="shared" si="2057"/>
        <v>4</v>
      </c>
      <c r="AQ302" s="49">
        <f t="shared" ref="AQ302:AR302" si="2114">SUM(AG302,AI302,AK302,AM302,AO302)</f>
        <v>6</v>
      </c>
      <c r="AR302" s="50">
        <f t="shared" si="2114"/>
        <v>13</v>
      </c>
      <c r="AS302" s="53">
        <f t="shared" si="2059"/>
        <v>1</v>
      </c>
      <c r="AT302" s="54">
        <f t="shared" si="2060"/>
        <v>3</v>
      </c>
      <c r="AU302" s="53">
        <f t="shared" si="2061"/>
        <v>1</v>
      </c>
      <c r="AV302" s="54">
        <f t="shared" si="2062"/>
        <v>2</v>
      </c>
      <c r="AW302" s="53">
        <f t="shared" si="2063"/>
        <v>1</v>
      </c>
      <c r="AX302" s="54">
        <f t="shared" si="2064"/>
        <v>1</v>
      </c>
      <c r="AY302" s="53">
        <f t="shared" si="2065"/>
        <v>0</v>
      </c>
      <c r="AZ302" s="54">
        <f t="shared" si="2066"/>
        <v>0</v>
      </c>
      <c r="BA302" s="53">
        <f t="shared" si="2067"/>
        <v>1</v>
      </c>
      <c r="BB302" s="54">
        <f t="shared" si="2068"/>
        <v>3</v>
      </c>
      <c r="BC302" s="49">
        <f t="shared" ref="BC302:BD302" si="2115">SUM(AS302,AU302,AW302,AY302,BA302)</f>
        <v>4</v>
      </c>
      <c r="BD302" s="50">
        <f t="shared" si="2115"/>
        <v>9</v>
      </c>
      <c r="BE302" s="68">
        <f t="shared" ref="BE302:BF302" si="2116">SUM(E302,G302,I302,O302,Q302,AC302,AQ302,BC302)</f>
        <v>23</v>
      </c>
      <c r="BF302" s="69">
        <f t="shared" si="2116"/>
        <v>49</v>
      </c>
      <c r="BG302" s="46" t="str">
        <f>BF302*'ОВгП_РАО'!$B$12</f>
        <v>#REF!</v>
      </c>
      <c r="BH302" s="46" t="str">
        <f>'ОВгП_РАО'!$B$12</f>
        <v>#REF!</v>
      </c>
    </row>
    <row r="303" ht="15.75" customHeight="1">
      <c r="A303" s="80">
        <f t="shared" si="2071"/>
        <v>46269</v>
      </c>
      <c r="B303" s="47" t="s">
        <v>131</v>
      </c>
      <c r="C303" s="47" t="s">
        <v>122</v>
      </c>
      <c r="D303" s="47" t="s">
        <v>123</v>
      </c>
      <c r="E303" s="73">
        <f t="shared" si="2022"/>
        <v>1</v>
      </c>
      <c r="F303" s="50">
        <f t="shared" si="2023"/>
        <v>2</v>
      </c>
      <c r="G303" s="73">
        <f t="shared" si="2024"/>
        <v>1</v>
      </c>
      <c r="H303" s="50">
        <f t="shared" si="2025"/>
        <v>2</v>
      </c>
      <c r="I303" s="73">
        <f t="shared" si="2026"/>
        <v>0</v>
      </c>
      <c r="J303" s="50">
        <f t="shared" si="2027"/>
        <v>0</v>
      </c>
      <c r="K303" s="53">
        <f t="shared" si="2028"/>
        <v>1</v>
      </c>
      <c r="L303" s="54">
        <f t="shared" si="2029"/>
        <v>3</v>
      </c>
      <c r="M303" s="53">
        <f t="shared" si="2030"/>
        <v>2</v>
      </c>
      <c r="N303" s="54">
        <f t="shared" si="2031"/>
        <v>4</v>
      </c>
      <c r="O303" s="49">
        <f t="shared" ref="O303:P303" si="2117">SUM(K303,M303)</f>
        <v>3</v>
      </c>
      <c r="P303" s="50">
        <f t="shared" si="2117"/>
        <v>7</v>
      </c>
      <c r="Q303" s="73">
        <f t="shared" si="2033"/>
        <v>0</v>
      </c>
      <c r="R303" s="50">
        <f t="shared" si="2034"/>
        <v>0</v>
      </c>
      <c r="S303" s="53">
        <f t="shared" si="2035"/>
        <v>2</v>
      </c>
      <c r="T303" s="54">
        <f t="shared" si="2036"/>
        <v>4</v>
      </c>
      <c r="U303" s="53">
        <f t="shared" si="2037"/>
        <v>1</v>
      </c>
      <c r="V303" s="54">
        <f t="shared" si="2038"/>
        <v>2</v>
      </c>
      <c r="W303" s="53">
        <f t="shared" si="2039"/>
        <v>0</v>
      </c>
      <c r="X303" s="54">
        <f t="shared" si="2040"/>
        <v>0</v>
      </c>
      <c r="Y303" s="53">
        <f t="shared" si="2041"/>
        <v>2</v>
      </c>
      <c r="Z303" s="54">
        <f t="shared" si="2042"/>
        <v>4</v>
      </c>
      <c r="AA303" s="53">
        <f t="shared" si="2043"/>
        <v>1</v>
      </c>
      <c r="AB303" s="54">
        <f t="shared" si="2044"/>
        <v>2</v>
      </c>
      <c r="AC303" s="49">
        <f t="shared" ref="AC303:AD303" si="2118">SUM(S303,U303,W303,Y303,AA303)</f>
        <v>6</v>
      </c>
      <c r="AD303" s="50">
        <f t="shared" si="2118"/>
        <v>12</v>
      </c>
      <c r="AE303" s="53">
        <f t="shared" si="2046"/>
        <v>1</v>
      </c>
      <c r="AF303" s="54">
        <f t="shared" si="2047"/>
        <v>1</v>
      </c>
      <c r="AG303" s="53">
        <f t="shared" si="2048"/>
        <v>1</v>
      </c>
      <c r="AH303" s="54">
        <f t="shared" si="2049"/>
        <v>1</v>
      </c>
      <c r="AI303" s="53">
        <f t="shared" si="2050"/>
        <v>0</v>
      </c>
      <c r="AJ303" s="54">
        <f t="shared" si="2051"/>
        <v>0</v>
      </c>
      <c r="AK303" s="53">
        <f t="shared" si="2052"/>
        <v>1</v>
      </c>
      <c r="AL303" s="54">
        <f t="shared" si="2053"/>
        <v>2</v>
      </c>
      <c r="AM303" s="53">
        <f t="shared" si="2054"/>
        <v>1</v>
      </c>
      <c r="AN303" s="54">
        <f t="shared" si="2055"/>
        <v>3</v>
      </c>
      <c r="AO303" s="53">
        <f t="shared" si="2056"/>
        <v>1</v>
      </c>
      <c r="AP303" s="54">
        <f t="shared" si="2057"/>
        <v>3</v>
      </c>
      <c r="AQ303" s="49">
        <f t="shared" ref="AQ303:AR303" si="2119">SUM(AG303,AI303,AK303,AM303,AO303)</f>
        <v>4</v>
      </c>
      <c r="AR303" s="50">
        <f t="shared" si="2119"/>
        <v>9</v>
      </c>
      <c r="AS303" s="53">
        <f t="shared" si="2059"/>
        <v>1</v>
      </c>
      <c r="AT303" s="54">
        <f t="shared" si="2060"/>
        <v>1</v>
      </c>
      <c r="AU303" s="53">
        <f t="shared" si="2061"/>
        <v>1</v>
      </c>
      <c r="AV303" s="54">
        <f t="shared" si="2062"/>
        <v>2</v>
      </c>
      <c r="AW303" s="53">
        <f t="shared" si="2063"/>
        <v>1</v>
      </c>
      <c r="AX303" s="54">
        <f t="shared" si="2064"/>
        <v>2</v>
      </c>
      <c r="AY303" s="53">
        <f t="shared" si="2065"/>
        <v>0</v>
      </c>
      <c r="AZ303" s="54">
        <f t="shared" si="2066"/>
        <v>0</v>
      </c>
      <c r="BA303" s="53">
        <f t="shared" si="2067"/>
        <v>1</v>
      </c>
      <c r="BB303" s="54">
        <f t="shared" si="2068"/>
        <v>3</v>
      </c>
      <c r="BC303" s="49">
        <f t="shared" ref="BC303:BD303" si="2120">SUM(AS303,AU303,AW303,AY303,BA303)</f>
        <v>4</v>
      </c>
      <c r="BD303" s="50">
        <f t="shared" si="2120"/>
        <v>8</v>
      </c>
      <c r="BE303" s="68">
        <f t="shared" ref="BE303:BF303" si="2121">SUM(E303,G303,I303,O303,Q303,AC303,AQ303,BC303)</f>
        <v>19</v>
      </c>
      <c r="BF303" s="69">
        <f t="shared" si="2121"/>
        <v>40</v>
      </c>
      <c r="BG303" s="46" t="str">
        <f>BF303*'ОВгП_РАО'!$B$13</f>
        <v>#REF!</v>
      </c>
      <c r="BH303" s="46" t="str">
        <f>'ОВгП_РАО'!$B$13</f>
        <v>#REF!</v>
      </c>
    </row>
    <row r="304" ht="15.75" customHeight="1">
      <c r="A304" s="80">
        <f t="shared" si="2071"/>
        <v>46269</v>
      </c>
      <c r="B304" s="47" t="s">
        <v>132</v>
      </c>
      <c r="C304" s="47" t="s">
        <v>122</v>
      </c>
      <c r="D304" s="47" t="s">
        <v>123</v>
      </c>
      <c r="E304" s="73">
        <f t="shared" si="2022"/>
        <v>1</v>
      </c>
      <c r="F304" s="50">
        <f t="shared" si="2023"/>
        <v>2</v>
      </c>
      <c r="G304" s="73">
        <f t="shared" si="2024"/>
        <v>1</v>
      </c>
      <c r="H304" s="50">
        <f t="shared" si="2025"/>
        <v>3</v>
      </c>
      <c r="I304" s="73">
        <f t="shared" si="2026"/>
        <v>1</v>
      </c>
      <c r="J304" s="50">
        <f t="shared" si="2027"/>
        <v>3</v>
      </c>
      <c r="K304" s="53">
        <f t="shared" si="2028"/>
        <v>1</v>
      </c>
      <c r="L304" s="54">
        <f t="shared" si="2029"/>
        <v>3</v>
      </c>
      <c r="M304" s="53">
        <f t="shared" si="2030"/>
        <v>2</v>
      </c>
      <c r="N304" s="54">
        <f t="shared" si="2031"/>
        <v>4</v>
      </c>
      <c r="O304" s="49">
        <f t="shared" ref="O304:P304" si="2122">SUM(K304,M304)</f>
        <v>3</v>
      </c>
      <c r="P304" s="50">
        <f t="shared" si="2122"/>
        <v>7</v>
      </c>
      <c r="Q304" s="73">
        <f t="shared" si="2033"/>
        <v>0</v>
      </c>
      <c r="R304" s="50">
        <f t="shared" si="2034"/>
        <v>0</v>
      </c>
      <c r="S304" s="53">
        <f t="shared" si="2035"/>
        <v>2</v>
      </c>
      <c r="T304" s="54">
        <f t="shared" si="2036"/>
        <v>4</v>
      </c>
      <c r="U304" s="53">
        <f t="shared" si="2037"/>
        <v>2</v>
      </c>
      <c r="V304" s="54">
        <f t="shared" si="2038"/>
        <v>4</v>
      </c>
      <c r="W304" s="53">
        <f t="shared" si="2039"/>
        <v>1</v>
      </c>
      <c r="X304" s="54">
        <f t="shared" si="2040"/>
        <v>3</v>
      </c>
      <c r="Y304" s="53">
        <f t="shared" si="2041"/>
        <v>1</v>
      </c>
      <c r="Z304" s="54">
        <f t="shared" si="2042"/>
        <v>1</v>
      </c>
      <c r="AA304" s="53">
        <f t="shared" si="2043"/>
        <v>1</v>
      </c>
      <c r="AB304" s="54">
        <f t="shared" si="2044"/>
        <v>1</v>
      </c>
      <c r="AC304" s="49">
        <f t="shared" ref="AC304:AD304" si="2123">SUM(S304,U304,W304,Y304,AA304)</f>
        <v>7</v>
      </c>
      <c r="AD304" s="50">
        <f t="shared" si="2123"/>
        <v>13</v>
      </c>
      <c r="AE304" s="53">
        <f t="shared" si="2046"/>
        <v>0</v>
      </c>
      <c r="AF304" s="54">
        <f t="shared" si="2047"/>
        <v>0</v>
      </c>
      <c r="AG304" s="53">
        <f t="shared" si="2048"/>
        <v>1</v>
      </c>
      <c r="AH304" s="54">
        <f t="shared" si="2049"/>
        <v>2</v>
      </c>
      <c r="AI304" s="53">
        <f t="shared" si="2050"/>
        <v>1</v>
      </c>
      <c r="AJ304" s="54">
        <f t="shared" si="2051"/>
        <v>3</v>
      </c>
      <c r="AK304" s="53">
        <f t="shared" si="2052"/>
        <v>1</v>
      </c>
      <c r="AL304" s="54">
        <f t="shared" si="2053"/>
        <v>1</v>
      </c>
      <c r="AM304" s="53">
        <f t="shared" si="2054"/>
        <v>1</v>
      </c>
      <c r="AN304" s="54">
        <f t="shared" si="2055"/>
        <v>2</v>
      </c>
      <c r="AO304" s="53">
        <f t="shared" si="2056"/>
        <v>1</v>
      </c>
      <c r="AP304" s="54">
        <f t="shared" si="2057"/>
        <v>1</v>
      </c>
      <c r="AQ304" s="49">
        <f t="shared" ref="AQ304:AR304" si="2124">SUM(AG304,AI304,AK304,AM304,AO304)</f>
        <v>5</v>
      </c>
      <c r="AR304" s="50">
        <f t="shared" si="2124"/>
        <v>9</v>
      </c>
      <c r="AS304" s="53">
        <f t="shared" si="2059"/>
        <v>1</v>
      </c>
      <c r="AT304" s="54">
        <f t="shared" si="2060"/>
        <v>2</v>
      </c>
      <c r="AU304" s="53">
        <f t="shared" si="2061"/>
        <v>1</v>
      </c>
      <c r="AV304" s="54">
        <f t="shared" si="2062"/>
        <v>1</v>
      </c>
      <c r="AW304" s="53">
        <f t="shared" si="2063"/>
        <v>0</v>
      </c>
      <c r="AX304" s="54">
        <f t="shared" si="2064"/>
        <v>0</v>
      </c>
      <c r="AY304" s="53">
        <f t="shared" si="2065"/>
        <v>0</v>
      </c>
      <c r="AZ304" s="54">
        <f t="shared" si="2066"/>
        <v>0</v>
      </c>
      <c r="BA304" s="53">
        <f t="shared" si="2067"/>
        <v>1</v>
      </c>
      <c r="BB304" s="54">
        <f t="shared" si="2068"/>
        <v>1</v>
      </c>
      <c r="BC304" s="49">
        <f t="shared" ref="BC304:BD304" si="2125">SUM(AS304,AU304,AW304,AY304,BA304)</f>
        <v>3</v>
      </c>
      <c r="BD304" s="50">
        <f t="shared" si="2125"/>
        <v>4</v>
      </c>
      <c r="BE304" s="68">
        <f t="shared" ref="BE304:BF304" si="2126">SUM(E304,G304,I304,O304,Q304,AC304,AQ304,BC304)</f>
        <v>21</v>
      </c>
      <c r="BF304" s="69">
        <f t="shared" si="2126"/>
        <v>41</v>
      </c>
      <c r="BG304" s="46" t="str">
        <f>BF304*'ОВгП_РАО'!$B$14</f>
        <v>#REF!</v>
      </c>
      <c r="BH304" s="46" t="str">
        <f>'ОВгП_РАО'!$B$14</f>
        <v>#REF!</v>
      </c>
    </row>
    <row r="305" ht="15.75" customHeight="1">
      <c r="A305" s="80">
        <f t="shared" si="2071"/>
        <v>46269</v>
      </c>
      <c r="B305" s="47" t="s">
        <v>133</v>
      </c>
      <c r="C305" s="47" t="s">
        <v>122</v>
      </c>
      <c r="D305" s="47" t="s">
        <v>123</v>
      </c>
      <c r="E305" s="73">
        <f t="shared" si="2022"/>
        <v>2</v>
      </c>
      <c r="F305" s="50">
        <f t="shared" si="2023"/>
        <v>4</v>
      </c>
      <c r="G305" s="73">
        <f t="shared" si="2024"/>
        <v>1</v>
      </c>
      <c r="H305" s="50">
        <f t="shared" si="2025"/>
        <v>2</v>
      </c>
      <c r="I305" s="73">
        <f t="shared" si="2026"/>
        <v>0</v>
      </c>
      <c r="J305" s="50">
        <f t="shared" si="2027"/>
        <v>0</v>
      </c>
      <c r="K305" s="53">
        <f t="shared" si="2028"/>
        <v>1</v>
      </c>
      <c r="L305" s="54">
        <f t="shared" si="2029"/>
        <v>1</v>
      </c>
      <c r="M305" s="53">
        <f t="shared" si="2030"/>
        <v>2</v>
      </c>
      <c r="N305" s="54">
        <f t="shared" si="2031"/>
        <v>4</v>
      </c>
      <c r="O305" s="49">
        <f t="shared" ref="O305:P305" si="2127">SUM(K305,M305)</f>
        <v>3</v>
      </c>
      <c r="P305" s="50">
        <f t="shared" si="2127"/>
        <v>5</v>
      </c>
      <c r="Q305" s="73">
        <f t="shared" si="2033"/>
        <v>0</v>
      </c>
      <c r="R305" s="50">
        <f t="shared" si="2034"/>
        <v>0</v>
      </c>
      <c r="S305" s="53">
        <f t="shared" si="2035"/>
        <v>2</v>
      </c>
      <c r="T305" s="54">
        <f t="shared" si="2036"/>
        <v>4</v>
      </c>
      <c r="U305" s="53">
        <f t="shared" si="2037"/>
        <v>2</v>
      </c>
      <c r="V305" s="54">
        <f t="shared" si="2038"/>
        <v>4</v>
      </c>
      <c r="W305" s="53">
        <f t="shared" si="2039"/>
        <v>1</v>
      </c>
      <c r="X305" s="54">
        <f t="shared" si="2040"/>
        <v>1</v>
      </c>
      <c r="Y305" s="53">
        <f t="shared" si="2041"/>
        <v>1</v>
      </c>
      <c r="Z305" s="54">
        <f t="shared" si="2042"/>
        <v>3</v>
      </c>
      <c r="AA305" s="53">
        <f t="shared" si="2043"/>
        <v>2</v>
      </c>
      <c r="AB305" s="54">
        <f t="shared" si="2044"/>
        <v>4</v>
      </c>
      <c r="AC305" s="49">
        <f t="shared" ref="AC305:AD305" si="2128">SUM(S305,U305,W305,Y305,AA305)</f>
        <v>8</v>
      </c>
      <c r="AD305" s="50">
        <f t="shared" si="2128"/>
        <v>16</v>
      </c>
      <c r="AE305" s="53">
        <f t="shared" si="2046"/>
        <v>1</v>
      </c>
      <c r="AF305" s="54">
        <f t="shared" si="2047"/>
        <v>1</v>
      </c>
      <c r="AG305" s="53">
        <f t="shared" si="2048"/>
        <v>1</v>
      </c>
      <c r="AH305" s="54">
        <f t="shared" si="2049"/>
        <v>1</v>
      </c>
      <c r="AI305" s="53">
        <f t="shared" si="2050"/>
        <v>0</v>
      </c>
      <c r="AJ305" s="54">
        <f t="shared" si="2051"/>
        <v>0</v>
      </c>
      <c r="AK305" s="53">
        <f t="shared" si="2052"/>
        <v>1</v>
      </c>
      <c r="AL305" s="54">
        <f t="shared" si="2053"/>
        <v>3</v>
      </c>
      <c r="AM305" s="53">
        <f t="shared" si="2054"/>
        <v>1</v>
      </c>
      <c r="AN305" s="54">
        <f t="shared" si="2055"/>
        <v>2</v>
      </c>
      <c r="AO305" s="53">
        <f t="shared" si="2056"/>
        <v>1</v>
      </c>
      <c r="AP305" s="54">
        <f t="shared" si="2057"/>
        <v>1</v>
      </c>
      <c r="AQ305" s="49">
        <f t="shared" ref="AQ305:AR305" si="2129">SUM(AG305,AI305,AK305,AM305,AO305)</f>
        <v>4</v>
      </c>
      <c r="AR305" s="50">
        <f t="shared" si="2129"/>
        <v>7</v>
      </c>
      <c r="AS305" s="53">
        <f t="shared" si="2059"/>
        <v>1</v>
      </c>
      <c r="AT305" s="54">
        <f t="shared" si="2060"/>
        <v>3</v>
      </c>
      <c r="AU305" s="53">
        <f t="shared" si="2061"/>
        <v>0</v>
      </c>
      <c r="AV305" s="54">
        <f t="shared" si="2062"/>
        <v>0</v>
      </c>
      <c r="AW305" s="53">
        <f t="shared" si="2063"/>
        <v>1</v>
      </c>
      <c r="AX305" s="54">
        <f t="shared" si="2064"/>
        <v>3</v>
      </c>
      <c r="AY305" s="53">
        <f t="shared" si="2065"/>
        <v>1</v>
      </c>
      <c r="AZ305" s="54">
        <f t="shared" si="2066"/>
        <v>3</v>
      </c>
      <c r="BA305" s="53">
        <f t="shared" si="2067"/>
        <v>1</v>
      </c>
      <c r="BB305" s="54">
        <f t="shared" si="2068"/>
        <v>1</v>
      </c>
      <c r="BC305" s="49">
        <f t="shared" ref="BC305:BD305" si="2130">SUM(AS305,AU305,AW305,AY305,BA305)</f>
        <v>4</v>
      </c>
      <c r="BD305" s="50">
        <f t="shared" si="2130"/>
        <v>10</v>
      </c>
      <c r="BE305" s="68">
        <f t="shared" ref="BE305:BF305" si="2131">SUM(E305,G305,I305,O305,Q305,AC305,AQ305,BC305)</f>
        <v>22</v>
      </c>
      <c r="BF305" s="69">
        <f t="shared" si="2131"/>
        <v>44</v>
      </c>
      <c r="BG305" s="46" t="str">
        <f>BF305*'ОВгП_РАО'!$B$15</f>
        <v>#REF!</v>
      </c>
      <c r="BH305" s="46" t="str">
        <f>'ОВгП_РАО'!$B$15</f>
        <v>#REF!</v>
      </c>
    </row>
    <row r="306" ht="15.75" customHeight="1">
      <c r="A306" s="80">
        <f t="shared" si="2071"/>
        <v>46269</v>
      </c>
      <c r="B306" s="47" t="s">
        <v>134</v>
      </c>
      <c r="C306" s="47" t="s">
        <v>122</v>
      </c>
      <c r="D306" s="47" t="s">
        <v>123</v>
      </c>
      <c r="E306" s="73">
        <f t="shared" si="2022"/>
        <v>0</v>
      </c>
      <c r="F306" s="50">
        <f t="shared" si="2023"/>
        <v>0</v>
      </c>
      <c r="G306" s="73">
        <f t="shared" si="2024"/>
        <v>1</v>
      </c>
      <c r="H306" s="50">
        <f t="shared" si="2025"/>
        <v>3</v>
      </c>
      <c r="I306" s="73">
        <f t="shared" si="2026"/>
        <v>1</v>
      </c>
      <c r="J306" s="50">
        <f t="shared" si="2027"/>
        <v>2</v>
      </c>
      <c r="K306" s="53">
        <f t="shared" si="2028"/>
        <v>1</v>
      </c>
      <c r="L306" s="54">
        <f t="shared" si="2029"/>
        <v>1</v>
      </c>
      <c r="M306" s="53">
        <f t="shared" si="2030"/>
        <v>1</v>
      </c>
      <c r="N306" s="54">
        <f t="shared" si="2031"/>
        <v>3</v>
      </c>
      <c r="O306" s="49">
        <f t="shared" ref="O306:P306" si="2132">SUM(K306,M306)</f>
        <v>2</v>
      </c>
      <c r="P306" s="50">
        <f t="shared" si="2132"/>
        <v>4</v>
      </c>
      <c r="Q306" s="73">
        <f t="shared" si="2033"/>
        <v>1</v>
      </c>
      <c r="R306" s="50">
        <f t="shared" si="2034"/>
        <v>3</v>
      </c>
      <c r="S306" s="53">
        <f t="shared" si="2035"/>
        <v>0</v>
      </c>
      <c r="T306" s="54">
        <f t="shared" si="2036"/>
        <v>0</v>
      </c>
      <c r="U306" s="53">
        <f t="shared" si="2037"/>
        <v>1</v>
      </c>
      <c r="V306" s="54">
        <f t="shared" si="2038"/>
        <v>3</v>
      </c>
      <c r="W306" s="53">
        <f t="shared" si="2039"/>
        <v>1</v>
      </c>
      <c r="X306" s="54">
        <f t="shared" si="2040"/>
        <v>1</v>
      </c>
      <c r="Y306" s="53">
        <f t="shared" si="2041"/>
        <v>2</v>
      </c>
      <c r="Z306" s="54">
        <f t="shared" si="2042"/>
        <v>4</v>
      </c>
      <c r="AA306" s="53">
        <f t="shared" si="2043"/>
        <v>1</v>
      </c>
      <c r="AB306" s="54">
        <f t="shared" si="2044"/>
        <v>2</v>
      </c>
      <c r="AC306" s="49">
        <f t="shared" ref="AC306:AD306" si="2133">SUM(S306,U306,W306,Y306,AA306)</f>
        <v>5</v>
      </c>
      <c r="AD306" s="50">
        <f t="shared" si="2133"/>
        <v>10</v>
      </c>
      <c r="AE306" s="53">
        <f t="shared" si="2046"/>
        <v>1</v>
      </c>
      <c r="AF306" s="54">
        <f t="shared" si="2047"/>
        <v>1</v>
      </c>
      <c r="AG306" s="53">
        <f t="shared" si="2048"/>
        <v>1</v>
      </c>
      <c r="AH306" s="54">
        <f t="shared" si="2049"/>
        <v>1</v>
      </c>
      <c r="AI306" s="53">
        <f t="shared" si="2050"/>
        <v>1</v>
      </c>
      <c r="AJ306" s="54">
        <f t="shared" si="2051"/>
        <v>2</v>
      </c>
      <c r="AK306" s="53">
        <f t="shared" si="2052"/>
        <v>0</v>
      </c>
      <c r="AL306" s="54">
        <f t="shared" si="2053"/>
        <v>0</v>
      </c>
      <c r="AM306" s="53">
        <f t="shared" si="2054"/>
        <v>2</v>
      </c>
      <c r="AN306" s="54">
        <f t="shared" si="2055"/>
        <v>4</v>
      </c>
      <c r="AO306" s="53">
        <f t="shared" si="2056"/>
        <v>1</v>
      </c>
      <c r="AP306" s="54">
        <f t="shared" si="2057"/>
        <v>2</v>
      </c>
      <c r="AQ306" s="49">
        <f t="shared" ref="AQ306:AR306" si="2134">SUM(AG306,AI306,AK306,AM306,AO306)</f>
        <v>5</v>
      </c>
      <c r="AR306" s="50">
        <f t="shared" si="2134"/>
        <v>9</v>
      </c>
      <c r="AS306" s="53">
        <f t="shared" si="2059"/>
        <v>1</v>
      </c>
      <c r="AT306" s="54">
        <f t="shared" si="2060"/>
        <v>1</v>
      </c>
      <c r="AU306" s="53">
        <f t="shared" si="2061"/>
        <v>1</v>
      </c>
      <c r="AV306" s="54">
        <f t="shared" si="2062"/>
        <v>2</v>
      </c>
      <c r="AW306" s="53">
        <f t="shared" si="2063"/>
        <v>0</v>
      </c>
      <c r="AX306" s="54">
        <f t="shared" si="2064"/>
        <v>0</v>
      </c>
      <c r="AY306" s="53">
        <f t="shared" si="2065"/>
        <v>1</v>
      </c>
      <c r="AZ306" s="54">
        <f t="shared" si="2066"/>
        <v>1</v>
      </c>
      <c r="BA306" s="53">
        <f t="shared" si="2067"/>
        <v>1</v>
      </c>
      <c r="BB306" s="54">
        <f t="shared" si="2068"/>
        <v>1</v>
      </c>
      <c r="BC306" s="49">
        <f t="shared" ref="BC306:BD306" si="2135">SUM(AS306,AU306,AW306,AY306,BA306)</f>
        <v>4</v>
      </c>
      <c r="BD306" s="50">
        <f t="shared" si="2135"/>
        <v>5</v>
      </c>
      <c r="BE306" s="68">
        <f t="shared" ref="BE306:BF306" si="2136">SUM(E306,G306,I306,O306,Q306,AC306,AQ306,BC306)</f>
        <v>19</v>
      </c>
      <c r="BF306" s="69">
        <f t="shared" si="2136"/>
        <v>36</v>
      </c>
      <c r="BG306" s="46" t="str">
        <f>BF306*'ОВгП_РАО'!$B$16</f>
        <v>#REF!</v>
      </c>
      <c r="BH306" s="46" t="str">
        <f>'ОВгП_РАО'!$B$16</f>
        <v>#REF!</v>
      </c>
    </row>
    <row r="307" ht="15.75" customHeight="1">
      <c r="A307" s="80">
        <f t="shared" si="2071"/>
        <v>46269</v>
      </c>
      <c r="B307" s="129" t="s">
        <v>135</v>
      </c>
      <c r="C307" s="47" t="s">
        <v>122</v>
      </c>
      <c r="D307" s="47" t="s">
        <v>136</v>
      </c>
      <c r="E307" s="73">
        <f t="shared" si="2022"/>
        <v>1</v>
      </c>
      <c r="F307" s="50">
        <f t="shared" si="2023"/>
        <v>2</v>
      </c>
      <c r="G307" s="73">
        <f t="shared" si="2024"/>
        <v>2</v>
      </c>
      <c r="H307" s="50">
        <f t="shared" si="2025"/>
        <v>4</v>
      </c>
      <c r="I307" s="73">
        <f t="shared" si="2026"/>
        <v>1</v>
      </c>
      <c r="J307" s="50">
        <f t="shared" si="2027"/>
        <v>1</v>
      </c>
      <c r="K307" s="53">
        <f t="shared" si="2028"/>
        <v>1</v>
      </c>
      <c r="L307" s="54">
        <f t="shared" si="2029"/>
        <v>3</v>
      </c>
      <c r="M307" s="53">
        <f t="shared" si="2030"/>
        <v>1</v>
      </c>
      <c r="N307" s="54">
        <f t="shared" si="2031"/>
        <v>3</v>
      </c>
      <c r="O307" s="49">
        <f t="shared" ref="O307:P307" si="2137">SUM(K307,M307)</f>
        <v>2</v>
      </c>
      <c r="P307" s="50">
        <f t="shared" si="2137"/>
        <v>6</v>
      </c>
      <c r="Q307" s="73">
        <f t="shared" si="2033"/>
        <v>1</v>
      </c>
      <c r="R307" s="50">
        <f t="shared" si="2034"/>
        <v>1</v>
      </c>
      <c r="S307" s="53">
        <f t="shared" si="2035"/>
        <v>0</v>
      </c>
      <c r="T307" s="54">
        <f t="shared" si="2036"/>
        <v>0</v>
      </c>
      <c r="U307" s="53">
        <f t="shared" si="2037"/>
        <v>0</v>
      </c>
      <c r="V307" s="54">
        <f t="shared" si="2038"/>
        <v>0</v>
      </c>
      <c r="W307" s="53">
        <f t="shared" si="2039"/>
        <v>1</v>
      </c>
      <c r="X307" s="54">
        <f t="shared" si="2040"/>
        <v>2</v>
      </c>
      <c r="Y307" s="53">
        <f t="shared" si="2041"/>
        <v>1</v>
      </c>
      <c r="Z307" s="54">
        <f t="shared" si="2042"/>
        <v>1</v>
      </c>
      <c r="AA307" s="53">
        <f t="shared" si="2043"/>
        <v>1</v>
      </c>
      <c r="AB307" s="54">
        <f t="shared" si="2044"/>
        <v>3</v>
      </c>
      <c r="AC307" s="49">
        <f t="shared" ref="AC307:AD307" si="2138">SUM(S307,U307,W307,Y307,AA307)</f>
        <v>3</v>
      </c>
      <c r="AD307" s="50">
        <f t="shared" si="2138"/>
        <v>6</v>
      </c>
      <c r="AE307" s="53">
        <f t="shared" si="2046"/>
        <v>1</v>
      </c>
      <c r="AF307" s="54">
        <f t="shared" si="2047"/>
        <v>2</v>
      </c>
      <c r="AG307" s="53">
        <f t="shared" si="2048"/>
        <v>1</v>
      </c>
      <c r="AH307" s="54">
        <f t="shared" si="2049"/>
        <v>3</v>
      </c>
      <c r="AI307" s="53">
        <f t="shared" si="2050"/>
        <v>1</v>
      </c>
      <c r="AJ307" s="54">
        <f t="shared" si="2051"/>
        <v>1</v>
      </c>
      <c r="AK307" s="53">
        <f t="shared" si="2052"/>
        <v>2</v>
      </c>
      <c r="AL307" s="54">
        <f t="shared" si="2053"/>
        <v>4</v>
      </c>
      <c r="AM307" s="53">
        <f t="shared" si="2054"/>
        <v>2</v>
      </c>
      <c r="AN307" s="54">
        <f t="shared" si="2055"/>
        <v>4</v>
      </c>
      <c r="AO307" s="53">
        <f t="shared" si="2056"/>
        <v>1</v>
      </c>
      <c r="AP307" s="54">
        <f t="shared" si="2057"/>
        <v>2</v>
      </c>
      <c r="AQ307" s="49">
        <f t="shared" ref="AQ307:AR307" si="2139">SUM(AG307,AI307,AK307,AM307,AO307)</f>
        <v>7</v>
      </c>
      <c r="AR307" s="50">
        <f t="shared" si="2139"/>
        <v>14</v>
      </c>
      <c r="AS307" s="53">
        <f t="shared" si="2059"/>
        <v>1</v>
      </c>
      <c r="AT307" s="54">
        <f t="shared" si="2060"/>
        <v>2</v>
      </c>
      <c r="AU307" s="53">
        <f t="shared" si="2061"/>
        <v>0</v>
      </c>
      <c r="AV307" s="54">
        <f t="shared" si="2062"/>
        <v>0</v>
      </c>
      <c r="AW307" s="53">
        <f t="shared" si="2063"/>
        <v>1</v>
      </c>
      <c r="AX307" s="54">
        <f t="shared" si="2064"/>
        <v>1</v>
      </c>
      <c r="AY307" s="53">
        <f t="shared" si="2065"/>
        <v>1</v>
      </c>
      <c r="AZ307" s="54">
        <f t="shared" si="2066"/>
        <v>1</v>
      </c>
      <c r="BA307" s="53">
        <f t="shared" si="2067"/>
        <v>2</v>
      </c>
      <c r="BB307" s="54">
        <f t="shared" si="2068"/>
        <v>4</v>
      </c>
      <c r="BC307" s="49">
        <f t="shared" ref="BC307:BD307" si="2140">SUM(AS307,AU307,AW307,AY307,BA307)</f>
        <v>5</v>
      </c>
      <c r="BD307" s="50">
        <f t="shared" si="2140"/>
        <v>8</v>
      </c>
      <c r="BE307" s="68">
        <f t="shared" ref="BE307:BF307" si="2141">SUM(E307,G307,I307,O307,Q307,AC307,AQ307,BC307)</f>
        <v>22</v>
      </c>
      <c r="BF307" s="69">
        <f t="shared" si="2141"/>
        <v>42</v>
      </c>
      <c r="BG307" s="46" t="str">
        <f>BF307*'ОВгП_РАО'!$B$17</f>
        <v>#REF!</v>
      </c>
      <c r="BH307" s="46" t="str">
        <f>'ОВгП_РАО'!$B$17</f>
        <v>#REF!</v>
      </c>
    </row>
    <row r="308" ht="15.75" customHeight="1">
      <c r="A308" s="80">
        <f t="shared" si="2071"/>
        <v>46269</v>
      </c>
      <c r="B308" s="129" t="s">
        <v>137</v>
      </c>
      <c r="C308" s="47" t="s">
        <v>122</v>
      </c>
      <c r="D308" s="47" t="s">
        <v>136</v>
      </c>
      <c r="E308" s="73">
        <f t="shared" si="2022"/>
        <v>1</v>
      </c>
      <c r="F308" s="50">
        <f t="shared" si="2023"/>
        <v>2</v>
      </c>
      <c r="G308" s="73">
        <f t="shared" si="2024"/>
        <v>1</v>
      </c>
      <c r="H308" s="50">
        <f t="shared" si="2025"/>
        <v>2</v>
      </c>
      <c r="I308" s="73">
        <f t="shared" si="2026"/>
        <v>0</v>
      </c>
      <c r="J308" s="50">
        <f t="shared" si="2027"/>
        <v>0</v>
      </c>
      <c r="K308" s="53">
        <f t="shared" si="2028"/>
        <v>1</v>
      </c>
      <c r="L308" s="54">
        <f t="shared" si="2029"/>
        <v>3</v>
      </c>
      <c r="M308" s="53">
        <f t="shared" si="2030"/>
        <v>1</v>
      </c>
      <c r="N308" s="54">
        <f t="shared" si="2031"/>
        <v>2</v>
      </c>
      <c r="O308" s="49">
        <f t="shared" ref="O308:P308" si="2142">SUM(K308,M308)</f>
        <v>2</v>
      </c>
      <c r="P308" s="50">
        <f t="shared" si="2142"/>
        <v>5</v>
      </c>
      <c r="Q308" s="73">
        <f t="shared" si="2033"/>
        <v>1</v>
      </c>
      <c r="R308" s="50">
        <f t="shared" si="2034"/>
        <v>2</v>
      </c>
      <c r="S308" s="53">
        <f t="shared" si="2035"/>
        <v>2</v>
      </c>
      <c r="T308" s="54">
        <f t="shared" si="2036"/>
        <v>4</v>
      </c>
      <c r="U308" s="53">
        <f t="shared" si="2037"/>
        <v>2</v>
      </c>
      <c r="V308" s="54">
        <f t="shared" si="2038"/>
        <v>4</v>
      </c>
      <c r="W308" s="53">
        <f t="shared" si="2039"/>
        <v>1</v>
      </c>
      <c r="X308" s="54">
        <f t="shared" si="2040"/>
        <v>2</v>
      </c>
      <c r="Y308" s="53">
        <f t="shared" si="2041"/>
        <v>2</v>
      </c>
      <c r="Z308" s="54">
        <f t="shared" si="2042"/>
        <v>4</v>
      </c>
      <c r="AA308" s="53">
        <f t="shared" si="2043"/>
        <v>1</v>
      </c>
      <c r="AB308" s="54">
        <f t="shared" si="2044"/>
        <v>1</v>
      </c>
      <c r="AC308" s="49">
        <f t="shared" ref="AC308:AD308" si="2143">SUM(S308,U308,W308,Y308,AA308)</f>
        <v>8</v>
      </c>
      <c r="AD308" s="50">
        <f t="shared" si="2143"/>
        <v>15</v>
      </c>
      <c r="AE308" s="53">
        <f t="shared" si="2046"/>
        <v>1</v>
      </c>
      <c r="AF308" s="54">
        <f t="shared" si="2047"/>
        <v>2</v>
      </c>
      <c r="AG308" s="53">
        <f t="shared" si="2048"/>
        <v>1</v>
      </c>
      <c r="AH308" s="54">
        <f t="shared" si="2049"/>
        <v>1</v>
      </c>
      <c r="AI308" s="53">
        <f t="shared" si="2050"/>
        <v>1</v>
      </c>
      <c r="AJ308" s="54">
        <f t="shared" si="2051"/>
        <v>3</v>
      </c>
      <c r="AK308" s="53">
        <f t="shared" si="2052"/>
        <v>1</v>
      </c>
      <c r="AL308" s="54">
        <f t="shared" si="2053"/>
        <v>3</v>
      </c>
      <c r="AM308" s="53">
        <f t="shared" si="2054"/>
        <v>0</v>
      </c>
      <c r="AN308" s="54">
        <f t="shared" si="2055"/>
        <v>0</v>
      </c>
      <c r="AO308" s="53">
        <f t="shared" si="2056"/>
        <v>1</v>
      </c>
      <c r="AP308" s="54">
        <f t="shared" si="2057"/>
        <v>1</v>
      </c>
      <c r="AQ308" s="49">
        <f t="shared" ref="AQ308:AR308" si="2144">SUM(AG308,AI308,AK308,AM308,AO308)</f>
        <v>4</v>
      </c>
      <c r="AR308" s="50">
        <f t="shared" si="2144"/>
        <v>8</v>
      </c>
      <c r="AS308" s="53">
        <f t="shared" si="2059"/>
        <v>1</v>
      </c>
      <c r="AT308" s="54">
        <f t="shared" si="2060"/>
        <v>3</v>
      </c>
      <c r="AU308" s="53">
        <f t="shared" si="2061"/>
        <v>1</v>
      </c>
      <c r="AV308" s="54">
        <f t="shared" si="2062"/>
        <v>2</v>
      </c>
      <c r="AW308" s="53">
        <f t="shared" si="2063"/>
        <v>1</v>
      </c>
      <c r="AX308" s="54">
        <f t="shared" si="2064"/>
        <v>3</v>
      </c>
      <c r="AY308" s="53">
        <f t="shared" si="2065"/>
        <v>0</v>
      </c>
      <c r="AZ308" s="54">
        <f t="shared" si="2066"/>
        <v>0</v>
      </c>
      <c r="BA308" s="53">
        <f t="shared" si="2067"/>
        <v>0</v>
      </c>
      <c r="BB308" s="54">
        <f t="shared" si="2068"/>
        <v>0</v>
      </c>
      <c r="BC308" s="49">
        <f t="shared" ref="BC308:BD308" si="2145">SUM(AS308,AU308,AW308,AY308,BA308)</f>
        <v>3</v>
      </c>
      <c r="BD308" s="50">
        <f t="shared" si="2145"/>
        <v>8</v>
      </c>
      <c r="BE308" s="68">
        <f t="shared" ref="BE308:BF308" si="2146">SUM(E308,G308,I308,O308,Q308,AC308,AQ308,BC308)</f>
        <v>20</v>
      </c>
      <c r="BF308" s="69">
        <f t="shared" si="2146"/>
        <v>42</v>
      </c>
      <c r="BG308" s="46" t="str">
        <f>BF308*'ОВгП_РАО'!$B$18</f>
        <v>#REF!</v>
      </c>
      <c r="BH308" s="46" t="str">
        <f>'ОВгП_РАО'!$B$18</f>
        <v>#REF!</v>
      </c>
    </row>
    <row r="309" ht="15.75" customHeight="1">
      <c r="A309" s="80">
        <f t="shared" si="2071"/>
        <v>46269</v>
      </c>
      <c r="B309" s="129" t="s">
        <v>138</v>
      </c>
      <c r="C309" s="47" t="s">
        <v>122</v>
      </c>
      <c r="D309" s="47" t="s">
        <v>139</v>
      </c>
      <c r="E309" s="73">
        <f t="shared" si="2022"/>
        <v>2</v>
      </c>
      <c r="F309" s="50">
        <f t="shared" si="2023"/>
        <v>4</v>
      </c>
      <c r="G309" s="73">
        <f t="shared" si="2024"/>
        <v>1</v>
      </c>
      <c r="H309" s="50">
        <f t="shared" si="2025"/>
        <v>1</v>
      </c>
      <c r="I309" s="73">
        <f t="shared" si="2026"/>
        <v>1</v>
      </c>
      <c r="J309" s="50">
        <f t="shared" si="2027"/>
        <v>3</v>
      </c>
      <c r="K309" s="53">
        <f t="shared" si="2028"/>
        <v>0</v>
      </c>
      <c r="L309" s="54">
        <f t="shared" si="2029"/>
        <v>0</v>
      </c>
      <c r="M309" s="53">
        <f t="shared" si="2030"/>
        <v>1</v>
      </c>
      <c r="N309" s="54">
        <f t="shared" si="2031"/>
        <v>1</v>
      </c>
      <c r="O309" s="49">
        <f t="shared" ref="O309:P309" si="2147">SUM(K309,M309)</f>
        <v>1</v>
      </c>
      <c r="P309" s="50">
        <f t="shared" si="2147"/>
        <v>1</v>
      </c>
      <c r="Q309" s="73">
        <f t="shared" si="2033"/>
        <v>1</v>
      </c>
      <c r="R309" s="50">
        <f t="shared" si="2034"/>
        <v>1</v>
      </c>
      <c r="S309" s="53">
        <f t="shared" si="2035"/>
        <v>2</v>
      </c>
      <c r="T309" s="54">
        <f t="shared" si="2036"/>
        <v>4</v>
      </c>
      <c r="U309" s="53">
        <f t="shared" si="2037"/>
        <v>1</v>
      </c>
      <c r="V309" s="54">
        <f t="shared" si="2038"/>
        <v>3</v>
      </c>
      <c r="W309" s="53">
        <f t="shared" si="2039"/>
        <v>1</v>
      </c>
      <c r="X309" s="54">
        <f t="shared" si="2040"/>
        <v>3</v>
      </c>
      <c r="Y309" s="53">
        <f t="shared" si="2041"/>
        <v>2</v>
      </c>
      <c r="Z309" s="54">
        <f t="shared" si="2042"/>
        <v>4</v>
      </c>
      <c r="AA309" s="53">
        <f t="shared" si="2043"/>
        <v>2</v>
      </c>
      <c r="AB309" s="54">
        <f t="shared" si="2044"/>
        <v>4</v>
      </c>
      <c r="AC309" s="49">
        <f t="shared" ref="AC309:AD309" si="2148">SUM(S309,U309,W309,Y309,AA309)</f>
        <v>8</v>
      </c>
      <c r="AD309" s="50">
        <f t="shared" si="2148"/>
        <v>18</v>
      </c>
      <c r="AE309" s="53">
        <f t="shared" si="2046"/>
        <v>1</v>
      </c>
      <c r="AF309" s="54">
        <f t="shared" si="2047"/>
        <v>1</v>
      </c>
      <c r="AG309" s="53">
        <f t="shared" si="2048"/>
        <v>0</v>
      </c>
      <c r="AH309" s="54">
        <f t="shared" si="2049"/>
        <v>0</v>
      </c>
      <c r="AI309" s="53">
        <f t="shared" si="2050"/>
        <v>1</v>
      </c>
      <c r="AJ309" s="54">
        <f t="shared" si="2051"/>
        <v>3</v>
      </c>
      <c r="AK309" s="53">
        <f t="shared" si="2052"/>
        <v>1</v>
      </c>
      <c r="AL309" s="54">
        <f t="shared" si="2053"/>
        <v>2</v>
      </c>
      <c r="AM309" s="53">
        <f t="shared" si="2054"/>
        <v>1</v>
      </c>
      <c r="AN309" s="54">
        <f t="shared" si="2055"/>
        <v>1</v>
      </c>
      <c r="AO309" s="53">
        <f t="shared" si="2056"/>
        <v>1</v>
      </c>
      <c r="AP309" s="54">
        <f t="shared" si="2057"/>
        <v>3</v>
      </c>
      <c r="AQ309" s="49">
        <f t="shared" ref="AQ309:AR309" si="2149">SUM(AG309,AI309,AK309,AM309,AO309)</f>
        <v>4</v>
      </c>
      <c r="AR309" s="50">
        <f t="shared" si="2149"/>
        <v>9</v>
      </c>
      <c r="AS309" s="53">
        <f t="shared" si="2059"/>
        <v>1</v>
      </c>
      <c r="AT309" s="54">
        <f t="shared" si="2060"/>
        <v>2</v>
      </c>
      <c r="AU309" s="53">
        <f t="shared" si="2061"/>
        <v>1</v>
      </c>
      <c r="AV309" s="54">
        <f t="shared" si="2062"/>
        <v>3</v>
      </c>
      <c r="AW309" s="53">
        <f t="shared" si="2063"/>
        <v>0</v>
      </c>
      <c r="AX309" s="54">
        <f t="shared" si="2064"/>
        <v>0</v>
      </c>
      <c r="AY309" s="53">
        <f t="shared" si="2065"/>
        <v>2</v>
      </c>
      <c r="AZ309" s="54">
        <f t="shared" si="2066"/>
        <v>4</v>
      </c>
      <c r="BA309" s="53">
        <f t="shared" si="2067"/>
        <v>1</v>
      </c>
      <c r="BB309" s="54">
        <f t="shared" si="2068"/>
        <v>1</v>
      </c>
      <c r="BC309" s="49">
        <f t="shared" ref="BC309:BD309" si="2150">SUM(AS309,AU309,AW309,AY309,BA309)</f>
        <v>5</v>
      </c>
      <c r="BD309" s="50">
        <f t="shared" si="2150"/>
        <v>10</v>
      </c>
      <c r="BE309" s="68">
        <f t="shared" ref="BE309:BF309" si="2151">SUM(E309,G309,I309,O309,Q309,AC309,AQ309,BC309)</f>
        <v>23</v>
      </c>
      <c r="BF309" s="69">
        <f t="shared" si="2151"/>
        <v>47</v>
      </c>
      <c r="BG309" s="46" t="str">
        <f>BF309*'ОВгП_РАО'!$B$19</f>
        <v>#REF!</v>
      </c>
      <c r="BH309" s="46" t="str">
        <f>'ОВгП_РАО'!$B$19</f>
        <v>#REF!</v>
      </c>
    </row>
    <row r="310" ht="15.75" customHeight="1">
      <c r="A310" s="80">
        <f t="shared" si="2071"/>
        <v>46269</v>
      </c>
      <c r="B310" s="129" t="s">
        <v>140</v>
      </c>
      <c r="C310" s="47" t="s">
        <v>122</v>
      </c>
      <c r="D310" s="47" t="s">
        <v>139</v>
      </c>
      <c r="E310" s="73">
        <f t="shared" si="2022"/>
        <v>1</v>
      </c>
      <c r="F310" s="50">
        <f t="shared" si="2023"/>
        <v>1</v>
      </c>
      <c r="G310" s="73">
        <f t="shared" si="2024"/>
        <v>1</v>
      </c>
      <c r="H310" s="50">
        <f t="shared" si="2025"/>
        <v>3</v>
      </c>
      <c r="I310" s="73">
        <f t="shared" si="2026"/>
        <v>1</v>
      </c>
      <c r="J310" s="50">
        <f t="shared" si="2027"/>
        <v>1</v>
      </c>
      <c r="K310" s="53">
        <f t="shared" si="2028"/>
        <v>1</v>
      </c>
      <c r="L310" s="54">
        <f t="shared" si="2029"/>
        <v>1</v>
      </c>
      <c r="M310" s="53">
        <f t="shared" si="2030"/>
        <v>1</v>
      </c>
      <c r="N310" s="54">
        <f t="shared" si="2031"/>
        <v>1</v>
      </c>
      <c r="O310" s="49">
        <f t="shared" ref="O310:P310" si="2152">SUM(K310,M310)</f>
        <v>2</v>
      </c>
      <c r="P310" s="50">
        <f t="shared" si="2152"/>
        <v>2</v>
      </c>
      <c r="Q310" s="73">
        <f t="shared" si="2033"/>
        <v>1</v>
      </c>
      <c r="R310" s="50">
        <f t="shared" si="2034"/>
        <v>2</v>
      </c>
      <c r="S310" s="53">
        <f t="shared" si="2035"/>
        <v>0</v>
      </c>
      <c r="T310" s="54">
        <f t="shared" si="2036"/>
        <v>0</v>
      </c>
      <c r="U310" s="53">
        <f t="shared" si="2037"/>
        <v>1</v>
      </c>
      <c r="V310" s="54">
        <f t="shared" si="2038"/>
        <v>2</v>
      </c>
      <c r="W310" s="53">
        <f t="shared" si="2039"/>
        <v>0</v>
      </c>
      <c r="X310" s="54">
        <f t="shared" si="2040"/>
        <v>0</v>
      </c>
      <c r="Y310" s="53">
        <f t="shared" si="2041"/>
        <v>1</v>
      </c>
      <c r="Z310" s="54">
        <f t="shared" si="2042"/>
        <v>2</v>
      </c>
      <c r="AA310" s="53">
        <f t="shared" si="2043"/>
        <v>1</v>
      </c>
      <c r="AB310" s="54">
        <f t="shared" si="2044"/>
        <v>2</v>
      </c>
      <c r="AC310" s="49">
        <f t="shared" ref="AC310:AD310" si="2153">SUM(S310,U310,W310,Y310,AA310)</f>
        <v>3</v>
      </c>
      <c r="AD310" s="50">
        <f t="shared" si="2153"/>
        <v>6</v>
      </c>
      <c r="AE310" s="53">
        <f t="shared" si="2046"/>
        <v>1</v>
      </c>
      <c r="AF310" s="54">
        <f t="shared" si="2047"/>
        <v>2</v>
      </c>
      <c r="AG310" s="53">
        <f t="shared" si="2048"/>
        <v>1</v>
      </c>
      <c r="AH310" s="54">
        <f t="shared" si="2049"/>
        <v>2</v>
      </c>
      <c r="AI310" s="53">
        <f t="shared" si="2050"/>
        <v>1</v>
      </c>
      <c r="AJ310" s="54">
        <f t="shared" si="2051"/>
        <v>3</v>
      </c>
      <c r="AK310" s="53">
        <f t="shared" si="2052"/>
        <v>1</v>
      </c>
      <c r="AL310" s="54">
        <f t="shared" si="2053"/>
        <v>2</v>
      </c>
      <c r="AM310" s="53">
        <f t="shared" si="2054"/>
        <v>0</v>
      </c>
      <c r="AN310" s="54">
        <f t="shared" si="2055"/>
        <v>0</v>
      </c>
      <c r="AO310" s="53">
        <f t="shared" si="2056"/>
        <v>1</v>
      </c>
      <c r="AP310" s="54">
        <f t="shared" si="2057"/>
        <v>2</v>
      </c>
      <c r="AQ310" s="49">
        <f t="shared" ref="AQ310:AR310" si="2154">SUM(AG310,AI310,AK310,AM310,AO310)</f>
        <v>4</v>
      </c>
      <c r="AR310" s="50">
        <f t="shared" si="2154"/>
        <v>9</v>
      </c>
      <c r="AS310" s="53">
        <f t="shared" si="2059"/>
        <v>2</v>
      </c>
      <c r="AT310" s="54">
        <f t="shared" si="2060"/>
        <v>4</v>
      </c>
      <c r="AU310" s="53">
        <f t="shared" si="2061"/>
        <v>0</v>
      </c>
      <c r="AV310" s="54">
        <f t="shared" si="2062"/>
        <v>0</v>
      </c>
      <c r="AW310" s="53">
        <f t="shared" si="2063"/>
        <v>2</v>
      </c>
      <c r="AX310" s="54">
        <f t="shared" si="2064"/>
        <v>4</v>
      </c>
      <c r="AY310" s="53">
        <f t="shared" si="2065"/>
        <v>1</v>
      </c>
      <c r="AZ310" s="54">
        <f t="shared" si="2066"/>
        <v>3</v>
      </c>
      <c r="BA310" s="53">
        <f t="shared" si="2067"/>
        <v>2</v>
      </c>
      <c r="BB310" s="54">
        <f t="shared" si="2068"/>
        <v>4</v>
      </c>
      <c r="BC310" s="49">
        <f t="shared" ref="BC310:BD310" si="2155">SUM(AS310,AU310,AW310,AY310,BA310)</f>
        <v>7</v>
      </c>
      <c r="BD310" s="50">
        <f t="shared" si="2155"/>
        <v>15</v>
      </c>
      <c r="BE310" s="68">
        <f t="shared" ref="BE310:BF310" si="2156">SUM(E310,G310,I310,O310,Q310,AC310,AQ310,BC310)</f>
        <v>20</v>
      </c>
      <c r="BF310" s="69">
        <f t="shared" si="2156"/>
        <v>39</v>
      </c>
      <c r="BG310" s="46" t="str">
        <f>BF310*'ОВгП_РАО'!$B$20</f>
        <v>#REF!</v>
      </c>
      <c r="BH310" s="46" t="str">
        <f>'ОВгП_РАО'!$B$20</f>
        <v>#REF!</v>
      </c>
    </row>
    <row r="311" ht="15.75" customHeight="1">
      <c r="A311" s="80">
        <f t="shared" si="2071"/>
        <v>46269</v>
      </c>
      <c r="B311" s="129" t="s">
        <v>141</v>
      </c>
      <c r="C311" s="47" t="s">
        <v>122</v>
      </c>
      <c r="D311" s="47" t="s">
        <v>139</v>
      </c>
      <c r="E311" s="73">
        <f t="shared" si="2022"/>
        <v>1</v>
      </c>
      <c r="F311" s="50">
        <f t="shared" si="2023"/>
        <v>3</v>
      </c>
      <c r="G311" s="73">
        <f t="shared" si="2024"/>
        <v>1</v>
      </c>
      <c r="H311" s="50">
        <f t="shared" si="2025"/>
        <v>1</v>
      </c>
      <c r="I311" s="73">
        <f t="shared" si="2026"/>
        <v>2</v>
      </c>
      <c r="J311" s="50">
        <f t="shared" si="2027"/>
        <v>4</v>
      </c>
      <c r="K311" s="53">
        <f t="shared" si="2028"/>
        <v>2</v>
      </c>
      <c r="L311" s="54">
        <f t="shared" si="2029"/>
        <v>4</v>
      </c>
      <c r="M311" s="53">
        <f t="shared" si="2030"/>
        <v>1</v>
      </c>
      <c r="N311" s="54">
        <f t="shared" si="2031"/>
        <v>3</v>
      </c>
      <c r="O311" s="49">
        <f t="shared" ref="O311:P311" si="2157">SUM(K311,M311)</f>
        <v>3</v>
      </c>
      <c r="P311" s="50">
        <f t="shared" si="2157"/>
        <v>7</v>
      </c>
      <c r="Q311" s="73">
        <f t="shared" si="2033"/>
        <v>0</v>
      </c>
      <c r="R311" s="50">
        <f t="shared" si="2034"/>
        <v>0</v>
      </c>
      <c r="S311" s="53">
        <f t="shared" si="2035"/>
        <v>2</v>
      </c>
      <c r="T311" s="54">
        <f t="shared" si="2036"/>
        <v>4</v>
      </c>
      <c r="U311" s="53">
        <f t="shared" si="2037"/>
        <v>1</v>
      </c>
      <c r="V311" s="54">
        <f t="shared" si="2038"/>
        <v>1</v>
      </c>
      <c r="W311" s="53">
        <f t="shared" si="2039"/>
        <v>0</v>
      </c>
      <c r="X311" s="54">
        <f t="shared" si="2040"/>
        <v>0</v>
      </c>
      <c r="Y311" s="53">
        <f t="shared" si="2041"/>
        <v>1</v>
      </c>
      <c r="Z311" s="54">
        <f t="shared" si="2042"/>
        <v>3</v>
      </c>
      <c r="AA311" s="53">
        <f t="shared" si="2043"/>
        <v>0</v>
      </c>
      <c r="AB311" s="54">
        <f t="shared" si="2044"/>
        <v>0</v>
      </c>
      <c r="AC311" s="49">
        <f t="shared" ref="AC311:AD311" si="2158">SUM(S311,U311,W311,Y311,AA311)</f>
        <v>4</v>
      </c>
      <c r="AD311" s="50">
        <f t="shared" si="2158"/>
        <v>8</v>
      </c>
      <c r="AE311" s="53">
        <f t="shared" si="2046"/>
        <v>0</v>
      </c>
      <c r="AF311" s="54">
        <f t="shared" si="2047"/>
        <v>0</v>
      </c>
      <c r="AG311" s="53">
        <f t="shared" si="2048"/>
        <v>2</v>
      </c>
      <c r="AH311" s="54">
        <f t="shared" si="2049"/>
        <v>4</v>
      </c>
      <c r="AI311" s="53">
        <f t="shared" si="2050"/>
        <v>0</v>
      </c>
      <c r="AJ311" s="54">
        <f t="shared" si="2051"/>
        <v>0</v>
      </c>
      <c r="AK311" s="53">
        <f t="shared" si="2052"/>
        <v>1</v>
      </c>
      <c r="AL311" s="54">
        <f t="shared" si="2053"/>
        <v>1</v>
      </c>
      <c r="AM311" s="53">
        <f t="shared" si="2054"/>
        <v>1</v>
      </c>
      <c r="AN311" s="54">
        <f t="shared" si="2055"/>
        <v>2</v>
      </c>
      <c r="AO311" s="53">
        <f t="shared" si="2056"/>
        <v>0</v>
      </c>
      <c r="AP311" s="54">
        <f t="shared" si="2057"/>
        <v>0</v>
      </c>
      <c r="AQ311" s="49">
        <f t="shared" ref="AQ311:AR311" si="2159">SUM(AG311,AI311,AK311,AM311,AO311)</f>
        <v>4</v>
      </c>
      <c r="AR311" s="50">
        <f t="shared" si="2159"/>
        <v>7</v>
      </c>
      <c r="AS311" s="53">
        <f t="shared" si="2059"/>
        <v>1</v>
      </c>
      <c r="AT311" s="54">
        <f t="shared" si="2060"/>
        <v>3</v>
      </c>
      <c r="AU311" s="53">
        <f t="shared" si="2061"/>
        <v>1</v>
      </c>
      <c r="AV311" s="54">
        <f t="shared" si="2062"/>
        <v>1</v>
      </c>
      <c r="AW311" s="53">
        <f t="shared" si="2063"/>
        <v>1</v>
      </c>
      <c r="AX311" s="54">
        <f t="shared" si="2064"/>
        <v>3</v>
      </c>
      <c r="AY311" s="53">
        <f t="shared" si="2065"/>
        <v>2</v>
      </c>
      <c r="AZ311" s="54">
        <f t="shared" si="2066"/>
        <v>4</v>
      </c>
      <c r="BA311" s="53">
        <f t="shared" si="2067"/>
        <v>2</v>
      </c>
      <c r="BB311" s="54">
        <f t="shared" si="2068"/>
        <v>4</v>
      </c>
      <c r="BC311" s="49">
        <f t="shared" ref="BC311:BD311" si="2160">SUM(AS311,AU311,AW311,AY311,BA311)</f>
        <v>7</v>
      </c>
      <c r="BD311" s="50">
        <f t="shared" si="2160"/>
        <v>15</v>
      </c>
      <c r="BE311" s="68">
        <f t="shared" ref="BE311:BF311" si="2161">SUM(E311,G311,I311,O311,Q311,AC311,AQ311,BC311)</f>
        <v>22</v>
      </c>
      <c r="BF311" s="69">
        <f t="shared" si="2161"/>
        <v>45</v>
      </c>
      <c r="BG311" s="46" t="str">
        <f>BF311*'ОВгП_РАО'!$B$21</f>
        <v>#REF!</v>
      </c>
      <c r="BH311" s="46" t="str">
        <f>'ОВгП_РАО'!$B$21</f>
        <v>#REF!</v>
      </c>
    </row>
    <row r="312" ht="15.75" customHeight="1">
      <c r="A312" s="80">
        <f t="shared" si="2071"/>
        <v>46269</v>
      </c>
      <c r="B312" s="47" t="s">
        <v>142</v>
      </c>
      <c r="C312" s="46" t="s">
        <v>96</v>
      </c>
      <c r="D312" s="47" t="s">
        <v>98</v>
      </c>
      <c r="E312" s="73">
        <f t="shared" si="2022"/>
        <v>1</v>
      </c>
      <c r="F312" s="50">
        <f t="shared" si="2023"/>
        <v>1</v>
      </c>
      <c r="G312" s="73">
        <f t="shared" si="2024"/>
        <v>1</v>
      </c>
      <c r="H312" s="50">
        <f t="shared" si="2025"/>
        <v>1</v>
      </c>
      <c r="I312" s="73">
        <f t="shared" si="2026"/>
        <v>2</v>
      </c>
      <c r="J312" s="50">
        <f t="shared" si="2027"/>
        <v>4</v>
      </c>
      <c r="K312" s="53">
        <f t="shared" si="2028"/>
        <v>2</v>
      </c>
      <c r="L312" s="54">
        <f t="shared" si="2029"/>
        <v>4</v>
      </c>
      <c r="M312" s="53">
        <f t="shared" si="2030"/>
        <v>2</v>
      </c>
      <c r="N312" s="54">
        <f t="shared" si="2031"/>
        <v>4</v>
      </c>
      <c r="O312" s="49">
        <f t="shared" ref="O312:P312" si="2162">SUM(K312,M312)</f>
        <v>4</v>
      </c>
      <c r="P312" s="50">
        <f t="shared" si="2162"/>
        <v>8</v>
      </c>
      <c r="Q312" s="73">
        <f t="shared" si="2033"/>
        <v>1</v>
      </c>
      <c r="R312" s="50">
        <f t="shared" si="2034"/>
        <v>2</v>
      </c>
      <c r="S312" s="53">
        <f t="shared" si="2035"/>
        <v>2</v>
      </c>
      <c r="T312" s="54">
        <f t="shared" si="2036"/>
        <v>4</v>
      </c>
      <c r="U312" s="53">
        <f t="shared" si="2037"/>
        <v>2</v>
      </c>
      <c r="V312" s="54">
        <f t="shared" si="2038"/>
        <v>4</v>
      </c>
      <c r="W312" s="53">
        <f t="shared" si="2039"/>
        <v>1</v>
      </c>
      <c r="X312" s="54">
        <f t="shared" si="2040"/>
        <v>2</v>
      </c>
      <c r="Y312" s="53">
        <f t="shared" si="2041"/>
        <v>1</v>
      </c>
      <c r="Z312" s="54">
        <f t="shared" si="2042"/>
        <v>1</v>
      </c>
      <c r="AA312" s="53">
        <f t="shared" si="2043"/>
        <v>1</v>
      </c>
      <c r="AB312" s="54">
        <f t="shared" si="2044"/>
        <v>2</v>
      </c>
      <c r="AC312" s="49">
        <f t="shared" ref="AC312:AD312" si="2163">SUM(S312,U312,W312,Y312,AA312)</f>
        <v>7</v>
      </c>
      <c r="AD312" s="50">
        <f t="shared" si="2163"/>
        <v>13</v>
      </c>
      <c r="AE312" s="53">
        <f t="shared" si="2046"/>
        <v>1</v>
      </c>
      <c r="AF312" s="54">
        <f t="shared" si="2047"/>
        <v>2</v>
      </c>
      <c r="AG312" s="53">
        <f t="shared" si="2048"/>
        <v>1</v>
      </c>
      <c r="AH312" s="54">
        <f t="shared" si="2049"/>
        <v>1</v>
      </c>
      <c r="AI312" s="53">
        <f t="shared" si="2050"/>
        <v>1</v>
      </c>
      <c r="AJ312" s="54">
        <f t="shared" si="2051"/>
        <v>2</v>
      </c>
      <c r="AK312" s="53">
        <f t="shared" si="2052"/>
        <v>1</v>
      </c>
      <c r="AL312" s="54">
        <f t="shared" si="2053"/>
        <v>2</v>
      </c>
      <c r="AM312" s="53">
        <f t="shared" si="2054"/>
        <v>0</v>
      </c>
      <c r="AN312" s="54">
        <f t="shared" si="2055"/>
        <v>0</v>
      </c>
      <c r="AO312" s="53">
        <f t="shared" si="2056"/>
        <v>2</v>
      </c>
      <c r="AP312" s="54">
        <f t="shared" si="2057"/>
        <v>4</v>
      </c>
      <c r="AQ312" s="49">
        <f t="shared" ref="AQ312:AR312" si="2164">SUM(AG312,AI312,AK312,AM312,AO312)</f>
        <v>5</v>
      </c>
      <c r="AR312" s="50">
        <f t="shared" si="2164"/>
        <v>9</v>
      </c>
      <c r="AS312" s="53">
        <f t="shared" si="2059"/>
        <v>1</v>
      </c>
      <c r="AT312" s="54">
        <f t="shared" si="2060"/>
        <v>2</v>
      </c>
      <c r="AU312" s="53">
        <f t="shared" si="2061"/>
        <v>1</v>
      </c>
      <c r="AV312" s="54">
        <f t="shared" si="2062"/>
        <v>3</v>
      </c>
      <c r="AW312" s="53">
        <f t="shared" si="2063"/>
        <v>1</v>
      </c>
      <c r="AX312" s="54">
        <f t="shared" si="2064"/>
        <v>3</v>
      </c>
      <c r="AY312" s="53">
        <f t="shared" si="2065"/>
        <v>1</v>
      </c>
      <c r="AZ312" s="54">
        <f t="shared" si="2066"/>
        <v>1</v>
      </c>
      <c r="BA312" s="53">
        <f t="shared" si="2067"/>
        <v>0</v>
      </c>
      <c r="BB312" s="54">
        <f t="shared" si="2068"/>
        <v>0</v>
      </c>
      <c r="BC312" s="49">
        <f t="shared" ref="BC312:BD312" si="2165">SUM(AS312,AU312,AW312,AY312,BA312)</f>
        <v>4</v>
      </c>
      <c r="BD312" s="50">
        <f t="shared" si="2165"/>
        <v>9</v>
      </c>
      <c r="BE312" s="68">
        <f t="shared" ref="BE312:BF312" si="2166">SUM(E312,G312,I312,O312,Q312,AC312,AQ312,BC312)</f>
        <v>25</v>
      </c>
      <c r="BF312" s="69">
        <f t="shared" si="2166"/>
        <v>47</v>
      </c>
      <c r="BG312" s="46" t="str">
        <f>BF312*'ОВгП_РАО'!$B$22</f>
        <v>#REF!</v>
      </c>
      <c r="BH312" s="46" t="str">
        <f>'ОВгП_РАО'!$B$22</f>
        <v>#REF!</v>
      </c>
    </row>
    <row r="313" ht="15.75" customHeight="1">
      <c r="A313" s="80">
        <f t="shared" si="2071"/>
        <v>46269</v>
      </c>
      <c r="B313" s="47" t="s">
        <v>143</v>
      </c>
      <c r="C313" s="46" t="s">
        <v>96</v>
      </c>
      <c r="D313" s="47" t="s">
        <v>98</v>
      </c>
      <c r="E313" s="73">
        <f t="shared" si="2022"/>
        <v>0</v>
      </c>
      <c r="F313" s="50">
        <f t="shared" si="2023"/>
        <v>0</v>
      </c>
      <c r="G313" s="73">
        <f t="shared" si="2024"/>
        <v>2</v>
      </c>
      <c r="H313" s="50">
        <f t="shared" si="2025"/>
        <v>4</v>
      </c>
      <c r="I313" s="73">
        <f t="shared" si="2026"/>
        <v>1</v>
      </c>
      <c r="J313" s="50">
        <f t="shared" si="2027"/>
        <v>2</v>
      </c>
      <c r="K313" s="53">
        <f t="shared" si="2028"/>
        <v>0</v>
      </c>
      <c r="L313" s="54">
        <f t="shared" si="2029"/>
        <v>0</v>
      </c>
      <c r="M313" s="53">
        <f t="shared" si="2030"/>
        <v>1</v>
      </c>
      <c r="N313" s="54">
        <f t="shared" si="2031"/>
        <v>3</v>
      </c>
      <c r="O313" s="49">
        <f t="shared" ref="O313:P313" si="2167">SUM(K313,M313)</f>
        <v>1</v>
      </c>
      <c r="P313" s="50">
        <f t="shared" si="2167"/>
        <v>3</v>
      </c>
      <c r="Q313" s="73">
        <f t="shared" si="2033"/>
        <v>1</v>
      </c>
      <c r="R313" s="50">
        <f t="shared" si="2034"/>
        <v>3</v>
      </c>
      <c r="S313" s="53">
        <f t="shared" si="2035"/>
        <v>2</v>
      </c>
      <c r="T313" s="54">
        <f t="shared" si="2036"/>
        <v>4</v>
      </c>
      <c r="U313" s="53">
        <f t="shared" si="2037"/>
        <v>1</v>
      </c>
      <c r="V313" s="54">
        <f t="shared" si="2038"/>
        <v>3</v>
      </c>
      <c r="W313" s="53">
        <f t="shared" si="2039"/>
        <v>0</v>
      </c>
      <c r="X313" s="54">
        <f t="shared" si="2040"/>
        <v>0</v>
      </c>
      <c r="Y313" s="53">
        <f t="shared" si="2041"/>
        <v>1</v>
      </c>
      <c r="Z313" s="54">
        <f t="shared" si="2042"/>
        <v>1</v>
      </c>
      <c r="AA313" s="53">
        <f t="shared" si="2043"/>
        <v>1</v>
      </c>
      <c r="AB313" s="54">
        <f t="shared" si="2044"/>
        <v>1</v>
      </c>
      <c r="AC313" s="49">
        <f t="shared" ref="AC313:AD313" si="2168">SUM(S313,U313,W313,Y313,AA313)</f>
        <v>5</v>
      </c>
      <c r="AD313" s="50">
        <f t="shared" si="2168"/>
        <v>9</v>
      </c>
      <c r="AE313" s="53">
        <f t="shared" si="2046"/>
        <v>2</v>
      </c>
      <c r="AF313" s="54">
        <f t="shared" si="2047"/>
        <v>4</v>
      </c>
      <c r="AG313" s="53">
        <f t="shared" si="2048"/>
        <v>1</v>
      </c>
      <c r="AH313" s="54">
        <f t="shared" si="2049"/>
        <v>1</v>
      </c>
      <c r="AI313" s="53">
        <f t="shared" si="2050"/>
        <v>1</v>
      </c>
      <c r="AJ313" s="54">
        <f t="shared" si="2051"/>
        <v>2</v>
      </c>
      <c r="AK313" s="53">
        <f t="shared" si="2052"/>
        <v>2</v>
      </c>
      <c r="AL313" s="54">
        <f t="shared" si="2053"/>
        <v>4</v>
      </c>
      <c r="AM313" s="53">
        <f t="shared" si="2054"/>
        <v>1</v>
      </c>
      <c r="AN313" s="54">
        <f t="shared" si="2055"/>
        <v>1</v>
      </c>
      <c r="AO313" s="53">
        <f t="shared" si="2056"/>
        <v>1</v>
      </c>
      <c r="AP313" s="54">
        <f t="shared" si="2057"/>
        <v>1</v>
      </c>
      <c r="AQ313" s="49">
        <f t="shared" ref="AQ313:AR313" si="2169">SUM(AG313,AI313,AK313,AM313,AO313)</f>
        <v>6</v>
      </c>
      <c r="AR313" s="50">
        <f t="shared" si="2169"/>
        <v>9</v>
      </c>
      <c r="AS313" s="53">
        <f t="shared" si="2059"/>
        <v>1</v>
      </c>
      <c r="AT313" s="54">
        <f t="shared" si="2060"/>
        <v>1</v>
      </c>
      <c r="AU313" s="53">
        <f t="shared" si="2061"/>
        <v>1</v>
      </c>
      <c r="AV313" s="54">
        <f t="shared" si="2062"/>
        <v>2</v>
      </c>
      <c r="AW313" s="53">
        <f t="shared" si="2063"/>
        <v>1</v>
      </c>
      <c r="AX313" s="54">
        <f t="shared" si="2064"/>
        <v>3</v>
      </c>
      <c r="AY313" s="53">
        <f t="shared" si="2065"/>
        <v>0</v>
      </c>
      <c r="AZ313" s="54">
        <f t="shared" si="2066"/>
        <v>0</v>
      </c>
      <c r="BA313" s="53">
        <f t="shared" si="2067"/>
        <v>0</v>
      </c>
      <c r="BB313" s="54">
        <f t="shared" si="2068"/>
        <v>0</v>
      </c>
      <c r="BC313" s="49">
        <f t="shared" ref="BC313:BD313" si="2170">SUM(AS313,AU313,AW313,AY313,BA313)</f>
        <v>3</v>
      </c>
      <c r="BD313" s="50">
        <f t="shared" si="2170"/>
        <v>6</v>
      </c>
      <c r="BE313" s="68">
        <f t="shared" ref="BE313:BF313" si="2171">SUM(E313,G313,I313,O313,Q313,AC313,AQ313,BC313)</f>
        <v>19</v>
      </c>
      <c r="BF313" s="69">
        <f t="shared" si="2171"/>
        <v>36</v>
      </c>
      <c r="BG313" s="46" t="str">
        <f>BF313*'ОВгП_РАО'!$B$23</f>
        <v>#REF!</v>
      </c>
      <c r="BH313" s="46" t="str">
        <f>'ОВгП_РАО'!$B$23</f>
        <v>#REF!</v>
      </c>
    </row>
    <row r="314" ht="15.75" customHeight="1">
      <c r="A314" s="80">
        <f t="shared" si="2071"/>
        <v>46269</v>
      </c>
      <c r="B314" s="47" t="s">
        <v>144</v>
      </c>
      <c r="C314" s="46" t="s">
        <v>96</v>
      </c>
      <c r="D314" s="47" t="s">
        <v>145</v>
      </c>
      <c r="E314" s="73">
        <f t="shared" si="2022"/>
        <v>2</v>
      </c>
      <c r="F314" s="50">
        <f t="shared" si="2023"/>
        <v>4</v>
      </c>
      <c r="G314" s="73">
        <f t="shared" si="2024"/>
        <v>1</v>
      </c>
      <c r="H314" s="50">
        <f t="shared" si="2025"/>
        <v>2</v>
      </c>
      <c r="I314" s="73">
        <f t="shared" si="2026"/>
        <v>0</v>
      </c>
      <c r="J314" s="50">
        <f t="shared" si="2027"/>
        <v>0</v>
      </c>
      <c r="K314" s="53">
        <f t="shared" si="2028"/>
        <v>1</v>
      </c>
      <c r="L314" s="54">
        <f t="shared" si="2029"/>
        <v>3</v>
      </c>
      <c r="M314" s="53">
        <f t="shared" si="2030"/>
        <v>2</v>
      </c>
      <c r="N314" s="54">
        <f t="shared" si="2031"/>
        <v>4</v>
      </c>
      <c r="O314" s="49">
        <f t="shared" ref="O314:P314" si="2172">SUM(K314,M314)</f>
        <v>3</v>
      </c>
      <c r="P314" s="50">
        <f t="shared" si="2172"/>
        <v>7</v>
      </c>
      <c r="Q314" s="73">
        <f t="shared" si="2033"/>
        <v>1</v>
      </c>
      <c r="R314" s="50">
        <f t="shared" si="2034"/>
        <v>3</v>
      </c>
      <c r="S314" s="53">
        <f t="shared" si="2035"/>
        <v>2</v>
      </c>
      <c r="T314" s="54">
        <f t="shared" si="2036"/>
        <v>4</v>
      </c>
      <c r="U314" s="53">
        <f t="shared" si="2037"/>
        <v>2</v>
      </c>
      <c r="V314" s="54">
        <f t="shared" si="2038"/>
        <v>4</v>
      </c>
      <c r="W314" s="53">
        <f t="shared" si="2039"/>
        <v>2</v>
      </c>
      <c r="X314" s="54">
        <f t="shared" si="2040"/>
        <v>4</v>
      </c>
      <c r="Y314" s="53">
        <f t="shared" si="2041"/>
        <v>1</v>
      </c>
      <c r="Z314" s="54">
        <f t="shared" si="2042"/>
        <v>3</v>
      </c>
      <c r="AA314" s="53">
        <f t="shared" si="2043"/>
        <v>2</v>
      </c>
      <c r="AB314" s="54">
        <f t="shared" si="2044"/>
        <v>4</v>
      </c>
      <c r="AC314" s="49">
        <f t="shared" ref="AC314:AD314" si="2173">SUM(S314,U314,W314,Y314,AA314)</f>
        <v>9</v>
      </c>
      <c r="AD314" s="50">
        <f t="shared" si="2173"/>
        <v>19</v>
      </c>
      <c r="AE314" s="53">
        <f t="shared" si="2046"/>
        <v>2</v>
      </c>
      <c r="AF314" s="54">
        <f t="shared" si="2047"/>
        <v>4</v>
      </c>
      <c r="AG314" s="53">
        <f t="shared" si="2048"/>
        <v>2</v>
      </c>
      <c r="AH314" s="54">
        <f t="shared" si="2049"/>
        <v>4</v>
      </c>
      <c r="AI314" s="53">
        <f t="shared" si="2050"/>
        <v>1</v>
      </c>
      <c r="AJ314" s="54">
        <f t="shared" si="2051"/>
        <v>3</v>
      </c>
      <c r="AK314" s="53">
        <f t="shared" si="2052"/>
        <v>1</v>
      </c>
      <c r="AL314" s="54">
        <f t="shared" si="2053"/>
        <v>3</v>
      </c>
      <c r="AM314" s="53">
        <f t="shared" si="2054"/>
        <v>2</v>
      </c>
      <c r="AN314" s="54">
        <f t="shared" si="2055"/>
        <v>4</v>
      </c>
      <c r="AO314" s="53">
        <f t="shared" si="2056"/>
        <v>1</v>
      </c>
      <c r="AP314" s="54">
        <f t="shared" si="2057"/>
        <v>3</v>
      </c>
      <c r="AQ314" s="49">
        <f t="shared" ref="AQ314:AR314" si="2174">SUM(AG314,AI314,AK314,AM314,AO314)</f>
        <v>7</v>
      </c>
      <c r="AR314" s="50">
        <f t="shared" si="2174"/>
        <v>17</v>
      </c>
      <c r="AS314" s="53">
        <f t="shared" si="2059"/>
        <v>1</v>
      </c>
      <c r="AT314" s="54">
        <f t="shared" si="2060"/>
        <v>1</v>
      </c>
      <c r="AU314" s="53">
        <f t="shared" si="2061"/>
        <v>0</v>
      </c>
      <c r="AV314" s="54">
        <f t="shared" si="2062"/>
        <v>0</v>
      </c>
      <c r="AW314" s="53">
        <f t="shared" si="2063"/>
        <v>1</v>
      </c>
      <c r="AX314" s="54">
        <f t="shared" si="2064"/>
        <v>1</v>
      </c>
      <c r="AY314" s="53">
        <f t="shared" si="2065"/>
        <v>1</v>
      </c>
      <c r="AZ314" s="54">
        <f t="shared" si="2066"/>
        <v>1</v>
      </c>
      <c r="BA314" s="53">
        <f t="shared" si="2067"/>
        <v>1</v>
      </c>
      <c r="BB314" s="54">
        <f t="shared" si="2068"/>
        <v>3</v>
      </c>
      <c r="BC314" s="49">
        <f t="shared" ref="BC314:BD314" si="2175">SUM(AS314,AU314,AW314,AY314,BA314)</f>
        <v>4</v>
      </c>
      <c r="BD314" s="50">
        <f t="shared" si="2175"/>
        <v>6</v>
      </c>
      <c r="BE314" s="68">
        <f t="shared" ref="BE314:BF314" si="2176">SUM(E314,G314,I314,O314,Q314,AC314,AQ314,BC314)</f>
        <v>27</v>
      </c>
      <c r="BF314" s="69">
        <f t="shared" si="2176"/>
        <v>58</v>
      </c>
      <c r="BG314" s="46" t="str">
        <f>BF314*'ОВгП_РАО'!$B$24</f>
        <v>#REF!</v>
      </c>
      <c r="BH314" s="46" t="str">
        <f>'ОВгП_РАО'!$B$24</f>
        <v>#REF!</v>
      </c>
    </row>
    <row r="315" ht="15.75" customHeight="1">
      <c r="A315" s="80">
        <f t="shared" si="2071"/>
        <v>46269</v>
      </c>
      <c r="B315" s="47" t="s">
        <v>146</v>
      </c>
      <c r="C315" s="46" t="s">
        <v>96</v>
      </c>
      <c r="D315" s="47" t="s">
        <v>145</v>
      </c>
      <c r="E315" s="73">
        <f t="shared" si="2022"/>
        <v>1</v>
      </c>
      <c r="F315" s="50">
        <f t="shared" si="2023"/>
        <v>2</v>
      </c>
      <c r="G315" s="73">
        <f t="shared" si="2024"/>
        <v>2</v>
      </c>
      <c r="H315" s="50">
        <f t="shared" si="2025"/>
        <v>4</v>
      </c>
      <c r="I315" s="73">
        <f t="shared" si="2026"/>
        <v>2</v>
      </c>
      <c r="J315" s="50">
        <f t="shared" si="2027"/>
        <v>4</v>
      </c>
      <c r="K315" s="53">
        <f t="shared" si="2028"/>
        <v>1</v>
      </c>
      <c r="L315" s="54">
        <f t="shared" si="2029"/>
        <v>3</v>
      </c>
      <c r="M315" s="53">
        <f t="shared" si="2030"/>
        <v>2</v>
      </c>
      <c r="N315" s="54">
        <f t="shared" si="2031"/>
        <v>4</v>
      </c>
      <c r="O315" s="49">
        <f t="shared" ref="O315:P315" si="2177">SUM(K315,M315)</f>
        <v>3</v>
      </c>
      <c r="P315" s="50">
        <f t="shared" si="2177"/>
        <v>7</v>
      </c>
      <c r="Q315" s="73">
        <f t="shared" si="2033"/>
        <v>2</v>
      </c>
      <c r="R315" s="50">
        <f t="shared" si="2034"/>
        <v>4</v>
      </c>
      <c r="S315" s="53">
        <f t="shared" si="2035"/>
        <v>1</v>
      </c>
      <c r="T315" s="54">
        <f t="shared" si="2036"/>
        <v>3</v>
      </c>
      <c r="U315" s="53">
        <f t="shared" si="2037"/>
        <v>1</v>
      </c>
      <c r="V315" s="54">
        <f t="shared" si="2038"/>
        <v>1</v>
      </c>
      <c r="W315" s="53">
        <f t="shared" si="2039"/>
        <v>1</v>
      </c>
      <c r="X315" s="54">
        <f t="shared" si="2040"/>
        <v>3</v>
      </c>
      <c r="Y315" s="53">
        <f t="shared" si="2041"/>
        <v>1</v>
      </c>
      <c r="Z315" s="54">
        <f t="shared" si="2042"/>
        <v>2</v>
      </c>
      <c r="AA315" s="53">
        <f t="shared" si="2043"/>
        <v>2</v>
      </c>
      <c r="AB315" s="54">
        <f t="shared" si="2044"/>
        <v>4</v>
      </c>
      <c r="AC315" s="49">
        <f t="shared" ref="AC315:AD315" si="2178">SUM(S315,U315,W315,Y315,AA315)</f>
        <v>6</v>
      </c>
      <c r="AD315" s="50">
        <f t="shared" si="2178"/>
        <v>13</v>
      </c>
      <c r="AE315" s="53">
        <f t="shared" si="2046"/>
        <v>2</v>
      </c>
      <c r="AF315" s="54">
        <f t="shared" si="2047"/>
        <v>4</v>
      </c>
      <c r="AG315" s="53">
        <f t="shared" si="2048"/>
        <v>2</v>
      </c>
      <c r="AH315" s="54">
        <f t="shared" si="2049"/>
        <v>4</v>
      </c>
      <c r="AI315" s="53">
        <f t="shared" si="2050"/>
        <v>1</v>
      </c>
      <c r="AJ315" s="54">
        <f t="shared" si="2051"/>
        <v>1</v>
      </c>
      <c r="AK315" s="53">
        <f t="shared" si="2052"/>
        <v>1</v>
      </c>
      <c r="AL315" s="54">
        <f t="shared" si="2053"/>
        <v>1</v>
      </c>
      <c r="AM315" s="53">
        <f t="shared" si="2054"/>
        <v>1</v>
      </c>
      <c r="AN315" s="54">
        <f t="shared" si="2055"/>
        <v>2</v>
      </c>
      <c r="AO315" s="53">
        <f t="shared" si="2056"/>
        <v>0</v>
      </c>
      <c r="AP315" s="54">
        <f t="shared" si="2057"/>
        <v>0</v>
      </c>
      <c r="AQ315" s="49">
        <f t="shared" ref="AQ315:AR315" si="2179">SUM(AG315,AI315,AK315,AM315,AO315)</f>
        <v>5</v>
      </c>
      <c r="AR315" s="50">
        <f t="shared" si="2179"/>
        <v>8</v>
      </c>
      <c r="AS315" s="53">
        <f t="shared" si="2059"/>
        <v>2</v>
      </c>
      <c r="AT315" s="54">
        <f t="shared" si="2060"/>
        <v>4</v>
      </c>
      <c r="AU315" s="53">
        <f t="shared" si="2061"/>
        <v>1</v>
      </c>
      <c r="AV315" s="54">
        <f t="shared" si="2062"/>
        <v>3</v>
      </c>
      <c r="AW315" s="53">
        <f t="shared" si="2063"/>
        <v>2</v>
      </c>
      <c r="AX315" s="54">
        <f t="shared" si="2064"/>
        <v>4</v>
      </c>
      <c r="AY315" s="53">
        <f t="shared" si="2065"/>
        <v>1</v>
      </c>
      <c r="AZ315" s="54">
        <f t="shared" si="2066"/>
        <v>1</v>
      </c>
      <c r="BA315" s="53">
        <f t="shared" si="2067"/>
        <v>1</v>
      </c>
      <c r="BB315" s="54">
        <f t="shared" si="2068"/>
        <v>1</v>
      </c>
      <c r="BC315" s="49">
        <f t="shared" ref="BC315:BD315" si="2180">SUM(AS315,AU315,AW315,AY315,BA315)</f>
        <v>7</v>
      </c>
      <c r="BD315" s="50">
        <f t="shared" si="2180"/>
        <v>13</v>
      </c>
      <c r="BE315" s="68">
        <f t="shared" ref="BE315:BF315" si="2181">SUM(E315,G315,I315,O315,Q315,AC315,AQ315,BC315)</f>
        <v>28</v>
      </c>
      <c r="BF315" s="69">
        <f t="shared" si="2181"/>
        <v>55</v>
      </c>
      <c r="BG315" s="46" t="str">
        <f>BF315*'ОВгП_РАО'!$B$25</f>
        <v>#REF!</v>
      </c>
      <c r="BH315" s="46" t="str">
        <f>'ОВгП_РАО'!$B$25</f>
        <v>#REF!</v>
      </c>
    </row>
    <row r="316" ht="15.75" customHeight="1">
      <c r="A316" s="80">
        <f t="shared" si="2071"/>
        <v>46269</v>
      </c>
      <c r="B316" s="47" t="s">
        <v>147</v>
      </c>
      <c r="C316" s="46" t="s">
        <v>96</v>
      </c>
      <c r="D316" s="47" t="s">
        <v>148</v>
      </c>
      <c r="E316" s="73">
        <f t="shared" si="2022"/>
        <v>0</v>
      </c>
      <c r="F316" s="50">
        <f t="shared" si="2023"/>
        <v>0</v>
      </c>
      <c r="G316" s="73">
        <f t="shared" si="2024"/>
        <v>0</v>
      </c>
      <c r="H316" s="50">
        <f t="shared" si="2025"/>
        <v>0</v>
      </c>
      <c r="I316" s="73">
        <f t="shared" si="2026"/>
        <v>1</v>
      </c>
      <c r="J316" s="50">
        <f t="shared" si="2027"/>
        <v>1</v>
      </c>
      <c r="K316" s="53">
        <f t="shared" si="2028"/>
        <v>1</v>
      </c>
      <c r="L316" s="54">
        <f t="shared" si="2029"/>
        <v>1</v>
      </c>
      <c r="M316" s="53">
        <f t="shared" si="2030"/>
        <v>1</v>
      </c>
      <c r="N316" s="54">
        <f t="shared" si="2031"/>
        <v>1</v>
      </c>
      <c r="O316" s="49">
        <f t="shared" ref="O316:P316" si="2182">SUM(K316,M316)</f>
        <v>2</v>
      </c>
      <c r="P316" s="50">
        <f t="shared" si="2182"/>
        <v>2</v>
      </c>
      <c r="Q316" s="73">
        <f t="shared" si="2033"/>
        <v>1</v>
      </c>
      <c r="R316" s="50">
        <f t="shared" si="2034"/>
        <v>1</v>
      </c>
      <c r="S316" s="53">
        <f t="shared" si="2035"/>
        <v>1</v>
      </c>
      <c r="T316" s="54">
        <f t="shared" si="2036"/>
        <v>2</v>
      </c>
      <c r="U316" s="53">
        <f t="shared" si="2037"/>
        <v>2</v>
      </c>
      <c r="V316" s="54">
        <f t="shared" si="2038"/>
        <v>4</v>
      </c>
      <c r="W316" s="53">
        <f t="shared" si="2039"/>
        <v>1</v>
      </c>
      <c r="X316" s="54">
        <f t="shared" si="2040"/>
        <v>1</v>
      </c>
      <c r="Y316" s="53">
        <f t="shared" si="2041"/>
        <v>1</v>
      </c>
      <c r="Z316" s="54">
        <f t="shared" si="2042"/>
        <v>3</v>
      </c>
      <c r="AA316" s="53">
        <f t="shared" si="2043"/>
        <v>2</v>
      </c>
      <c r="AB316" s="54">
        <f t="shared" si="2044"/>
        <v>4</v>
      </c>
      <c r="AC316" s="49">
        <f t="shared" ref="AC316:AD316" si="2183">SUM(S316,U316,W316,Y316,AA316)</f>
        <v>7</v>
      </c>
      <c r="AD316" s="50">
        <f t="shared" si="2183"/>
        <v>14</v>
      </c>
      <c r="AE316" s="53">
        <f t="shared" si="2046"/>
        <v>2</v>
      </c>
      <c r="AF316" s="54">
        <f t="shared" si="2047"/>
        <v>4</v>
      </c>
      <c r="AG316" s="53">
        <f t="shared" si="2048"/>
        <v>2</v>
      </c>
      <c r="AH316" s="54">
        <f t="shared" si="2049"/>
        <v>4</v>
      </c>
      <c r="AI316" s="53">
        <f t="shared" si="2050"/>
        <v>1</v>
      </c>
      <c r="AJ316" s="54">
        <f t="shared" si="2051"/>
        <v>3</v>
      </c>
      <c r="AK316" s="53">
        <f t="shared" si="2052"/>
        <v>1</v>
      </c>
      <c r="AL316" s="54">
        <f t="shared" si="2053"/>
        <v>1</v>
      </c>
      <c r="AM316" s="53">
        <f t="shared" si="2054"/>
        <v>2</v>
      </c>
      <c r="AN316" s="54">
        <f t="shared" si="2055"/>
        <v>4</v>
      </c>
      <c r="AO316" s="53">
        <f t="shared" si="2056"/>
        <v>1</v>
      </c>
      <c r="AP316" s="54">
        <f t="shared" si="2057"/>
        <v>2</v>
      </c>
      <c r="AQ316" s="49">
        <f t="shared" ref="AQ316:AR316" si="2184">SUM(AG316,AI316,AK316,AM316,AO316)</f>
        <v>7</v>
      </c>
      <c r="AR316" s="50">
        <f t="shared" si="2184"/>
        <v>14</v>
      </c>
      <c r="AS316" s="53">
        <f t="shared" si="2059"/>
        <v>0</v>
      </c>
      <c r="AT316" s="54">
        <f t="shared" si="2060"/>
        <v>0</v>
      </c>
      <c r="AU316" s="53">
        <f t="shared" si="2061"/>
        <v>1</v>
      </c>
      <c r="AV316" s="54">
        <f t="shared" si="2062"/>
        <v>1</v>
      </c>
      <c r="AW316" s="53">
        <f t="shared" si="2063"/>
        <v>2</v>
      </c>
      <c r="AX316" s="54">
        <f t="shared" si="2064"/>
        <v>4</v>
      </c>
      <c r="AY316" s="53">
        <f t="shared" si="2065"/>
        <v>1</v>
      </c>
      <c r="AZ316" s="54">
        <f t="shared" si="2066"/>
        <v>1</v>
      </c>
      <c r="BA316" s="53">
        <f t="shared" si="2067"/>
        <v>0</v>
      </c>
      <c r="BB316" s="54">
        <f t="shared" si="2068"/>
        <v>0</v>
      </c>
      <c r="BC316" s="49">
        <f t="shared" ref="BC316:BD316" si="2185">SUM(AS316,AU316,AW316,AY316,BA316)</f>
        <v>4</v>
      </c>
      <c r="BD316" s="50">
        <f t="shared" si="2185"/>
        <v>6</v>
      </c>
      <c r="BE316" s="68">
        <f t="shared" ref="BE316:BF316" si="2186">SUM(E316,G316,I316,O316,Q316,AC316,AQ316,BC316)</f>
        <v>22</v>
      </c>
      <c r="BF316" s="69">
        <f t="shared" si="2186"/>
        <v>38</v>
      </c>
      <c r="BG316" s="46" t="str">
        <f>BF316*'ОВгП_РАО'!$B$26</f>
        <v>#REF!</v>
      </c>
      <c r="BH316" s="46" t="str">
        <f>'ОВгП_РАО'!$B$26</f>
        <v>#REF!</v>
      </c>
    </row>
    <row r="317" ht="15.75" customHeight="1">
      <c r="A317" s="80">
        <f t="shared" si="2071"/>
        <v>46269</v>
      </c>
      <c r="B317" s="47" t="s">
        <v>149</v>
      </c>
      <c r="C317" s="47" t="s">
        <v>122</v>
      </c>
      <c r="D317" s="47" t="s">
        <v>150</v>
      </c>
      <c r="E317" s="73">
        <f t="shared" si="2022"/>
        <v>1</v>
      </c>
      <c r="F317" s="50">
        <f t="shared" si="2023"/>
        <v>1</v>
      </c>
      <c r="G317" s="73">
        <f t="shared" si="2024"/>
        <v>2</v>
      </c>
      <c r="H317" s="50">
        <f t="shared" si="2025"/>
        <v>4</v>
      </c>
      <c r="I317" s="73">
        <f t="shared" si="2026"/>
        <v>2</v>
      </c>
      <c r="J317" s="50">
        <f t="shared" si="2027"/>
        <v>4</v>
      </c>
      <c r="K317" s="53">
        <f t="shared" si="2028"/>
        <v>2</v>
      </c>
      <c r="L317" s="54">
        <f t="shared" si="2029"/>
        <v>4</v>
      </c>
      <c r="M317" s="53">
        <f t="shared" si="2030"/>
        <v>1</v>
      </c>
      <c r="N317" s="54">
        <f t="shared" si="2031"/>
        <v>2</v>
      </c>
      <c r="O317" s="49">
        <f t="shared" ref="O317:P317" si="2187">SUM(K317,M317)</f>
        <v>3</v>
      </c>
      <c r="P317" s="50">
        <f t="shared" si="2187"/>
        <v>6</v>
      </c>
      <c r="Q317" s="73">
        <f t="shared" si="2033"/>
        <v>0</v>
      </c>
      <c r="R317" s="50">
        <f t="shared" si="2034"/>
        <v>0</v>
      </c>
      <c r="S317" s="53">
        <f t="shared" si="2035"/>
        <v>1</v>
      </c>
      <c r="T317" s="54">
        <f t="shared" si="2036"/>
        <v>1</v>
      </c>
      <c r="U317" s="53">
        <f t="shared" si="2037"/>
        <v>2</v>
      </c>
      <c r="V317" s="54">
        <f t="shared" si="2038"/>
        <v>4</v>
      </c>
      <c r="W317" s="53">
        <f t="shared" si="2039"/>
        <v>2</v>
      </c>
      <c r="X317" s="54">
        <f t="shared" si="2040"/>
        <v>4</v>
      </c>
      <c r="Y317" s="53">
        <f t="shared" si="2041"/>
        <v>1</v>
      </c>
      <c r="Z317" s="54">
        <f t="shared" si="2042"/>
        <v>3</v>
      </c>
      <c r="AA317" s="53">
        <f t="shared" si="2043"/>
        <v>2</v>
      </c>
      <c r="AB317" s="54">
        <f t="shared" si="2044"/>
        <v>4</v>
      </c>
      <c r="AC317" s="49">
        <f t="shared" ref="AC317:AD317" si="2188">SUM(S317,U317,W317,Y317,AA317)</f>
        <v>8</v>
      </c>
      <c r="AD317" s="50">
        <f t="shared" si="2188"/>
        <v>16</v>
      </c>
      <c r="AE317" s="53">
        <f t="shared" si="2046"/>
        <v>1</v>
      </c>
      <c r="AF317" s="54">
        <f t="shared" si="2047"/>
        <v>2</v>
      </c>
      <c r="AG317" s="53">
        <f t="shared" si="2048"/>
        <v>2</v>
      </c>
      <c r="AH317" s="54">
        <f t="shared" si="2049"/>
        <v>4</v>
      </c>
      <c r="AI317" s="53">
        <f t="shared" si="2050"/>
        <v>2</v>
      </c>
      <c r="AJ317" s="54">
        <f t="shared" si="2051"/>
        <v>4</v>
      </c>
      <c r="AK317" s="53">
        <f t="shared" si="2052"/>
        <v>1</v>
      </c>
      <c r="AL317" s="54">
        <f t="shared" si="2053"/>
        <v>2</v>
      </c>
      <c r="AM317" s="53">
        <f t="shared" si="2054"/>
        <v>1</v>
      </c>
      <c r="AN317" s="54">
        <f t="shared" si="2055"/>
        <v>2</v>
      </c>
      <c r="AO317" s="53">
        <f t="shared" si="2056"/>
        <v>1</v>
      </c>
      <c r="AP317" s="54">
        <f t="shared" si="2057"/>
        <v>2</v>
      </c>
      <c r="AQ317" s="49">
        <f t="shared" ref="AQ317:AR317" si="2189">SUM(AG317,AI317,AK317,AM317,AO317)</f>
        <v>7</v>
      </c>
      <c r="AR317" s="50">
        <f t="shared" si="2189"/>
        <v>14</v>
      </c>
      <c r="AS317" s="53">
        <f t="shared" si="2059"/>
        <v>1</v>
      </c>
      <c r="AT317" s="54">
        <f t="shared" si="2060"/>
        <v>1</v>
      </c>
      <c r="AU317" s="53">
        <f t="shared" si="2061"/>
        <v>0</v>
      </c>
      <c r="AV317" s="54">
        <f t="shared" si="2062"/>
        <v>0</v>
      </c>
      <c r="AW317" s="53">
        <f t="shared" si="2063"/>
        <v>0</v>
      </c>
      <c r="AX317" s="54">
        <f t="shared" si="2064"/>
        <v>0</v>
      </c>
      <c r="AY317" s="53">
        <f t="shared" si="2065"/>
        <v>0</v>
      </c>
      <c r="AZ317" s="54">
        <f t="shared" si="2066"/>
        <v>0</v>
      </c>
      <c r="BA317" s="53">
        <f t="shared" si="2067"/>
        <v>1</v>
      </c>
      <c r="BB317" s="54">
        <f t="shared" si="2068"/>
        <v>3</v>
      </c>
      <c r="BC317" s="49">
        <f t="shared" ref="BC317:BD317" si="2190">SUM(AS317,AU317,AW317,AY317,BA317)</f>
        <v>2</v>
      </c>
      <c r="BD317" s="50">
        <f t="shared" si="2190"/>
        <v>4</v>
      </c>
      <c r="BE317" s="68">
        <f t="shared" ref="BE317:BF317" si="2191">SUM(E317,G317,I317,O317,Q317,AC317,AQ317,BC317)</f>
        <v>25</v>
      </c>
      <c r="BF317" s="69">
        <f t="shared" si="2191"/>
        <v>49</v>
      </c>
      <c r="BG317" s="46" t="str">
        <f>BF317*'ОВгП_РАО'!$B$27</f>
        <v>#REF!</v>
      </c>
      <c r="BH317" s="46" t="str">
        <f>'ОВгП_РАО'!$B$27</f>
        <v>#REF!</v>
      </c>
    </row>
    <row r="318" ht="15.75" customHeight="1">
      <c r="A318" s="80">
        <f t="shared" si="2071"/>
        <v>46269</v>
      </c>
      <c r="B318" s="47" t="s">
        <v>151</v>
      </c>
      <c r="C318" s="47" t="s">
        <v>122</v>
      </c>
      <c r="D318" s="47" t="s">
        <v>152</v>
      </c>
      <c r="E318" s="73">
        <f t="shared" si="2022"/>
        <v>22</v>
      </c>
      <c r="F318" s="50">
        <f t="shared" ref="F318:F326" si="2197">RANDBETWEEN(0,100)</f>
        <v>65</v>
      </c>
      <c r="G318" s="73">
        <f t="shared" si="2024"/>
        <v>28</v>
      </c>
      <c r="H318" s="50">
        <f t="shared" ref="H318:H326" si="2198">RANDBETWEEN(0,100)</f>
        <v>82</v>
      </c>
      <c r="I318" s="73">
        <f t="shared" si="2026"/>
        <v>8</v>
      </c>
      <c r="J318" s="50">
        <f t="shared" ref="J318:J326" si="2199">RANDBETWEEN(0,100)</f>
        <v>24</v>
      </c>
      <c r="K318" s="53">
        <f t="shared" si="2028"/>
        <v>11</v>
      </c>
      <c r="L318" s="54">
        <f t="shared" ref="L318:L326" si="2200">RANDBETWEEN(0,100)</f>
        <v>31</v>
      </c>
      <c r="M318" s="53">
        <f t="shared" si="2030"/>
        <v>16</v>
      </c>
      <c r="N318" s="54">
        <f t="shared" ref="N318:N326" si="2201">RANDBETWEEN(0,100)</f>
        <v>48</v>
      </c>
      <c r="O318" s="49">
        <f t="shared" ref="O318:P318" si="2192">SUM(K318,M318)</f>
        <v>27</v>
      </c>
      <c r="P318" s="50">
        <f t="shared" si="2192"/>
        <v>79</v>
      </c>
      <c r="Q318" s="73">
        <f t="shared" si="2033"/>
        <v>0</v>
      </c>
      <c r="R318" s="50">
        <f t="shared" ref="R318:R326" si="2203">RANDBETWEEN(0,100)</f>
        <v>0</v>
      </c>
      <c r="S318" s="53">
        <f t="shared" si="2035"/>
        <v>9</v>
      </c>
      <c r="T318" s="54">
        <f t="shared" ref="T318:T326" si="2204">RANDBETWEEN(0,300)</f>
        <v>27</v>
      </c>
      <c r="U318" s="53">
        <f t="shared" si="2037"/>
        <v>35</v>
      </c>
      <c r="V318" s="54">
        <f t="shared" ref="V318:V326" si="2205">RANDBETWEEN(0,300)</f>
        <v>104</v>
      </c>
      <c r="W318" s="53">
        <f t="shared" si="2039"/>
        <v>40</v>
      </c>
      <c r="X318" s="54">
        <f t="shared" ref="X318:X326" si="2206">RANDBETWEEN(0,300)</f>
        <v>119</v>
      </c>
      <c r="Y318" s="53">
        <f t="shared" si="2041"/>
        <v>26</v>
      </c>
      <c r="Z318" s="54">
        <f t="shared" ref="Z318:Z326" si="2207">RANDBETWEEN(0,300)</f>
        <v>76</v>
      </c>
      <c r="AA318" s="53">
        <f t="shared" si="2043"/>
        <v>38</v>
      </c>
      <c r="AB318" s="54">
        <f t="shared" ref="AB318:AB326" si="2208">RANDBETWEEN(0,300)</f>
        <v>113</v>
      </c>
      <c r="AC318" s="49">
        <f t="shared" ref="AC318:AD318" si="2193">SUM(S318,U318,W318,Y318,AA318)</f>
        <v>148</v>
      </c>
      <c r="AD318" s="50">
        <f t="shared" si="2193"/>
        <v>439</v>
      </c>
      <c r="AE318" s="53">
        <f t="shared" si="2046"/>
        <v>149</v>
      </c>
      <c r="AF318" s="54">
        <f>RANDBETWEEN(100,500)</f>
        <v>447</v>
      </c>
      <c r="AG318" s="53">
        <f t="shared" si="2048"/>
        <v>135</v>
      </c>
      <c r="AH318" s="54">
        <f>RANDBETWEEN(100,500)</f>
        <v>404</v>
      </c>
      <c r="AI318" s="53">
        <f t="shared" si="2050"/>
        <v>155</v>
      </c>
      <c r="AJ318" s="54">
        <f>RANDBETWEEN(100,500)</f>
        <v>464</v>
      </c>
      <c r="AK318" s="53">
        <f t="shared" si="2052"/>
        <v>87</v>
      </c>
      <c r="AL318" s="54">
        <f>RANDBETWEEN(100,500)</f>
        <v>261</v>
      </c>
      <c r="AM318" s="53">
        <f t="shared" si="2054"/>
        <v>129</v>
      </c>
      <c r="AN318" s="54">
        <f>RANDBETWEEN(100,500)</f>
        <v>385</v>
      </c>
      <c r="AO318" s="53">
        <f t="shared" si="2056"/>
        <v>132</v>
      </c>
      <c r="AP318" s="54">
        <f>RANDBETWEEN(100,500)</f>
        <v>394</v>
      </c>
      <c r="AQ318" s="49">
        <f t="shared" ref="AQ318:AR318" si="2194">SUM(AG318,AI318,AK318,AM318,AO318)</f>
        <v>638</v>
      </c>
      <c r="AR318" s="50">
        <f t="shared" si="2194"/>
        <v>1908</v>
      </c>
      <c r="AS318" s="53">
        <f t="shared" si="2059"/>
        <v>69</v>
      </c>
      <c r="AT318" s="54">
        <f>RANDBETWEEN(100,500)</f>
        <v>206</v>
      </c>
      <c r="AU318" s="53">
        <f t="shared" si="2061"/>
        <v>134</v>
      </c>
      <c r="AV318" s="54">
        <f>RANDBETWEEN(100,500)</f>
        <v>401</v>
      </c>
      <c r="AW318" s="53">
        <f t="shared" si="2063"/>
        <v>108</v>
      </c>
      <c r="AX318" s="54">
        <f>RANDBETWEEN(100,500)</f>
        <v>324</v>
      </c>
      <c r="AY318" s="53">
        <f t="shared" si="2065"/>
        <v>51</v>
      </c>
      <c r="AZ318" s="54">
        <f>RANDBETWEEN(100,500)</f>
        <v>151</v>
      </c>
      <c r="BA318" s="53">
        <f t="shared" si="2067"/>
        <v>49</v>
      </c>
      <c r="BB318" s="54">
        <f>RANDBETWEEN(100,500)</f>
        <v>146</v>
      </c>
      <c r="BC318" s="49">
        <f t="shared" ref="BC318:BD318" si="2195">SUM(AS318,AU318,AW318,AY318,BA318)</f>
        <v>411</v>
      </c>
      <c r="BD318" s="50">
        <f t="shared" si="2195"/>
        <v>1228</v>
      </c>
      <c r="BE318" s="68">
        <f t="shared" ref="BE318:BF318" si="2196">SUM(E318,G318,I318,O318,Q318,AC318,AQ318,BC318)</f>
        <v>1282</v>
      </c>
      <c r="BF318" s="69">
        <f t="shared" si="2196"/>
        <v>3825</v>
      </c>
      <c r="BG318" s="46" t="str">
        <f>BF318*'ОВгП_РАО'!$B$28</f>
        <v>#REF!</v>
      </c>
      <c r="BH318" s="46" t="str">
        <f>'ОВгП_РАО'!$B$28</f>
        <v>#REF!</v>
      </c>
    </row>
    <row r="319" ht="15.75" customHeight="1">
      <c r="A319" s="80">
        <f t="shared" si="2071"/>
        <v>46269</v>
      </c>
      <c r="B319" s="47" t="s">
        <v>153</v>
      </c>
      <c r="C319" s="47" t="s">
        <v>122</v>
      </c>
      <c r="D319" s="47" t="s">
        <v>152</v>
      </c>
      <c r="E319" s="73">
        <f t="shared" si="2022"/>
        <v>28</v>
      </c>
      <c r="F319" s="50">
        <f t="shared" si="2197"/>
        <v>83</v>
      </c>
      <c r="G319" s="73">
        <f t="shared" si="2024"/>
        <v>30</v>
      </c>
      <c r="H319" s="50">
        <f t="shared" si="2198"/>
        <v>89</v>
      </c>
      <c r="I319" s="73">
        <f t="shared" si="2026"/>
        <v>25</v>
      </c>
      <c r="J319" s="50">
        <f t="shared" si="2199"/>
        <v>73</v>
      </c>
      <c r="K319" s="53">
        <f t="shared" si="2028"/>
        <v>19</v>
      </c>
      <c r="L319" s="54">
        <f t="shared" si="2200"/>
        <v>56</v>
      </c>
      <c r="M319" s="53">
        <f t="shared" si="2030"/>
        <v>7</v>
      </c>
      <c r="N319" s="54">
        <f t="shared" si="2201"/>
        <v>20</v>
      </c>
      <c r="O319" s="49">
        <f t="shared" ref="O319:P319" si="2202">SUM(K319,M319)</f>
        <v>26</v>
      </c>
      <c r="P319" s="50">
        <f t="shared" si="2202"/>
        <v>76</v>
      </c>
      <c r="Q319" s="73">
        <f t="shared" si="2033"/>
        <v>25</v>
      </c>
      <c r="R319" s="50">
        <f t="shared" si="2203"/>
        <v>75</v>
      </c>
      <c r="S319" s="53">
        <f t="shared" si="2035"/>
        <v>10</v>
      </c>
      <c r="T319" s="54">
        <f t="shared" si="2204"/>
        <v>30</v>
      </c>
      <c r="U319" s="53">
        <f t="shared" si="2037"/>
        <v>27</v>
      </c>
      <c r="V319" s="54">
        <f t="shared" si="2205"/>
        <v>79</v>
      </c>
      <c r="W319" s="53">
        <f t="shared" si="2039"/>
        <v>87</v>
      </c>
      <c r="X319" s="54">
        <f t="shared" si="2206"/>
        <v>261</v>
      </c>
      <c r="Y319" s="53">
        <f t="shared" si="2041"/>
        <v>91</v>
      </c>
      <c r="Z319" s="54">
        <f t="shared" si="2207"/>
        <v>273</v>
      </c>
      <c r="AA319" s="53">
        <f t="shared" si="2043"/>
        <v>74</v>
      </c>
      <c r="AB319" s="54">
        <f t="shared" si="2208"/>
        <v>221</v>
      </c>
      <c r="AC319" s="49">
        <f t="shared" ref="AC319:AD319" si="2209">SUM(S319,U319,W319,Y319,AA319)</f>
        <v>289</v>
      </c>
      <c r="AD319" s="50">
        <f t="shared" si="2209"/>
        <v>864</v>
      </c>
      <c r="AE319" s="53">
        <f t="shared" si="2046"/>
        <v>76</v>
      </c>
      <c r="AF319" s="54">
        <f t="shared" ref="AF319:AF326" si="2215">RANDBETWEEN(0,300)</f>
        <v>228</v>
      </c>
      <c r="AG319" s="53">
        <f t="shared" si="2048"/>
        <v>76</v>
      </c>
      <c r="AH319" s="54">
        <f t="shared" ref="AH319:AH326" si="2216">RANDBETWEEN(0,300)</f>
        <v>227</v>
      </c>
      <c r="AI319" s="53">
        <f t="shared" si="2050"/>
        <v>36</v>
      </c>
      <c r="AJ319" s="54">
        <f t="shared" ref="AJ319:AJ326" si="2217">RANDBETWEEN(0,300)</f>
        <v>106</v>
      </c>
      <c r="AK319" s="53">
        <f t="shared" si="2052"/>
        <v>15</v>
      </c>
      <c r="AL319" s="54">
        <f t="shared" ref="AL319:AL326" si="2218">RANDBETWEEN(0,300)</f>
        <v>44</v>
      </c>
      <c r="AM319" s="53">
        <f t="shared" si="2054"/>
        <v>55</v>
      </c>
      <c r="AN319" s="54">
        <f t="shared" ref="AN319:AN326" si="2219">RANDBETWEEN(0,300)</f>
        <v>164</v>
      </c>
      <c r="AO319" s="53">
        <f t="shared" si="2056"/>
        <v>23</v>
      </c>
      <c r="AP319" s="54">
        <f t="shared" ref="AP319:AP326" si="2220">RANDBETWEEN(0,300)</f>
        <v>69</v>
      </c>
      <c r="AQ319" s="49">
        <f t="shared" ref="AQ319:AR319" si="2210">SUM(AG319,AI319,AK319,AM319,AO319)</f>
        <v>205</v>
      </c>
      <c r="AR319" s="50">
        <f t="shared" si="2210"/>
        <v>610</v>
      </c>
      <c r="AS319" s="53">
        <f t="shared" si="2059"/>
        <v>20</v>
      </c>
      <c r="AT319" s="54">
        <f t="shared" ref="AT319:AT320" si="2222">RANDBETWEEN(0,300)</f>
        <v>60</v>
      </c>
      <c r="AU319" s="53">
        <f t="shared" si="2061"/>
        <v>63</v>
      </c>
      <c r="AV319" s="54">
        <f t="shared" ref="AV319:AV320" si="2223">RANDBETWEEN(0,300)</f>
        <v>188</v>
      </c>
      <c r="AW319" s="53">
        <f t="shared" si="2063"/>
        <v>34</v>
      </c>
      <c r="AX319" s="54">
        <f t="shared" ref="AX319:AX320" si="2224">RANDBETWEEN(0,300)</f>
        <v>102</v>
      </c>
      <c r="AY319" s="53">
        <f t="shared" si="2065"/>
        <v>86</v>
      </c>
      <c r="AZ319" s="54">
        <f t="shared" ref="AZ319:AZ320" si="2225">RANDBETWEEN(0,300)</f>
        <v>258</v>
      </c>
      <c r="BA319" s="53">
        <f t="shared" si="2067"/>
        <v>61</v>
      </c>
      <c r="BB319" s="54">
        <f t="shared" ref="BB319:BB320" si="2226">RANDBETWEEN(0,300)</f>
        <v>183</v>
      </c>
      <c r="BC319" s="49">
        <f t="shared" ref="BC319:BD319" si="2211">SUM(AS319,AU319,AW319,AY319,BA319)</f>
        <v>264</v>
      </c>
      <c r="BD319" s="50">
        <f t="shared" si="2211"/>
        <v>791</v>
      </c>
      <c r="BE319" s="68">
        <f t="shared" ref="BE319:BF319" si="2212">SUM(E319,G319,I319,O319,Q319,AC319,AQ319,BC319)</f>
        <v>892</v>
      </c>
      <c r="BF319" s="69">
        <f t="shared" si="2212"/>
        <v>2661</v>
      </c>
      <c r="BG319" s="46" t="str">
        <f>BF319*'ОВгП_РАО'!$B$29</f>
        <v>#REF!</v>
      </c>
      <c r="BH319" s="46" t="str">
        <f>'ОВгП_РАО'!$B$29</f>
        <v>#REF!</v>
      </c>
    </row>
    <row r="320" ht="15.75" customHeight="1">
      <c r="A320" s="80">
        <f t="shared" si="2071"/>
        <v>46269</v>
      </c>
      <c r="B320" s="47" t="s">
        <v>154</v>
      </c>
      <c r="C320" s="47" t="s">
        <v>122</v>
      </c>
      <c r="D320" s="47" t="s">
        <v>152</v>
      </c>
      <c r="E320" s="73">
        <f t="shared" si="2022"/>
        <v>19</v>
      </c>
      <c r="F320" s="50">
        <f t="shared" si="2197"/>
        <v>56</v>
      </c>
      <c r="G320" s="73">
        <f t="shared" si="2024"/>
        <v>14</v>
      </c>
      <c r="H320" s="50">
        <f t="shared" si="2198"/>
        <v>42</v>
      </c>
      <c r="I320" s="73">
        <f t="shared" si="2026"/>
        <v>14</v>
      </c>
      <c r="J320" s="50">
        <f t="shared" si="2199"/>
        <v>41</v>
      </c>
      <c r="K320" s="53">
        <f t="shared" si="2028"/>
        <v>8</v>
      </c>
      <c r="L320" s="54">
        <f t="shared" si="2200"/>
        <v>22</v>
      </c>
      <c r="M320" s="53">
        <f t="shared" si="2030"/>
        <v>6</v>
      </c>
      <c r="N320" s="54">
        <f t="shared" si="2201"/>
        <v>17</v>
      </c>
      <c r="O320" s="49">
        <f t="shared" ref="O320:P320" si="2213">SUM(K320,M320)</f>
        <v>14</v>
      </c>
      <c r="P320" s="50">
        <f t="shared" si="2213"/>
        <v>39</v>
      </c>
      <c r="Q320" s="73">
        <f t="shared" si="2033"/>
        <v>27</v>
      </c>
      <c r="R320" s="50">
        <f t="shared" si="2203"/>
        <v>80</v>
      </c>
      <c r="S320" s="53">
        <f t="shared" si="2035"/>
        <v>1</v>
      </c>
      <c r="T320" s="54">
        <f t="shared" si="2204"/>
        <v>1</v>
      </c>
      <c r="U320" s="53">
        <f t="shared" si="2037"/>
        <v>45</v>
      </c>
      <c r="V320" s="54">
        <f t="shared" si="2205"/>
        <v>135</v>
      </c>
      <c r="W320" s="53">
        <f t="shared" si="2039"/>
        <v>42</v>
      </c>
      <c r="X320" s="54">
        <f t="shared" si="2206"/>
        <v>125</v>
      </c>
      <c r="Y320" s="53">
        <f t="shared" si="2041"/>
        <v>65</v>
      </c>
      <c r="Z320" s="54">
        <f t="shared" si="2207"/>
        <v>194</v>
      </c>
      <c r="AA320" s="53">
        <f t="shared" si="2043"/>
        <v>25</v>
      </c>
      <c r="AB320" s="54">
        <f t="shared" si="2208"/>
        <v>74</v>
      </c>
      <c r="AC320" s="49">
        <f t="shared" ref="AC320:AD320" si="2214">SUM(S320,U320,W320,Y320,AA320)</f>
        <v>178</v>
      </c>
      <c r="AD320" s="50">
        <f t="shared" si="2214"/>
        <v>529</v>
      </c>
      <c r="AE320" s="53">
        <f t="shared" si="2046"/>
        <v>2</v>
      </c>
      <c r="AF320" s="54">
        <f t="shared" si="2215"/>
        <v>4</v>
      </c>
      <c r="AG320" s="53">
        <f t="shared" si="2048"/>
        <v>39</v>
      </c>
      <c r="AH320" s="54">
        <f t="shared" si="2216"/>
        <v>115</v>
      </c>
      <c r="AI320" s="53">
        <f t="shared" si="2050"/>
        <v>87</v>
      </c>
      <c r="AJ320" s="54">
        <f t="shared" si="2217"/>
        <v>261</v>
      </c>
      <c r="AK320" s="53">
        <f t="shared" si="2052"/>
        <v>2</v>
      </c>
      <c r="AL320" s="54">
        <f t="shared" si="2218"/>
        <v>6</v>
      </c>
      <c r="AM320" s="53">
        <f t="shared" si="2054"/>
        <v>13</v>
      </c>
      <c r="AN320" s="54">
        <f t="shared" si="2219"/>
        <v>38</v>
      </c>
      <c r="AO320" s="53">
        <f t="shared" si="2056"/>
        <v>33</v>
      </c>
      <c r="AP320" s="54">
        <f t="shared" si="2220"/>
        <v>98</v>
      </c>
      <c r="AQ320" s="49">
        <f t="shared" ref="AQ320:AR320" si="2221">SUM(AG320,AI320,AK320,AM320,AO320)</f>
        <v>174</v>
      </c>
      <c r="AR320" s="50">
        <f t="shared" si="2221"/>
        <v>518</v>
      </c>
      <c r="AS320" s="53">
        <f t="shared" si="2059"/>
        <v>81</v>
      </c>
      <c r="AT320" s="54">
        <f t="shared" si="2222"/>
        <v>243</v>
      </c>
      <c r="AU320" s="53">
        <f t="shared" si="2061"/>
        <v>18</v>
      </c>
      <c r="AV320" s="54">
        <f t="shared" si="2223"/>
        <v>52</v>
      </c>
      <c r="AW320" s="53">
        <f t="shared" si="2063"/>
        <v>6</v>
      </c>
      <c r="AX320" s="54">
        <f t="shared" si="2224"/>
        <v>16</v>
      </c>
      <c r="AY320" s="53">
        <f t="shared" si="2065"/>
        <v>26</v>
      </c>
      <c r="AZ320" s="54">
        <f t="shared" si="2225"/>
        <v>78</v>
      </c>
      <c r="BA320" s="53">
        <f t="shared" si="2067"/>
        <v>16</v>
      </c>
      <c r="BB320" s="54">
        <f t="shared" si="2226"/>
        <v>46</v>
      </c>
      <c r="BC320" s="49">
        <f t="shared" ref="BC320:BD320" si="2227">SUM(AS320,AU320,AW320,AY320,BA320)</f>
        <v>147</v>
      </c>
      <c r="BD320" s="50">
        <f t="shared" si="2227"/>
        <v>435</v>
      </c>
      <c r="BE320" s="68">
        <f t="shared" ref="BE320:BF320" si="2228">SUM(E320,G320,I320,O320,Q320,AC320,AQ320,BC320)</f>
        <v>587</v>
      </c>
      <c r="BF320" s="69">
        <f t="shared" si="2228"/>
        <v>1740</v>
      </c>
      <c r="BG320" s="46" t="str">
        <f>BF320*'ОВгП_РАО'!$B$30</f>
        <v>#REF!</v>
      </c>
      <c r="BH320" s="46" t="str">
        <f>'ОВгП_РАО'!$B$30</f>
        <v>#REF!</v>
      </c>
    </row>
    <row r="321" ht="15.75" customHeight="1">
      <c r="A321" s="80">
        <f t="shared" si="2071"/>
        <v>46269</v>
      </c>
      <c r="B321" s="47" t="s">
        <v>155</v>
      </c>
      <c r="C321" s="47" t="s">
        <v>122</v>
      </c>
      <c r="D321" s="47" t="s">
        <v>156</v>
      </c>
      <c r="E321" s="73">
        <f t="shared" si="2022"/>
        <v>9</v>
      </c>
      <c r="F321" s="50">
        <f t="shared" si="2197"/>
        <v>25</v>
      </c>
      <c r="G321" s="73">
        <f t="shared" si="2024"/>
        <v>17</v>
      </c>
      <c r="H321" s="50">
        <f t="shared" si="2198"/>
        <v>49</v>
      </c>
      <c r="I321" s="73">
        <f t="shared" si="2026"/>
        <v>26</v>
      </c>
      <c r="J321" s="50">
        <f t="shared" si="2199"/>
        <v>77</v>
      </c>
      <c r="K321" s="53">
        <f t="shared" si="2028"/>
        <v>8</v>
      </c>
      <c r="L321" s="54">
        <f t="shared" si="2200"/>
        <v>22</v>
      </c>
      <c r="M321" s="53">
        <f t="shared" si="2030"/>
        <v>23</v>
      </c>
      <c r="N321" s="54">
        <f t="shared" si="2201"/>
        <v>68</v>
      </c>
      <c r="O321" s="49">
        <f t="shared" ref="O321:P321" si="2229">SUM(K321,M321)</f>
        <v>31</v>
      </c>
      <c r="P321" s="50">
        <f t="shared" si="2229"/>
        <v>90</v>
      </c>
      <c r="Q321" s="73">
        <f t="shared" si="2033"/>
        <v>17</v>
      </c>
      <c r="R321" s="50">
        <f t="shared" si="2203"/>
        <v>49</v>
      </c>
      <c r="S321" s="53">
        <f t="shared" si="2035"/>
        <v>41</v>
      </c>
      <c r="T321" s="54">
        <f t="shared" si="2204"/>
        <v>121</v>
      </c>
      <c r="U321" s="53">
        <f t="shared" si="2037"/>
        <v>5</v>
      </c>
      <c r="V321" s="54">
        <f t="shared" si="2205"/>
        <v>13</v>
      </c>
      <c r="W321" s="53">
        <f t="shared" si="2039"/>
        <v>46</v>
      </c>
      <c r="X321" s="54">
        <f t="shared" si="2206"/>
        <v>137</v>
      </c>
      <c r="Y321" s="53">
        <f t="shared" si="2041"/>
        <v>59</v>
      </c>
      <c r="Z321" s="54">
        <f t="shared" si="2207"/>
        <v>177</v>
      </c>
      <c r="AA321" s="53">
        <f t="shared" si="2043"/>
        <v>25</v>
      </c>
      <c r="AB321" s="54">
        <f t="shared" si="2208"/>
        <v>73</v>
      </c>
      <c r="AC321" s="49">
        <f t="shared" ref="AC321:AD321" si="2230">SUM(S321,U321,W321,Y321,AA321)</f>
        <v>176</v>
      </c>
      <c r="AD321" s="50">
        <f t="shared" si="2230"/>
        <v>521</v>
      </c>
      <c r="AE321" s="53">
        <f t="shared" si="2046"/>
        <v>29</v>
      </c>
      <c r="AF321" s="54">
        <f t="shared" si="2215"/>
        <v>87</v>
      </c>
      <c r="AG321" s="53">
        <f t="shared" si="2048"/>
        <v>96</v>
      </c>
      <c r="AH321" s="54">
        <f t="shared" si="2216"/>
        <v>286</v>
      </c>
      <c r="AI321" s="53">
        <f t="shared" si="2050"/>
        <v>20</v>
      </c>
      <c r="AJ321" s="54">
        <f t="shared" si="2217"/>
        <v>60</v>
      </c>
      <c r="AK321" s="53">
        <f t="shared" si="2052"/>
        <v>98</v>
      </c>
      <c r="AL321" s="54">
        <f t="shared" si="2218"/>
        <v>293</v>
      </c>
      <c r="AM321" s="53">
        <f t="shared" si="2054"/>
        <v>92</v>
      </c>
      <c r="AN321" s="54">
        <f t="shared" si="2219"/>
        <v>276</v>
      </c>
      <c r="AO321" s="53">
        <f t="shared" si="2056"/>
        <v>47</v>
      </c>
      <c r="AP321" s="54">
        <f t="shared" si="2220"/>
        <v>139</v>
      </c>
      <c r="AQ321" s="49">
        <f t="shared" ref="AQ321:AR321" si="2231">SUM(AG321,AI321,AK321,AM321,AO321)</f>
        <v>353</v>
      </c>
      <c r="AR321" s="50">
        <f t="shared" si="2231"/>
        <v>1054</v>
      </c>
      <c r="AS321" s="53">
        <f t="shared" si="2059"/>
        <v>31</v>
      </c>
      <c r="AT321" s="54">
        <f t="shared" ref="AT321:AT323" si="2237">RANDBETWEEN(0,100)</f>
        <v>91</v>
      </c>
      <c r="AU321" s="53">
        <f t="shared" si="2061"/>
        <v>10</v>
      </c>
      <c r="AV321" s="54">
        <f t="shared" ref="AV321:AV323" si="2238">RANDBETWEEN(0,100)</f>
        <v>29</v>
      </c>
      <c r="AW321" s="53">
        <f t="shared" si="2063"/>
        <v>3</v>
      </c>
      <c r="AX321" s="54">
        <f t="shared" ref="AX321:AX323" si="2239">RANDBETWEEN(0,100)</f>
        <v>7</v>
      </c>
      <c r="AY321" s="53">
        <f t="shared" si="2065"/>
        <v>9</v>
      </c>
      <c r="AZ321" s="54">
        <f t="shared" ref="AZ321:AZ323" si="2240">RANDBETWEEN(0,100)</f>
        <v>25</v>
      </c>
      <c r="BA321" s="53">
        <f t="shared" si="2067"/>
        <v>6</v>
      </c>
      <c r="BB321" s="54">
        <f t="shared" ref="BB321:BB323" si="2241">RANDBETWEEN(0,100)</f>
        <v>16</v>
      </c>
      <c r="BC321" s="49">
        <f t="shared" ref="BC321:BD321" si="2232">SUM(AS321,AU321,AW321,AY321,BA321)</f>
        <v>59</v>
      </c>
      <c r="BD321" s="50">
        <f t="shared" si="2232"/>
        <v>168</v>
      </c>
      <c r="BE321" s="68">
        <f t="shared" ref="BE321:BF321" si="2233">SUM(E321,G321,I321,O321,Q321,AC321,AQ321,BC321)</f>
        <v>688</v>
      </c>
      <c r="BF321" s="69">
        <f t="shared" si="2233"/>
        <v>2033</v>
      </c>
      <c r="BG321" s="46" t="str">
        <f>BF321*'ОВгП_РАО'!$B$31</f>
        <v>#REF!</v>
      </c>
      <c r="BH321" s="46" t="str">
        <f>'ОВгП_РАО'!$B$31</f>
        <v>#REF!</v>
      </c>
    </row>
    <row r="322" ht="15.75" customHeight="1">
      <c r="A322" s="80">
        <f t="shared" si="2071"/>
        <v>46269</v>
      </c>
      <c r="B322" s="47" t="s">
        <v>158</v>
      </c>
      <c r="C322" s="47" t="s">
        <v>122</v>
      </c>
      <c r="D322" s="47" t="s">
        <v>156</v>
      </c>
      <c r="E322" s="73">
        <f t="shared" si="2022"/>
        <v>2</v>
      </c>
      <c r="F322" s="50">
        <f t="shared" si="2197"/>
        <v>4</v>
      </c>
      <c r="G322" s="73">
        <f t="shared" si="2024"/>
        <v>26</v>
      </c>
      <c r="H322" s="50">
        <f t="shared" si="2198"/>
        <v>78</v>
      </c>
      <c r="I322" s="73">
        <f t="shared" si="2026"/>
        <v>22</v>
      </c>
      <c r="J322" s="50">
        <f t="shared" si="2199"/>
        <v>65</v>
      </c>
      <c r="K322" s="53">
        <f t="shared" si="2028"/>
        <v>8</v>
      </c>
      <c r="L322" s="54">
        <f t="shared" si="2200"/>
        <v>23</v>
      </c>
      <c r="M322" s="53">
        <f t="shared" si="2030"/>
        <v>8</v>
      </c>
      <c r="N322" s="54">
        <f t="shared" si="2201"/>
        <v>24</v>
      </c>
      <c r="O322" s="49">
        <f t="shared" ref="O322:P322" si="2234">SUM(K322,M322)</f>
        <v>16</v>
      </c>
      <c r="P322" s="50">
        <f t="shared" si="2234"/>
        <v>47</v>
      </c>
      <c r="Q322" s="73">
        <f t="shared" si="2033"/>
        <v>4</v>
      </c>
      <c r="R322" s="50">
        <f t="shared" si="2203"/>
        <v>10</v>
      </c>
      <c r="S322" s="53">
        <f t="shared" si="2035"/>
        <v>71</v>
      </c>
      <c r="T322" s="54">
        <f t="shared" si="2204"/>
        <v>211</v>
      </c>
      <c r="U322" s="53">
        <f t="shared" si="2037"/>
        <v>91</v>
      </c>
      <c r="V322" s="54">
        <f t="shared" si="2205"/>
        <v>273</v>
      </c>
      <c r="W322" s="53">
        <f t="shared" si="2039"/>
        <v>29</v>
      </c>
      <c r="X322" s="54">
        <f t="shared" si="2206"/>
        <v>86</v>
      </c>
      <c r="Y322" s="53">
        <f t="shared" si="2041"/>
        <v>12</v>
      </c>
      <c r="Z322" s="54">
        <f t="shared" si="2207"/>
        <v>36</v>
      </c>
      <c r="AA322" s="53">
        <f t="shared" si="2043"/>
        <v>29</v>
      </c>
      <c r="AB322" s="54">
        <f t="shared" si="2208"/>
        <v>86</v>
      </c>
      <c r="AC322" s="49">
        <f t="shared" ref="AC322:AD322" si="2235">SUM(S322,U322,W322,Y322,AA322)</f>
        <v>232</v>
      </c>
      <c r="AD322" s="50">
        <f t="shared" si="2235"/>
        <v>692</v>
      </c>
      <c r="AE322" s="53">
        <f t="shared" si="2046"/>
        <v>4</v>
      </c>
      <c r="AF322" s="54">
        <f t="shared" si="2215"/>
        <v>10</v>
      </c>
      <c r="AG322" s="53">
        <f t="shared" si="2048"/>
        <v>34</v>
      </c>
      <c r="AH322" s="54">
        <f t="shared" si="2216"/>
        <v>102</v>
      </c>
      <c r="AI322" s="53">
        <f t="shared" si="2050"/>
        <v>20</v>
      </c>
      <c r="AJ322" s="54">
        <f t="shared" si="2217"/>
        <v>59</v>
      </c>
      <c r="AK322" s="53">
        <f t="shared" si="2052"/>
        <v>24</v>
      </c>
      <c r="AL322" s="54">
        <f t="shared" si="2218"/>
        <v>70</v>
      </c>
      <c r="AM322" s="53">
        <f t="shared" si="2054"/>
        <v>65</v>
      </c>
      <c r="AN322" s="54">
        <f t="shared" si="2219"/>
        <v>194</v>
      </c>
      <c r="AO322" s="53">
        <f t="shared" si="2056"/>
        <v>60</v>
      </c>
      <c r="AP322" s="54">
        <f t="shared" si="2220"/>
        <v>178</v>
      </c>
      <c r="AQ322" s="49">
        <f t="shared" ref="AQ322:AR322" si="2236">SUM(AG322,AI322,AK322,AM322,AO322)</f>
        <v>203</v>
      </c>
      <c r="AR322" s="50">
        <f t="shared" si="2236"/>
        <v>603</v>
      </c>
      <c r="AS322" s="53">
        <f t="shared" si="2059"/>
        <v>20</v>
      </c>
      <c r="AT322" s="54">
        <f t="shared" si="2237"/>
        <v>59</v>
      </c>
      <c r="AU322" s="53">
        <f t="shared" si="2061"/>
        <v>6</v>
      </c>
      <c r="AV322" s="54">
        <f t="shared" si="2238"/>
        <v>18</v>
      </c>
      <c r="AW322" s="53">
        <f t="shared" si="2063"/>
        <v>20</v>
      </c>
      <c r="AX322" s="54">
        <f t="shared" si="2239"/>
        <v>59</v>
      </c>
      <c r="AY322" s="53">
        <f t="shared" si="2065"/>
        <v>7</v>
      </c>
      <c r="AZ322" s="54">
        <f t="shared" si="2240"/>
        <v>19</v>
      </c>
      <c r="BA322" s="53">
        <f t="shared" si="2067"/>
        <v>17</v>
      </c>
      <c r="BB322" s="54">
        <f t="shared" si="2241"/>
        <v>49</v>
      </c>
      <c r="BC322" s="49">
        <f t="shared" ref="BC322:BD322" si="2242">SUM(AS322,AU322,AW322,AY322,BA322)</f>
        <v>70</v>
      </c>
      <c r="BD322" s="50">
        <f t="shared" si="2242"/>
        <v>204</v>
      </c>
      <c r="BE322" s="68">
        <f t="shared" ref="BE322:BF322" si="2243">SUM(E322,G322,I322,O322,Q322,AC322,AQ322,BC322)</f>
        <v>575</v>
      </c>
      <c r="BF322" s="69">
        <f t="shared" si="2243"/>
        <v>1703</v>
      </c>
      <c r="BG322" s="46" t="str">
        <f>BF322*'ОВгП_РАО'!$B$32</f>
        <v>#REF!</v>
      </c>
      <c r="BH322" s="46" t="str">
        <f>'ОВгП_РАО'!$B$32</f>
        <v>#REF!</v>
      </c>
    </row>
    <row r="323" ht="15.75" customHeight="1">
      <c r="A323" s="80">
        <f t="shared" si="2071"/>
        <v>46269</v>
      </c>
      <c r="B323" s="47" t="s">
        <v>159</v>
      </c>
      <c r="C323" s="47" t="s">
        <v>122</v>
      </c>
      <c r="D323" s="47" t="s">
        <v>156</v>
      </c>
      <c r="E323" s="73">
        <f t="shared" si="2022"/>
        <v>26</v>
      </c>
      <c r="F323" s="50">
        <f t="shared" si="2197"/>
        <v>78</v>
      </c>
      <c r="G323" s="73">
        <f t="shared" si="2024"/>
        <v>27</v>
      </c>
      <c r="H323" s="50">
        <f t="shared" si="2198"/>
        <v>79</v>
      </c>
      <c r="I323" s="73">
        <f t="shared" si="2026"/>
        <v>20</v>
      </c>
      <c r="J323" s="50">
        <f t="shared" si="2199"/>
        <v>60</v>
      </c>
      <c r="K323" s="53">
        <f t="shared" si="2028"/>
        <v>4</v>
      </c>
      <c r="L323" s="54">
        <f t="shared" si="2200"/>
        <v>12</v>
      </c>
      <c r="M323" s="53">
        <f t="shared" si="2030"/>
        <v>25</v>
      </c>
      <c r="N323" s="54">
        <f t="shared" si="2201"/>
        <v>73</v>
      </c>
      <c r="O323" s="49">
        <f t="shared" ref="O323:P323" si="2244">SUM(K323,M323)</f>
        <v>29</v>
      </c>
      <c r="P323" s="50">
        <f t="shared" si="2244"/>
        <v>85</v>
      </c>
      <c r="Q323" s="73">
        <f t="shared" si="2033"/>
        <v>4</v>
      </c>
      <c r="R323" s="50">
        <f t="shared" si="2203"/>
        <v>12</v>
      </c>
      <c r="S323" s="53">
        <f t="shared" si="2035"/>
        <v>24</v>
      </c>
      <c r="T323" s="54">
        <f t="shared" si="2204"/>
        <v>72</v>
      </c>
      <c r="U323" s="53">
        <f t="shared" si="2037"/>
        <v>46</v>
      </c>
      <c r="V323" s="54">
        <f t="shared" si="2205"/>
        <v>136</v>
      </c>
      <c r="W323" s="53">
        <f t="shared" si="2039"/>
        <v>55</v>
      </c>
      <c r="X323" s="54">
        <f t="shared" si="2206"/>
        <v>165</v>
      </c>
      <c r="Y323" s="53">
        <f t="shared" si="2041"/>
        <v>83</v>
      </c>
      <c r="Z323" s="54">
        <f t="shared" si="2207"/>
        <v>247</v>
      </c>
      <c r="AA323" s="53">
        <f t="shared" si="2043"/>
        <v>20</v>
      </c>
      <c r="AB323" s="54">
        <f t="shared" si="2208"/>
        <v>59</v>
      </c>
      <c r="AC323" s="49">
        <f t="shared" ref="AC323:AD323" si="2245">SUM(S323,U323,W323,Y323,AA323)</f>
        <v>228</v>
      </c>
      <c r="AD323" s="50">
        <f t="shared" si="2245"/>
        <v>679</v>
      </c>
      <c r="AE323" s="53">
        <f t="shared" si="2046"/>
        <v>39</v>
      </c>
      <c r="AF323" s="54">
        <f t="shared" si="2215"/>
        <v>116</v>
      </c>
      <c r="AG323" s="53">
        <f t="shared" si="2048"/>
        <v>97</v>
      </c>
      <c r="AH323" s="54">
        <f t="shared" si="2216"/>
        <v>289</v>
      </c>
      <c r="AI323" s="53">
        <f t="shared" si="2050"/>
        <v>84</v>
      </c>
      <c r="AJ323" s="54">
        <f t="shared" si="2217"/>
        <v>252</v>
      </c>
      <c r="AK323" s="53">
        <f t="shared" si="2052"/>
        <v>77</v>
      </c>
      <c r="AL323" s="54">
        <f t="shared" si="2218"/>
        <v>231</v>
      </c>
      <c r="AM323" s="53">
        <f t="shared" si="2054"/>
        <v>66</v>
      </c>
      <c r="AN323" s="54">
        <f t="shared" si="2219"/>
        <v>197</v>
      </c>
      <c r="AO323" s="53">
        <f t="shared" si="2056"/>
        <v>43</v>
      </c>
      <c r="AP323" s="54">
        <f t="shared" si="2220"/>
        <v>127</v>
      </c>
      <c r="AQ323" s="49">
        <f t="shared" ref="AQ323:AR323" si="2246">SUM(AG323,AI323,AK323,AM323,AO323)</f>
        <v>367</v>
      </c>
      <c r="AR323" s="50">
        <f t="shared" si="2246"/>
        <v>1096</v>
      </c>
      <c r="AS323" s="53">
        <f t="shared" si="2059"/>
        <v>2</v>
      </c>
      <c r="AT323" s="54">
        <f t="shared" si="2237"/>
        <v>5</v>
      </c>
      <c r="AU323" s="53">
        <f t="shared" si="2061"/>
        <v>27</v>
      </c>
      <c r="AV323" s="54">
        <f t="shared" si="2238"/>
        <v>80</v>
      </c>
      <c r="AW323" s="53">
        <f t="shared" si="2063"/>
        <v>18</v>
      </c>
      <c r="AX323" s="54">
        <f t="shared" si="2239"/>
        <v>52</v>
      </c>
      <c r="AY323" s="53">
        <f t="shared" si="2065"/>
        <v>33</v>
      </c>
      <c r="AZ323" s="54">
        <f t="shared" si="2240"/>
        <v>99</v>
      </c>
      <c r="BA323" s="53">
        <f t="shared" si="2067"/>
        <v>7</v>
      </c>
      <c r="BB323" s="54">
        <f t="shared" si="2241"/>
        <v>20</v>
      </c>
      <c r="BC323" s="49">
        <f t="shared" ref="BC323:BD323" si="2247">SUM(AS323,AU323,AW323,AY323,BA323)</f>
        <v>87</v>
      </c>
      <c r="BD323" s="50">
        <f t="shared" si="2247"/>
        <v>256</v>
      </c>
      <c r="BE323" s="68">
        <f t="shared" ref="BE323:BF323" si="2248">SUM(E323,G323,I323,O323,Q323,AC323,AQ323,BC323)</f>
        <v>788</v>
      </c>
      <c r="BF323" s="69">
        <f t="shared" si="2248"/>
        <v>2345</v>
      </c>
      <c r="BG323" s="46" t="str">
        <f>BF323*'ОВгП_РАО'!$B$33</f>
        <v>#REF!</v>
      </c>
      <c r="BH323" s="46" t="str">
        <f>'ОВгП_РАО'!$B$33</f>
        <v>#REF!</v>
      </c>
    </row>
    <row r="324" ht="15.75" customHeight="1">
      <c r="A324" s="80">
        <f t="shared" si="2071"/>
        <v>46269</v>
      </c>
      <c r="B324" s="47" t="s">
        <v>160</v>
      </c>
      <c r="C324" s="47" t="s">
        <v>161</v>
      </c>
      <c r="D324" s="47" t="s">
        <v>98</v>
      </c>
      <c r="E324" s="73">
        <f t="shared" si="2022"/>
        <v>20</v>
      </c>
      <c r="F324" s="50">
        <f t="shared" si="2197"/>
        <v>58</v>
      </c>
      <c r="G324" s="73">
        <f t="shared" si="2024"/>
        <v>29</v>
      </c>
      <c r="H324" s="50">
        <f t="shared" si="2198"/>
        <v>87</v>
      </c>
      <c r="I324" s="73">
        <f t="shared" si="2026"/>
        <v>7</v>
      </c>
      <c r="J324" s="50">
        <f t="shared" si="2199"/>
        <v>19</v>
      </c>
      <c r="K324" s="53">
        <f t="shared" si="2028"/>
        <v>30</v>
      </c>
      <c r="L324" s="54">
        <f t="shared" si="2200"/>
        <v>88</v>
      </c>
      <c r="M324" s="53">
        <f t="shared" si="2030"/>
        <v>3</v>
      </c>
      <c r="N324" s="54">
        <f t="shared" si="2201"/>
        <v>7</v>
      </c>
      <c r="O324" s="49">
        <f t="shared" ref="O324:P324" si="2249">SUM(K324,M324)</f>
        <v>33</v>
      </c>
      <c r="P324" s="50">
        <f t="shared" si="2249"/>
        <v>95</v>
      </c>
      <c r="Q324" s="73">
        <f t="shared" si="2033"/>
        <v>16</v>
      </c>
      <c r="R324" s="50">
        <f t="shared" si="2203"/>
        <v>48</v>
      </c>
      <c r="S324" s="53">
        <f t="shared" si="2035"/>
        <v>2</v>
      </c>
      <c r="T324" s="54">
        <f t="shared" si="2204"/>
        <v>4</v>
      </c>
      <c r="U324" s="53">
        <f t="shared" si="2037"/>
        <v>85</v>
      </c>
      <c r="V324" s="54">
        <f t="shared" si="2205"/>
        <v>255</v>
      </c>
      <c r="W324" s="53">
        <f t="shared" si="2039"/>
        <v>97</v>
      </c>
      <c r="X324" s="54">
        <f t="shared" si="2206"/>
        <v>291</v>
      </c>
      <c r="Y324" s="53">
        <f t="shared" si="2041"/>
        <v>77</v>
      </c>
      <c r="Z324" s="54">
        <f t="shared" si="2207"/>
        <v>231</v>
      </c>
      <c r="AA324" s="53">
        <f t="shared" si="2043"/>
        <v>25</v>
      </c>
      <c r="AB324" s="54">
        <f t="shared" si="2208"/>
        <v>74</v>
      </c>
      <c r="AC324" s="49">
        <f t="shared" ref="AC324:AD324" si="2250">SUM(S324,U324,W324,Y324,AA324)</f>
        <v>286</v>
      </c>
      <c r="AD324" s="50">
        <f t="shared" si="2250"/>
        <v>855</v>
      </c>
      <c r="AE324" s="53">
        <f t="shared" si="2046"/>
        <v>79</v>
      </c>
      <c r="AF324" s="54">
        <f t="shared" si="2215"/>
        <v>236</v>
      </c>
      <c r="AG324" s="53">
        <f t="shared" si="2048"/>
        <v>61</v>
      </c>
      <c r="AH324" s="54">
        <f t="shared" si="2216"/>
        <v>183</v>
      </c>
      <c r="AI324" s="53">
        <f t="shared" si="2050"/>
        <v>53</v>
      </c>
      <c r="AJ324" s="54">
        <f t="shared" si="2217"/>
        <v>158</v>
      </c>
      <c r="AK324" s="53">
        <f t="shared" si="2052"/>
        <v>95</v>
      </c>
      <c r="AL324" s="54">
        <f t="shared" si="2218"/>
        <v>284</v>
      </c>
      <c r="AM324" s="53">
        <f t="shared" si="2054"/>
        <v>35</v>
      </c>
      <c r="AN324" s="54">
        <f t="shared" si="2219"/>
        <v>104</v>
      </c>
      <c r="AO324" s="53">
        <f t="shared" si="2056"/>
        <v>47</v>
      </c>
      <c r="AP324" s="54">
        <f t="shared" si="2220"/>
        <v>139</v>
      </c>
      <c r="AQ324" s="49">
        <f t="shared" ref="AQ324:AR324" si="2251">SUM(AG324,AI324,AK324,AM324,AO324)</f>
        <v>291</v>
      </c>
      <c r="AR324" s="50">
        <f t="shared" si="2251"/>
        <v>868</v>
      </c>
      <c r="AS324" s="53">
        <f t="shared" si="2059"/>
        <v>9</v>
      </c>
      <c r="AT324" s="54">
        <f t="shared" ref="AT324:AT326" si="2257">RANDBETWEEN(0,300)</f>
        <v>25</v>
      </c>
      <c r="AU324" s="53">
        <f t="shared" si="2061"/>
        <v>57</v>
      </c>
      <c r="AV324" s="54">
        <f t="shared" ref="AV324:AV326" si="2258">RANDBETWEEN(0,300)</f>
        <v>170</v>
      </c>
      <c r="AW324" s="53">
        <f t="shared" si="2063"/>
        <v>43</v>
      </c>
      <c r="AX324" s="54">
        <f t="shared" ref="AX324:AX326" si="2259">RANDBETWEEN(0,300)</f>
        <v>129</v>
      </c>
      <c r="AY324" s="53">
        <f t="shared" si="2065"/>
        <v>87</v>
      </c>
      <c r="AZ324" s="54">
        <f t="shared" ref="AZ324:AZ326" si="2260">RANDBETWEEN(0,300)</f>
        <v>261</v>
      </c>
      <c r="BA324" s="53">
        <f t="shared" si="2067"/>
        <v>61</v>
      </c>
      <c r="BB324" s="54">
        <f t="shared" ref="BB324:BB326" si="2261">RANDBETWEEN(0,300)</f>
        <v>181</v>
      </c>
      <c r="BC324" s="49">
        <f t="shared" ref="BC324:BD324" si="2252">SUM(AS324,AU324,AW324,AY324,BA324)</f>
        <v>257</v>
      </c>
      <c r="BD324" s="50">
        <f t="shared" si="2252"/>
        <v>766</v>
      </c>
      <c r="BE324" s="68">
        <f t="shared" ref="BE324:BF324" si="2253">SUM(E324,G324,I324,O324,Q324,AC324,AQ324,BC324)</f>
        <v>939</v>
      </c>
      <c r="BF324" s="69">
        <f t="shared" si="2253"/>
        <v>2796</v>
      </c>
      <c r="BG324" s="46" t="str">
        <f>BF324*'ОВгП_РАО'!$B$34</f>
        <v>#REF!</v>
      </c>
      <c r="BH324" s="46" t="str">
        <f>'ОВгП_РАО'!$B$34</f>
        <v>#REF!</v>
      </c>
    </row>
    <row r="325" ht="15.75" customHeight="1">
      <c r="A325" s="80">
        <f t="shared" si="2071"/>
        <v>46269</v>
      </c>
      <c r="B325" s="47" t="s">
        <v>163</v>
      </c>
      <c r="C325" s="47" t="s">
        <v>161</v>
      </c>
      <c r="D325" s="47" t="s">
        <v>145</v>
      </c>
      <c r="E325" s="73">
        <f t="shared" si="2022"/>
        <v>29</v>
      </c>
      <c r="F325" s="50">
        <f t="shared" si="2197"/>
        <v>87</v>
      </c>
      <c r="G325" s="73">
        <f t="shared" si="2024"/>
        <v>17</v>
      </c>
      <c r="H325" s="50">
        <f t="shared" si="2198"/>
        <v>51</v>
      </c>
      <c r="I325" s="73">
        <f t="shared" si="2026"/>
        <v>7</v>
      </c>
      <c r="J325" s="50">
        <f t="shared" si="2199"/>
        <v>21</v>
      </c>
      <c r="K325" s="53">
        <f t="shared" si="2028"/>
        <v>12</v>
      </c>
      <c r="L325" s="54">
        <f t="shared" si="2200"/>
        <v>34</v>
      </c>
      <c r="M325" s="53">
        <f t="shared" si="2030"/>
        <v>30</v>
      </c>
      <c r="N325" s="54">
        <f t="shared" si="2201"/>
        <v>89</v>
      </c>
      <c r="O325" s="49">
        <f t="shared" ref="O325:P325" si="2254">SUM(K325,M325)</f>
        <v>42</v>
      </c>
      <c r="P325" s="50">
        <f t="shared" si="2254"/>
        <v>123</v>
      </c>
      <c r="Q325" s="73">
        <f t="shared" si="2033"/>
        <v>20</v>
      </c>
      <c r="R325" s="50">
        <f t="shared" si="2203"/>
        <v>59</v>
      </c>
      <c r="S325" s="53">
        <f t="shared" si="2035"/>
        <v>43</v>
      </c>
      <c r="T325" s="54">
        <f t="shared" si="2204"/>
        <v>129</v>
      </c>
      <c r="U325" s="53">
        <f t="shared" si="2037"/>
        <v>23</v>
      </c>
      <c r="V325" s="54">
        <f t="shared" si="2205"/>
        <v>69</v>
      </c>
      <c r="W325" s="53">
        <f t="shared" si="2039"/>
        <v>98</v>
      </c>
      <c r="X325" s="54">
        <f t="shared" si="2206"/>
        <v>294</v>
      </c>
      <c r="Y325" s="53">
        <f t="shared" si="2041"/>
        <v>76</v>
      </c>
      <c r="Z325" s="54">
        <f t="shared" si="2207"/>
        <v>228</v>
      </c>
      <c r="AA325" s="53">
        <f t="shared" si="2043"/>
        <v>75</v>
      </c>
      <c r="AB325" s="54">
        <f t="shared" si="2208"/>
        <v>225</v>
      </c>
      <c r="AC325" s="49">
        <f t="shared" ref="AC325:AD325" si="2255">SUM(S325,U325,W325,Y325,AA325)</f>
        <v>315</v>
      </c>
      <c r="AD325" s="50">
        <f t="shared" si="2255"/>
        <v>945</v>
      </c>
      <c r="AE325" s="53">
        <f t="shared" si="2046"/>
        <v>52</v>
      </c>
      <c r="AF325" s="54">
        <f t="shared" si="2215"/>
        <v>154</v>
      </c>
      <c r="AG325" s="53">
        <f t="shared" si="2048"/>
        <v>15</v>
      </c>
      <c r="AH325" s="54">
        <f t="shared" si="2216"/>
        <v>44</v>
      </c>
      <c r="AI325" s="53">
        <f t="shared" si="2050"/>
        <v>96</v>
      </c>
      <c r="AJ325" s="54">
        <f t="shared" si="2217"/>
        <v>286</v>
      </c>
      <c r="AK325" s="53">
        <f t="shared" si="2052"/>
        <v>71</v>
      </c>
      <c r="AL325" s="54">
        <f t="shared" si="2218"/>
        <v>211</v>
      </c>
      <c r="AM325" s="53">
        <f t="shared" si="2054"/>
        <v>1</v>
      </c>
      <c r="AN325" s="54">
        <f t="shared" si="2219"/>
        <v>1</v>
      </c>
      <c r="AO325" s="53">
        <f t="shared" si="2056"/>
        <v>48</v>
      </c>
      <c r="AP325" s="54">
        <f t="shared" si="2220"/>
        <v>144</v>
      </c>
      <c r="AQ325" s="49">
        <f t="shared" ref="AQ325:AR325" si="2256">SUM(AG325,AI325,AK325,AM325,AO325)</f>
        <v>231</v>
      </c>
      <c r="AR325" s="50">
        <f t="shared" si="2256"/>
        <v>686</v>
      </c>
      <c r="AS325" s="53">
        <f t="shared" si="2059"/>
        <v>33</v>
      </c>
      <c r="AT325" s="54">
        <f t="shared" si="2257"/>
        <v>97</v>
      </c>
      <c r="AU325" s="53">
        <f t="shared" si="2061"/>
        <v>79</v>
      </c>
      <c r="AV325" s="54">
        <f t="shared" si="2258"/>
        <v>236</v>
      </c>
      <c r="AW325" s="53">
        <f t="shared" si="2063"/>
        <v>30</v>
      </c>
      <c r="AX325" s="54">
        <f t="shared" si="2259"/>
        <v>88</v>
      </c>
      <c r="AY325" s="53">
        <f t="shared" si="2065"/>
        <v>56</v>
      </c>
      <c r="AZ325" s="54">
        <f t="shared" si="2260"/>
        <v>166</v>
      </c>
      <c r="BA325" s="53">
        <f t="shared" si="2067"/>
        <v>17</v>
      </c>
      <c r="BB325" s="54">
        <f t="shared" si="2261"/>
        <v>49</v>
      </c>
      <c r="BC325" s="49">
        <f t="shared" ref="BC325:BD325" si="2262">SUM(AS325,AU325,AW325,AY325,BA325)</f>
        <v>215</v>
      </c>
      <c r="BD325" s="50">
        <f t="shared" si="2262"/>
        <v>636</v>
      </c>
      <c r="BE325" s="68">
        <f t="shared" ref="BE325:BF325" si="2263">SUM(E325,G325,I325,O325,Q325,AC325,AQ325,BC325)</f>
        <v>876</v>
      </c>
      <c r="BF325" s="69">
        <f t="shared" si="2263"/>
        <v>2608</v>
      </c>
      <c r="BG325" s="46" t="str">
        <f>BF325*'ОВгП_РАО'!$B$35</f>
        <v>#REF!</v>
      </c>
      <c r="BH325" s="46" t="str">
        <f>'ОВгП_РАО'!$B$35</f>
        <v>#REF!</v>
      </c>
    </row>
    <row r="326" ht="15.75" customHeight="1">
      <c r="A326" s="80">
        <f t="shared" si="2071"/>
        <v>46269</v>
      </c>
      <c r="B326" s="47" t="s">
        <v>164</v>
      </c>
      <c r="C326" s="47" t="s">
        <v>161</v>
      </c>
      <c r="D326" s="47" t="s">
        <v>148</v>
      </c>
      <c r="E326" s="73">
        <f t="shared" si="2022"/>
        <v>31</v>
      </c>
      <c r="F326" s="50">
        <f t="shared" si="2197"/>
        <v>92</v>
      </c>
      <c r="G326" s="73">
        <f t="shared" si="2024"/>
        <v>21</v>
      </c>
      <c r="H326" s="50">
        <f t="shared" si="2198"/>
        <v>62</v>
      </c>
      <c r="I326" s="73">
        <f t="shared" si="2026"/>
        <v>20</v>
      </c>
      <c r="J326" s="50">
        <f t="shared" si="2199"/>
        <v>59</v>
      </c>
      <c r="K326" s="53">
        <f t="shared" si="2028"/>
        <v>3</v>
      </c>
      <c r="L326" s="54">
        <f t="shared" si="2200"/>
        <v>7</v>
      </c>
      <c r="M326" s="53">
        <f t="shared" si="2030"/>
        <v>25</v>
      </c>
      <c r="N326" s="54">
        <f t="shared" si="2201"/>
        <v>73</v>
      </c>
      <c r="O326" s="49">
        <f t="shared" ref="O326:P326" si="2264">SUM(K326,M326)</f>
        <v>28</v>
      </c>
      <c r="P326" s="50">
        <f t="shared" si="2264"/>
        <v>80</v>
      </c>
      <c r="Q326" s="73">
        <f t="shared" si="2033"/>
        <v>17</v>
      </c>
      <c r="R326" s="50">
        <f t="shared" si="2203"/>
        <v>51</v>
      </c>
      <c r="S326" s="53">
        <f t="shared" si="2035"/>
        <v>16</v>
      </c>
      <c r="T326" s="54">
        <f t="shared" si="2204"/>
        <v>48</v>
      </c>
      <c r="U326" s="53">
        <f t="shared" si="2037"/>
        <v>66</v>
      </c>
      <c r="V326" s="54">
        <f t="shared" si="2205"/>
        <v>197</v>
      </c>
      <c r="W326" s="53">
        <f t="shared" si="2039"/>
        <v>29</v>
      </c>
      <c r="X326" s="54">
        <f t="shared" si="2206"/>
        <v>87</v>
      </c>
      <c r="Y326" s="53">
        <f t="shared" si="2041"/>
        <v>71</v>
      </c>
      <c r="Z326" s="54">
        <f t="shared" si="2207"/>
        <v>212</v>
      </c>
      <c r="AA326" s="53">
        <f t="shared" si="2043"/>
        <v>40</v>
      </c>
      <c r="AB326" s="54">
        <f t="shared" si="2208"/>
        <v>118</v>
      </c>
      <c r="AC326" s="49">
        <f t="shared" ref="AC326:AD326" si="2265">SUM(S326,U326,W326,Y326,AA326)</f>
        <v>222</v>
      </c>
      <c r="AD326" s="50">
        <f t="shared" si="2265"/>
        <v>662</v>
      </c>
      <c r="AE326" s="53">
        <f t="shared" si="2046"/>
        <v>43</v>
      </c>
      <c r="AF326" s="54">
        <f t="shared" si="2215"/>
        <v>129</v>
      </c>
      <c r="AG326" s="53">
        <f t="shared" si="2048"/>
        <v>87</v>
      </c>
      <c r="AH326" s="54">
        <f t="shared" si="2216"/>
        <v>261</v>
      </c>
      <c r="AI326" s="53">
        <f t="shared" si="2050"/>
        <v>83</v>
      </c>
      <c r="AJ326" s="54">
        <f t="shared" si="2217"/>
        <v>247</v>
      </c>
      <c r="AK326" s="53">
        <f t="shared" si="2052"/>
        <v>47</v>
      </c>
      <c r="AL326" s="54">
        <f t="shared" si="2218"/>
        <v>140</v>
      </c>
      <c r="AM326" s="53">
        <f t="shared" si="2054"/>
        <v>92</v>
      </c>
      <c r="AN326" s="54">
        <f t="shared" si="2219"/>
        <v>275</v>
      </c>
      <c r="AO326" s="53">
        <f t="shared" si="2056"/>
        <v>91</v>
      </c>
      <c r="AP326" s="54">
        <f t="shared" si="2220"/>
        <v>272</v>
      </c>
      <c r="AQ326" s="49">
        <f t="shared" ref="AQ326:AR326" si="2266">SUM(AG326,AI326,AK326,AM326,AO326)</f>
        <v>400</v>
      </c>
      <c r="AR326" s="50">
        <f t="shared" si="2266"/>
        <v>1195</v>
      </c>
      <c r="AS326" s="53">
        <f t="shared" si="2059"/>
        <v>39</v>
      </c>
      <c r="AT326" s="54">
        <f t="shared" si="2257"/>
        <v>117</v>
      </c>
      <c r="AU326" s="53">
        <f t="shared" si="2061"/>
        <v>77</v>
      </c>
      <c r="AV326" s="54">
        <f t="shared" si="2258"/>
        <v>229</v>
      </c>
      <c r="AW326" s="53">
        <f t="shared" si="2063"/>
        <v>99</v>
      </c>
      <c r="AX326" s="54">
        <f t="shared" si="2259"/>
        <v>297</v>
      </c>
      <c r="AY326" s="53">
        <f t="shared" si="2065"/>
        <v>30</v>
      </c>
      <c r="AZ326" s="54">
        <f t="shared" si="2260"/>
        <v>88</v>
      </c>
      <c r="BA326" s="53">
        <f t="shared" si="2067"/>
        <v>85</v>
      </c>
      <c r="BB326" s="54">
        <f t="shared" si="2261"/>
        <v>253</v>
      </c>
      <c r="BC326" s="49">
        <f t="shared" ref="BC326:BD326" si="2267">SUM(AS326,AU326,AW326,AY326,BA326)</f>
        <v>330</v>
      </c>
      <c r="BD326" s="50">
        <f t="shared" si="2267"/>
        <v>984</v>
      </c>
      <c r="BE326" s="68">
        <f t="shared" ref="BE326:BF326" si="2268">SUM(E326,G326,I326,O326,Q326,AC326,AQ326,BC326)</f>
        <v>1069</v>
      </c>
      <c r="BF326" s="69">
        <f t="shared" si="2268"/>
        <v>3185</v>
      </c>
      <c r="BG326" s="46" t="str">
        <f>BF326*'ОВгП_РАО'!$B$36</f>
        <v>#REF!</v>
      </c>
      <c r="BH326" s="46" t="str">
        <f>'ОВгП_РАО'!B324</f>
        <v>#REF!</v>
      </c>
    </row>
    <row r="327" ht="15.75" customHeight="1">
      <c r="A327" s="161"/>
      <c r="B327" s="162"/>
      <c r="C327" s="162"/>
      <c r="D327" s="162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  <c r="BC327" s="40"/>
      <c r="BD327" s="40"/>
      <c r="BE327" s="40"/>
      <c r="BF327" s="42"/>
    </row>
    <row r="328" ht="15.75" customHeight="1">
      <c r="A328" s="44">
        <f>A326+1</f>
        <v>46270</v>
      </c>
      <c r="B328" s="163" t="s">
        <v>95</v>
      </c>
      <c r="C328" s="46" t="s">
        <v>96</v>
      </c>
      <c r="D328" s="47" t="s">
        <v>98</v>
      </c>
      <c r="E328" s="49">
        <f t="shared" ref="E328:E362" si="2274">ROUNDUP(F328/3,0)</f>
        <v>1</v>
      </c>
      <c r="F328" s="50">
        <f t="shared" ref="F328:F353" si="2275">RANDBETWEEN(0,4)</f>
        <v>1</v>
      </c>
      <c r="G328" s="49">
        <f t="shared" ref="G328:G362" si="2276">ROUNDUP(H328/3,0)</f>
        <v>1</v>
      </c>
      <c r="H328" s="50">
        <f t="shared" ref="H328:H353" si="2277">RANDBETWEEN(0,4)</f>
        <v>3</v>
      </c>
      <c r="I328" s="49">
        <f t="shared" ref="I328:I362" si="2278">ROUNDUP(J328/3,0)</f>
        <v>1</v>
      </c>
      <c r="J328" s="50">
        <f t="shared" ref="J328:J353" si="2279">RANDBETWEEN(0,4)</f>
        <v>3</v>
      </c>
      <c r="K328" s="53">
        <f t="shared" ref="K328:K362" si="2280">ROUNDUP(L328/3,0)</f>
        <v>1</v>
      </c>
      <c r="L328" s="54">
        <f t="shared" ref="L328:L353" si="2281">RANDBETWEEN(0,4)</f>
        <v>1</v>
      </c>
      <c r="M328" s="53">
        <f t="shared" ref="M328:M362" si="2282">ROUNDUP(N328/3,0)</f>
        <v>2</v>
      </c>
      <c r="N328" s="54">
        <f t="shared" ref="N328:N353" si="2283">RANDBETWEEN(0,4)</f>
        <v>4</v>
      </c>
      <c r="O328" s="49">
        <f t="shared" ref="O328:P328" si="2269">SUM(K328,M328)</f>
        <v>3</v>
      </c>
      <c r="P328" s="50">
        <f t="shared" si="2269"/>
        <v>5</v>
      </c>
      <c r="Q328" s="49">
        <f t="shared" ref="Q328:Q362" si="2285">ROUNDUP(R328/3,0)</f>
        <v>0</v>
      </c>
      <c r="R328" s="50">
        <f t="shared" ref="R328:R353" si="2286">RANDBETWEEN(0,4)</f>
        <v>0</v>
      </c>
      <c r="S328" s="53">
        <f t="shared" ref="S328:S362" si="2287">ROUNDUP(T328/3,0)</f>
        <v>1</v>
      </c>
      <c r="T328" s="54">
        <f t="shared" ref="T328:T353" si="2288">RANDBETWEEN(0,4)</f>
        <v>1</v>
      </c>
      <c r="U328" s="53">
        <f t="shared" ref="U328:U362" si="2289">ROUNDUP(V328/3,0)</f>
        <v>1</v>
      </c>
      <c r="V328" s="54">
        <f t="shared" ref="V328:V353" si="2290">RANDBETWEEN(0,4)</f>
        <v>2</v>
      </c>
      <c r="W328" s="53">
        <f t="shared" ref="W328:W362" si="2291">ROUNDUP(X328/3,0)</f>
        <v>1</v>
      </c>
      <c r="X328" s="54">
        <f t="shared" ref="X328:X353" si="2292">RANDBETWEEN(0,4)</f>
        <v>1</v>
      </c>
      <c r="Y328" s="53">
        <f t="shared" ref="Y328:Y362" si="2293">ROUNDUP(Z328/3,0)</f>
        <v>1</v>
      </c>
      <c r="Z328" s="54">
        <f t="shared" ref="Z328:Z353" si="2294">RANDBETWEEN(0,4)</f>
        <v>2</v>
      </c>
      <c r="AA328" s="53">
        <f t="shared" ref="AA328:AA362" si="2295">ROUNDUP(AB328/3,0)</f>
        <v>1</v>
      </c>
      <c r="AB328" s="54">
        <f t="shared" ref="AB328:AB353" si="2296">RANDBETWEEN(0,4)</f>
        <v>1</v>
      </c>
      <c r="AC328" s="49">
        <f t="shared" ref="AC328:AD328" si="2270">SUM(S328,U328,W328,Y328,AA328)</f>
        <v>5</v>
      </c>
      <c r="AD328" s="50">
        <f t="shared" si="2270"/>
        <v>7</v>
      </c>
      <c r="AE328" s="53">
        <f t="shared" ref="AE328:AE362" si="2298">ROUNDUP(AF328/3,0)</f>
        <v>0</v>
      </c>
      <c r="AF328" s="54">
        <f t="shared" ref="AF328:AF353" si="2299">RANDBETWEEN(0,4)</f>
        <v>0</v>
      </c>
      <c r="AG328" s="53">
        <f t="shared" ref="AG328:AG362" si="2300">ROUNDUP(AH328/3,0)</f>
        <v>2</v>
      </c>
      <c r="AH328" s="54">
        <f t="shared" ref="AH328:AH353" si="2301">RANDBETWEEN(0,4)</f>
        <v>4</v>
      </c>
      <c r="AI328" s="53">
        <f t="shared" ref="AI328:AI362" si="2302">ROUNDUP(AJ328/3,0)</f>
        <v>2</v>
      </c>
      <c r="AJ328" s="54">
        <f t="shared" ref="AJ328:AJ353" si="2303">RANDBETWEEN(0,4)</f>
        <v>4</v>
      </c>
      <c r="AK328" s="53">
        <f t="shared" ref="AK328:AK362" si="2304">ROUNDUP(AL328/3,0)</f>
        <v>1</v>
      </c>
      <c r="AL328" s="54">
        <f t="shared" ref="AL328:AL353" si="2305">RANDBETWEEN(0,4)</f>
        <v>2</v>
      </c>
      <c r="AM328" s="53">
        <f t="shared" ref="AM328:AM362" si="2306">ROUNDUP(AN328/3,0)</f>
        <v>1</v>
      </c>
      <c r="AN328" s="54">
        <f t="shared" ref="AN328:AN353" si="2307">RANDBETWEEN(0,4)</f>
        <v>1</v>
      </c>
      <c r="AO328" s="53">
        <f t="shared" ref="AO328:AO362" si="2308">ROUNDUP(AP328/3,0)</f>
        <v>0</v>
      </c>
      <c r="AP328" s="54">
        <f t="shared" ref="AP328:AP353" si="2309">RANDBETWEEN(0,4)</f>
        <v>0</v>
      </c>
      <c r="AQ328" s="49">
        <f t="shared" ref="AQ328:AR328" si="2271">SUM(AG328,AI328,AK328,AM328,AO328)</f>
        <v>6</v>
      </c>
      <c r="AR328" s="50">
        <f t="shared" si="2271"/>
        <v>11</v>
      </c>
      <c r="AS328" s="53">
        <f t="shared" ref="AS328:AS362" si="2311">ROUNDUP(AT328/3,0)</f>
        <v>1</v>
      </c>
      <c r="AT328" s="54">
        <f t="shared" ref="AT328:AT353" si="2312">RANDBETWEEN(0,4)</f>
        <v>2</v>
      </c>
      <c r="AU328" s="53">
        <f t="shared" ref="AU328:AU362" si="2313">ROUNDUP(AV328/3,0)</f>
        <v>1</v>
      </c>
      <c r="AV328" s="54">
        <f t="shared" ref="AV328:AV353" si="2314">RANDBETWEEN(0,4)</f>
        <v>1</v>
      </c>
      <c r="AW328" s="53">
        <f t="shared" ref="AW328:AW362" si="2315">ROUNDUP(AX328/3,0)</f>
        <v>1</v>
      </c>
      <c r="AX328" s="54">
        <f t="shared" ref="AX328:AX353" si="2316">RANDBETWEEN(0,4)</f>
        <v>3</v>
      </c>
      <c r="AY328" s="53">
        <f t="shared" ref="AY328:AY362" si="2317">ROUNDUP(AZ328/3,0)</f>
        <v>1</v>
      </c>
      <c r="AZ328" s="54">
        <f t="shared" ref="AZ328:AZ353" si="2318">RANDBETWEEN(0,4)</f>
        <v>2</v>
      </c>
      <c r="BA328" s="53">
        <f t="shared" ref="BA328:BA362" si="2319">ROUNDUP(BB328/3,0)</f>
        <v>1</v>
      </c>
      <c r="BB328" s="54">
        <f t="shared" ref="BB328:BB353" si="2320">RANDBETWEEN(0,4)</f>
        <v>1</v>
      </c>
      <c r="BC328" s="49">
        <f t="shared" ref="BC328:BD328" si="2272">SUM(AS328,AU328,AW328,AY328,BA328)</f>
        <v>5</v>
      </c>
      <c r="BD328" s="50">
        <f t="shared" si="2272"/>
        <v>9</v>
      </c>
      <c r="BE328" s="68">
        <f t="shared" ref="BE328:BF328" si="2273">SUM(E328,G328,I328,O328,Q328,AC328,AQ328,BC328)</f>
        <v>22</v>
      </c>
      <c r="BF328" s="69">
        <f t="shared" si="2273"/>
        <v>39</v>
      </c>
      <c r="BG328" s="46" t="str">
        <f>BF328*'ОВгП_РАО'!$B$2</f>
        <v>#REF!</v>
      </c>
      <c r="BH328" s="46" t="str">
        <f>'ОВгП_РАО'!$B$2</f>
        <v>#REF!</v>
      </c>
    </row>
    <row r="329" ht="15.75" customHeight="1">
      <c r="A329" s="71">
        <f t="shared" ref="A329:A362" si="2323">A328</f>
        <v>46270</v>
      </c>
      <c r="B329" s="45" t="s">
        <v>115</v>
      </c>
      <c r="C329" s="46" t="s">
        <v>96</v>
      </c>
      <c r="D329" s="47" t="s">
        <v>98</v>
      </c>
      <c r="E329" s="73">
        <f t="shared" si="2274"/>
        <v>0</v>
      </c>
      <c r="F329" s="50">
        <f t="shared" si="2275"/>
        <v>0</v>
      </c>
      <c r="G329" s="73">
        <f t="shared" si="2276"/>
        <v>1</v>
      </c>
      <c r="H329" s="50">
        <f t="shared" si="2277"/>
        <v>1</v>
      </c>
      <c r="I329" s="73">
        <f t="shared" si="2278"/>
        <v>1</v>
      </c>
      <c r="J329" s="50">
        <f t="shared" si="2279"/>
        <v>1</v>
      </c>
      <c r="K329" s="53">
        <f t="shared" si="2280"/>
        <v>1</v>
      </c>
      <c r="L329" s="54">
        <f t="shared" si="2281"/>
        <v>2</v>
      </c>
      <c r="M329" s="53">
        <f t="shared" si="2282"/>
        <v>1</v>
      </c>
      <c r="N329" s="54">
        <f t="shared" si="2283"/>
        <v>1</v>
      </c>
      <c r="O329" s="49">
        <f t="shared" ref="O329:P329" si="2284">SUM(K329,M329)</f>
        <v>2</v>
      </c>
      <c r="P329" s="50">
        <f t="shared" si="2284"/>
        <v>3</v>
      </c>
      <c r="Q329" s="73">
        <f t="shared" si="2285"/>
        <v>1</v>
      </c>
      <c r="R329" s="50">
        <f t="shared" si="2286"/>
        <v>3</v>
      </c>
      <c r="S329" s="53">
        <f t="shared" si="2287"/>
        <v>1</v>
      </c>
      <c r="T329" s="54">
        <f t="shared" si="2288"/>
        <v>1</v>
      </c>
      <c r="U329" s="53">
        <f t="shared" si="2289"/>
        <v>1</v>
      </c>
      <c r="V329" s="54">
        <f t="shared" si="2290"/>
        <v>1</v>
      </c>
      <c r="W329" s="53">
        <f t="shared" si="2291"/>
        <v>1</v>
      </c>
      <c r="X329" s="54">
        <f t="shared" si="2292"/>
        <v>1</v>
      </c>
      <c r="Y329" s="53">
        <f t="shared" si="2293"/>
        <v>2</v>
      </c>
      <c r="Z329" s="54">
        <f t="shared" si="2294"/>
        <v>4</v>
      </c>
      <c r="AA329" s="53">
        <f t="shared" si="2295"/>
        <v>0</v>
      </c>
      <c r="AB329" s="54">
        <f t="shared" si="2296"/>
        <v>0</v>
      </c>
      <c r="AC329" s="49">
        <f t="shared" ref="AC329:AD329" si="2297">SUM(S329,U329,W329,Y329,AA329)</f>
        <v>5</v>
      </c>
      <c r="AD329" s="50">
        <f t="shared" si="2297"/>
        <v>7</v>
      </c>
      <c r="AE329" s="53">
        <f t="shared" si="2298"/>
        <v>1</v>
      </c>
      <c r="AF329" s="54">
        <f t="shared" si="2299"/>
        <v>1</v>
      </c>
      <c r="AG329" s="53">
        <f t="shared" si="2300"/>
        <v>1</v>
      </c>
      <c r="AH329" s="54">
        <f t="shared" si="2301"/>
        <v>3</v>
      </c>
      <c r="AI329" s="53">
        <f t="shared" si="2302"/>
        <v>1</v>
      </c>
      <c r="AJ329" s="54">
        <f t="shared" si="2303"/>
        <v>2</v>
      </c>
      <c r="AK329" s="53">
        <f t="shared" si="2304"/>
        <v>0</v>
      </c>
      <c r="AL329" s="54">
        <f t="shared" si="2305"/>
        <v>0</v>
      </c>
      <c r="AM329" s="53">
        <f t="shared" si="2306"/>
        <v>2</v>
      </c>
      <c r="AN329" s="54">
        <f t="shared" si="2307"/>
        <v>4</v>
      </c>
      <c r="AO329" s="53">
        <f t="shared" si="2308"/>
        <v>1</v>
      </c>
      <c r="AP329" s="54">
        <f t="shared" si="2309"/>
        <v>3</v>
      </c>
      <c r="AQ329" s="49">
        <f t="shared" ref="AQ329:AR329" si="2310">SUM(AG329,AI329,AK329,AM329,AO329)</f>
        <v>5</v>
      </c>
      <c r="AR329" s="50">
        <f t="shared" si="2310"/>
        <v>12</v>
      </c>
      <c r="AS329" s="53">
        <f t="shared" si="2311"/>
        <v>1</v>
      </c>
      <c r="AT329" s="54">
        <f t="shared" si="2312"/>
        <v>2</v>
      </c>
      <c r="AU329" s="53">
        <f t="shared" si="2313"/>
        <v>2</v>
      </c>
      <c r="AV329" s="54">
        <f t="shared" si="2314"/>
        <v>4</v>
      </c>
      <c r="AW329" s="53">
        <f t="shared" si="2315"/>
        <v>1</v>
      </c>
      <c r="AX329" s="54">
        <f t="shared" si="2316"/>
        <v>2</v>
      </c>
      <c r="AY329" s="53">
        <f t="shared" si="2317"/>
        <v>0</v>
      </c>
      <c r="AZ329" s="54">
        <f t="shared" si="2318"/>
        <v>0</v>
      </c>
      <c r="BA329" s="53">
        <f t="shared" si="2319"/>
        <v>1</v>
      </c>
      <c r="BB329" s="54">
        <f t="shared" si="2320"/>
        <v>3</v>
      </c>
      <c r="BC329" s="49">
        <f t="shared" ref="BC329:BD329" si="2321">SUM(AS329,AU329,AW329,AY329,BA329)</f>
        <v>5</v>
      </c>
      <c r="BD329" s="50">
        <f t="shared" si="2321"/>
        <v>11</v>
      </c>
      <c r="BE329" s="68">
        <f t="shared" ref="BE329:BF329" si="2322">SUM(E329,G329,I329,O329,Q329,AC329,AQ329,BC329)</f>
        <v>20</v>
      </c>
      <c r="BF329" s="69">
        <f t="shared" si="2322"/>
        <v>38</v>
      </c>
      <c r="BG329" s="46" t="str">
        <f>BF329*'ОВгП_РАО'!$B$3</f>
        <v>#REF!</v>
      </c>
      <c r="BH329" s="46" t="str">
        <f>'ОВгП_РАО'!$B$3</f>
        <v>#REF!</v>
      </c>
    </row>
    <row r="330" ht="15.75" customHeight="1">
      <c r="A330" s="80">
        <f t="shared" si="2323"/>
        <v>46270</v>
      </c>
      <c r="B330" s="45" t="s">
        <v>116</v>
      </c>
      <c r="C330" s="46" t="s">
        <v>96</v>
      </c>
      <c r="D330" s="47" t="s">
        <v>98</v>
      </c>
      <c r="E330" s="73">
        <f t="shared" si="2274"/>
        <v>2</v>
      </c>
      <c r="F330" s="50">
        <f t="shared" si="2275"/>
        <v>4</v>
      </c>
      <c r="G330" s="73">
        <f t="shared" si="2276"/>
        <v>2</v>
      </c>
      <c r="H330" s="50">
        <f t="shared" si="2277"/>
        <v>4</v>
      </c>
      <c r="I330" s="73">
        <f t="shared" si="2278"/>
        <v>1</v>
      </c>
      <c r="J330" s="50">
        <f t="shared" si="2279"/>
        <v>1</v>
      </c>
      <c r="K330" s="53">
        <f t="shared" si="2280"/>
        <v>1</v>
      </c>
      <c r="L330" s="54">
        <f t="shared" si="2281"/>
        <v>1</v>
      </c>
      <c r="M330" s="53">
        <f t="shared" si="2282"/>
        <v>1</v>
      </c>
      <c r="N330" s="54">
        <f t="shared" si="2283"/>
        <v>3</v>
      </c>
      <c r="O330" s="49">
        <f t="shared" ref="O330:P330" si="2324">SUM(K330,M330)</f>
        <v>2</v>
      </c>
      <c r="P330" s="50">
        <f t="shared" si="2324"/>
        <v>4</v>
      </c>
      <c r="Q330" s="73">
        <f t="shared" si="2285"/>
        <v>1</v>
      </c>
      <c r="R330" s="50">
        <f t="shared" si="2286"/>
        <v>3</v>
      </c>
      <c r="S330" s="53">
        <f t="shared" si="2287"/>
        <v>1</v>
      </c>
      <c r="T330" s="54">
        <f t="shared" si="2288"/>
        <v>1</v>
      </c>
      <c r="U330" s="53">
        <f t="shared" si="2289"/>
        <v>1</v>
      </c>
      <c r="V330" s="54">
        <f t="shared" si="2290"/>
        <v>3</v>
      </c>
      <c r="W330" s="53">
        <f t="shared" si="2291"/>
        <v>2</v>
      </c>
      <c r="X330" s="54">
        <f t="shared" si="2292"/>
        <v>4</v>
      </c>
      <c r="Y330" s="53">
        <f t="shared" si="2293"/>
        <v>0</v>
      </c>
      <c r="Z330" s="54">
        <f t="shared" si="2294"/>
        <v>0</v>
      </c>
      <c r="AA330" s="53">
        <f t="shared" si="2295"/>
        <v>0</v>
      </c>
      <c r="AB330" s="54">
        <f t="shared" si="2296"/>
        <v>0</v>
      </c>
      <c r="AC330" s="49">
        <f t="shared" ref="AC330:AD330" si="2325">SUM(S330,U330,W330,Y330,AA330)</f>
        <v>4</v>
      </c>
      <c r="AD330" s="50">
        <f t="shared" si="2325"/>
        <v>8</v>
      </c>
      <c r="AE330" s="53">
        <f t="shared" si="2298"/>
        <v>1</v>
      </c>
      <c r="AF330" s="54">
        <f t="shared" si="2299"/>
        <v>2</v>
      </c>
      <c r="AG330" s="53">
        <f t="shared" si="2300"/>
        <v>1</v>
      </c>
      <c r="AH330" s="54">
        <f t="shared" si="2301"/>
        <v>3</v>
      </c>
      <c r="AI330" s="53">
        <f t="shared" si="2302"/>
        <v>1</v>
      </c>
      <c r="AJ330" s="54">
        <f t="shared" si="2303"/>
        <v>3</v>
      </c>
      <c r="AK330" s="53">
        <f t="shared" si="2304"/>
        <v>1</v>
      </c>
      <c r="AL330" s="54">
        <f t="shared" si="2305"/>
        <v>3</v>
      </c>
      <c r="AM330" s="53">
        <f t="shared" si="2306"/>
        <v>1</v>
      </c>
      <c r="AN330" s="54">
        <f t="shared" si="2307"/>
        <v>2</v>
      </c>
      <c r="AO330" s="53">
        <f t="shared" si="2308"/>
        <v>2</v>
      </c>
      <c r="AP330" s="54">
        <f t="shared" si="2309"/>
        <v>4</v>
      </c>
      <c r="AQ330" s="49">
        <f t="shared" ref="AQ330:AR330" si="2326">SUM(AG330,AI330,AK330,AM330,AO330)</f>
        <v>6</v>
      </c>
      <c r="AR330" s="50">
        <f t="shared" si="2326"/>
        <v>15</v>
      </c>
      <c r="AS330" s="53">
        <f t="shared" si="2311"/>
        <v>1</v>
      </c>
      <c r="AT330" s="54">
        <f t="shared" si="2312"/>
        <v>1</v>
      </c>
      <c r="AU330" s="53">
        <f t="shared" si="2313"/>
        <v>1</v>
      </c>
      <c r="AV330" s="54">
        <f t="shared" si="2314"/>
        <v>2</v>
      </c>
      <c r="AW330" s="53">
        <f t="shared" si="2315"/>
        <v>0</v>
      </c>
      <c r="AX330" s="54">
        <f t="shared" si="2316"/>
        <v>0</v>
      </c>
      <c r="AY330" s="53">
        <f t="shared" si="2317"/>
        <v>1</v>
      </c>
      <c r="AZ330" s="54">
        <f t="shared" si="2318"/>
        <v>3</v>
      </c>
      <c r="BA330" s="53">
        <f t="shared" si="2319"/>
        <v>1</v>
      </c>
      <c r="BB330" s="54">
        <f t="shared" si="2320"/>
        <v>3</v>
      </c>
      <c r="BC330" s="49">
        <f t="shared" ref="BC330:BD330" si="2327">SUM(AS330,AU330,AW330,AY330,BA330)</f>
        <v>4</v>
      </c>
      <c r="BD330" s="50">
        <f t="shared" si="2327"/>
        <v>9</v>
      </c>
      <c r="BE330" s="68">
        <f t="shared" ref="BE330:BF330" si="2328">SUM(E330,G330,I330,O330,Q330,AC330,AQ330,BC330)</f>
        <v>22</v>
      </c>
      <c r="BF330" s="69">
        <f t="shared" si="2328"/>
        <v>48</v>
      </c>
      <c r="BG330" s="46" t="str">
        <f>BF330*'ОВгП_РАО'!$B$4</f>
        <v>#REF!</v>
      </c>
      <c r="BH330" s="46" t="str">
        <f>'ОВгП_РАО'!$B$4</f>
        <v>#REF!</v>
      </c>
    </row>
    <row r="331" ht="15.75" customHeight="1">
      <c r="A331" s="80">
        <f t="shared" si="2323"/>
        <v>46270</v>
      </c>
      <c r="B331" s="45" t="s">
        <v>117</v>
      </c>
      <c r="C331" s="46" t="s">
        <v>96</v>
      </c>
      <c r="D331" s="47" t="s">
        <v>98</v>
      </c>
      <c r="E331" s="73">
        <f t="shared" si="2274"/>
        <v>2</v>
      </c>
      <c r="F331" s="50">
        <f t="shared" si="2275"/>
        <v>4</v>
      </c>
      <c r="G331" s="73">
        <f t="shared" si="2276"/>
        <v>2</v>
      </c>
      <c r="H331" s="50">
        <f t="shared" si="2277"/>
        <v>4</v>
      </c>
      <c r="I331" s="73">
        <f t="shared" si="2278"/>
        <v>1</v>
      </c>
      <c r="J331" s="50">
        <f t="shared" si="2279"/>
        <v>1</v>
      </c>
      <c r="K331" s="53">
        <f t="shared" si="2280"/>
        <v>1</v>
      </c>
      <c r="L331" s="54">
        <f t="shared" si="2281"/>
        <v>3</v>
      </c>
      <c r="M331" s="53">
        <f t="shared" si="2282"/>
        <v>0</v>
      </c>
      <c r="N331" s="54">
        <f t="shared" si="2283"/>
        <v>0</v>
      </c>
      <c r="O331" s="49">
        <f t="shared" ref="O331:P331" si="2329">SUM(K331,M331)</f>
        <v>1</v>
      </c>
      <c r="P331" s="50">
        <f t="shared" si="2329"/>
        <v>3</v>
      </c>
      <c r="Q331" s="73">
        <f t="shared" si="2285"/>
        <v>0</v>
      </c>
      <c r="R331" s="50">
        <f t="shared" si="2286"/>
        <v>0</v>
      </c>
      <c r="S331" s="53">
        <f t="shared" si="2287"/>
        <v>0</v>
      </c>
      <c r="T331" s="54">
        <f t="shared" si="2288"/>
        <v>0</v>
      </c>
      <c r="U331" s="53">
        <f t="shared" si="2289"/>
        <v>1</v>
      </c>
      <c r="V331" s="54">
        <f t="shared" si="2290"/>
        <v>1</v>
      </c>
      <c r="W331" s="53">
        <f t="shared" si="2291"/>
        <v>1</v>
      </c>
      <c r="X331" s="54">
        <f t="shared" si="2292"/>
        <v>1</v>
      </c>
      <c r="Y331" s="53">
        <f t="shared" si="2293"/>
        <v>1</v>
      </c>
      <c r="Z331" s="54">
        <f t="shared" si="2294"/>
        <v>1</v>
      </c>
      <c r="AA331" s="53">
        <f t="shared" si="2295"/>
        <v>1</v>
      </c>
      <c r="AB331" s="54">
        <f t="shared" si="2296"/>
        <v>1</v>
      </c>
      <c r="AC331" s="49">
        <f t="shared" ref="AC331:AD331" si="2330">SUM(S331,U331,W331,Y331,AA331)</f>
        <v>4</v>
      </c>
      <c r="AD331" s="50">
        <f t="shared" si="2330"/>
        <v>4</v>
      </c>
      <c r="AE331" s="53">
        <f t="shared" si="2298"/>
        <v>1</v>
      </c>
      <c r="AF331" s="54">
        <f t="shared" si="2299"/>
        <v>2</v>
      </c>
      <c r="AG331" s="53">
        <f t="shared" si="2300"/>
        <v>1</v>
      </c>
      <c r="AH331" s="54">
        <f t="shared" si="2301"/>
        <v>1</v>
      </c>
      <c r="AI331" s="53">
        <f t="shared" si="2302"/>
        <v>1</v>
      </c>
      <c r="AJ331" s="54">
        <f t="shared" si="2303"/>
        <v>1</v>
      </c>
      <c r="AK331" s="53">
        <f t="shared" si="2304"/>
        <v>1</v>
      </c>
      <c r="AL331" s="54">
        <f t="shared" si="2305"/>
        <v>3</v>
      </c>
      <c r="AM331" s="53">
        <f t="shared" si="2306"/>
        <v>2</v>
      </c>
      <c r="AN331" s="54">
        <f t="shared" si="2307"/>
        <v>4</v>
      </c>
      <c r="AO331" s="53">
        <f t="shared" si="2308"/>
        <v>0</v>
      </c>
      <c r="AP331" s="54">
        <f t="shared" si="2309"/>
        <v>0</v>
      </c>
      <c r="AQ331" s="49">
        <f t="shared" ref="AQ331:AR331" si="2331">SUM(AG331,AI331,AK331,AM331,AO331)</f>
        <v>5</v>
      </c>
      <c r="AR331" s="50">
        <f t="shared" si="2331"/>
        <v>9</v>
      </c>
      <c r="AS331" s="53">
        <f t="shared" si="2311"/>
        <v>2</v>
      </c>
      <c r="AT331" s="54">
        <f t="shared" si="2312"/>
        <v>4</v>
      </c>
      <c r="AU331" s="53">
        <f t="shared" si="2313"/>
        <v>1</v>
      </c>
      <c r="AV331" s="54">
        <f t="shared" si="2314"/>
        <v>1</v>
      </c>
      <c r="AW331" s="53">
        <f t="shared" si="2315"/>
        <v>1</v>
      </c>
      <c r="AX331" s="54">
        <f t="shared" si="2316"/>
        <v>2</v>
      </c>
      <c r="AY331" s="53">
        <f t="shared" si="2317"/>
        <v>1</v>
      </c>
      <c r="AZ331" s="54">
        <f t="shared" si="2318"/>
        <v>1</v>
      </c>
      <c r="BA331" s="53">
        <f t="shared" si="2319"/>
        <v>1</v>
      </c>
      <c r="BB331" s="54">
        <f t="shared" si="2320"/>
        <v>3</v>
      </c>
      <c r="BC331" s="49">
        <f t="shared" ref="BC331:BD331" si="2332">SUM(AS331,AU331,AW331,AY331,BA331)</f>
        <v>6</v>
      </c>
      <c r="BD331" s="50">
        <f t="shared" si="2332"/>
        <v>11</v>
      </c>
      <c r="BE331" s="68">
        <f t="shared" ref="BE331:BF331" si="2333">SUM(E331,G331,I331,O331,Q331,AC331,AQ331,BC331)</f>
        <v>21</v>
      </c>
      <c r="BF331" s="69">
        <f t="shared" si="2333"/>
        <v>36</v>
      </c>
      <c r="BG331" s="46" t="str">
        <f>BF331*'ОВгП_РАО'!$B$5</f>
        <v>#REF!</v>
      </c>
      <c r="BH331" s="46" t="str">
        <f>'ОВгП_РАО'!$B$5</f>
        <v>#REF!</v>
      </c>
    </row>
    <row r="332" ht="15.75" customHeight="1">
      <c r="A332" s="80">
        <f t="shared" si="2323"/>
        <v>46270</v>
      </c>
      <c r="B332" s="45" t="s">
        <v>118</v>
      </c>
      <c r="C332" s="45" t="s">
        <v>96</v>
      </c>
      <c r="D332" s="47" t="s">
        <v>98</v>
      </c>
      <c r="E332" s="73">
        <f t="shared" si="2274"/>
        <v>1</v>
      </c>
      <c r="F332" s="50">
        <f t="shared" si="2275"/>
        <v>1</v>
      </c>
      <c r="G332" s="73">
        <f t="shared" si="2276"/>
        <v>1</v>
      </c>
      <c r="H332" s="50">
        <f t="shared" si="2277"/>
        <v>2</v>
      </c>
      <c r="I332" s="73">
        <f t="shared" si="2278"/>
        <v>2</v>
      </c>
      <c r="J332" s="50">
        <f t="shared" si="2279"/>
        <v>4</v>
      </c>
      <c r="K332" s="53">
        <f t="shared" si="2280"/>
        <v>0</v>
      </c>
      <c r="L332" s="54">
        <f t="shared" si="2281"/>
        <v>0</v>
      </c>
      <c r="M332" s="53">
        <f t="shared" si="2282"/>
        <v>1</v>
      </c>
      <c r="N332" s="54">
        <f t="shared" si="2283"/>
        <v>1</v>
      </c>
      <c r="O332" s="49">
        <f t="shared" ref="O332:P332" si="2334">SUM(K332,M332)</f>
        <v>1</v>
      </c>
      <c r="P332" s="50">
        <f t="shared" si="2334"/>
        <v>1</v>
      </c>
      <c r="Q332" s="73">
        <f t="shared" si="2285"/>
        <v>1</v>
      </c>
      <c r="R332" s="50">
        <f t="shared" si="2286"/>
        <v>3</v>
      </c>
      <c r="S332" s="53">
        <f t="shared" si="2287"/>
        <v>2</v>
      </c>
      <c r="T332" s="54">
        <f t="shared" si="2288"/>
        <v>4</v>
      </c>
      <c r="U332" s="53">
        <f t="shared" si="2289"/>
        <v>0</v>
      </c>
      <c r="V332" s="54">
        <f t="shared" si="2290"/>
        <v>0</v>
      </c>
      <c r="W332" s="53">
        <f t="shared" si="2291"/>
        <v>2</v>
      </c>
      <c r="X332" s="54">
        <f t="shared" si="2292"/>
        <v>4</v>
      </c>
      <c r="Y332" s="53">
        <f t="shared" si="2293"/>
        <v>1</v>
      </c>
      <c r="Z332" s="54">
        <f t="shared" si="2294"/>
        <v>3</v>
      </c>
      <c r="AA332" s="53">
        <f t="shared" si="2295"/>
        <v>1</v>
      </c>
      <c r="AB332" s="54">
        <f t="shared" si="2296"/>
        <v>2</v>
      </c>
      <c r="AC332" s="49">
        <f t="shared" ref="AC332:AD332" si="2335">SUM(S332,U332,W332,Y332,AA332)</f>
        <v>6</v>
      </c>
      <c r="AD332" s="50">
        <f t="shared" si="2335"/>
        <v>13</v>
      </c>
      <c r="AE332" s="53">
        <f t="shared" si="2298"/>
        <v>1</v>
      </c>
      <c r="AF332" s="54">
        <f t="shared" si="2299"/>
        <v>2</v>
      </c>
      <c r="AG332" s="53">
        <f t="shared" si="2300"/>
        <v>0</v>
      </c>
      <c r="AH332" s="54">
        <f t="shared" si="2301"/>
        <v>0</v>
      </c>
      <c r="AI332" s="53">
        <f t="shared" si="2302"/>
        <v>1</v>
      </c>
      <c r="AJ332" s="54">
        <f t="shared" si="2303"/>
        <v>3</v>
      </c>
      <c r="AK332" s="53">
        <f t="shared" si="2304"/>
        <v>1</v>
      </c>
      <c r="AL332" s="54">
        <f t="shared" si="2305"/>
        <v>2</v>
      </c>
      <c r="AM332" s="53">
        <f t="shared" si="2306"/>
        <v>1</v>
      </c>
      <c r="AN332" s="54">
        <f t="shared" si="2307"/>
        <v>2</v>
      </c>
      <c r="AO332" s="53">
        <f t="shared" si="2308"/>
        <v>1</v>
      </c>
      <c r="AP332" s="54">
        <f t="shared" si="2309"/>
        <v>2</v>
      </c>
      <c r="AQ332" s="49">
        <f t="shared" ref="AQ332:AR332" si="2336">SUM(AG332,AI332,AK332,AM332,AO332)</f>
        <v>4</v>
      </c>
      <c r="AR332" s="50">
        <f t="shared" si="2336"/>
        <v>9</v>
      </c>
      <c r="AS332" s="53">
        <f t="shared" si="2311"/>
        <v>1</v>
      </c>
      <c r="AT332" s="54">
        <f t="shared" si="2312"/>
        <v>1</v>
      </c>
      <c r="AU332" s="53">
        <f t="shared" si="2313"/>
        <v>1</v>
      </c>
      <c r="AV332" s="54">
        <f t="shared" si="2314"/>
        <v>1</v>
      </c>
      <c r="AW332" s="53">
        <f t="shared" si="2315"/>
        <v>1</v>
      </c>
      <c r="AX332" s="54">
        <f t="shared" si="2316"/>
        <v>1</v>
      </c>
      <c r="AY332" s="53">
        <f t="shared" si="2317"/>
        <v>1</v>
      </c>
      <c r="AZ332" s="54">
        <f t="shared" si="2318"/>
        <v>2</v>
      </c>
      <c r="BA332" s="53">
        <f t="shared" si="2319"/>
        <v>1</v>
      </c>
      <c r="BB332" s="54">
        <f t="shared" si="2320"/>
        <v>2</v>
      </c>
      <c r="BC332" s="49">
        <f t="shared" ref="BC332:BD332" si="2337">SUM(AS332,AU332,AW332,AY332,BA332)</f>
        <v>5</v>
      </c>
      <c r="BD332" s="50">
        <f t="shared" si="2337"/>
        <v>7</v>
      </c>
      <c r="BE332" s="68">
        <f t="shared" ref="BE332:BF332" si="2338">SUM(E332,G332,I332,O332,Q332,AC332,AQ332,BC332)</f>
        <v>21</v>
      </c>
      <c r="BF332" s="69">
        <f t="shared" si="2338"/>
        <v>40</v>
      </c>
      <c r="BG332" s="46" t="str">
        <f>BF332*'ОВгП_РАО'!$B$6</f>
        <v>#REF!</v>
      </c>
      <c r="BH332" s="46" t="str">
        <f>'ОВгП_РАО'!$B$6</f>
        <v>#REF!</v>
      </c>
    </row>
    <row r="333" ht="15.75" customHeight="1">
      <c r="A333" s="80">
        <f t="shared" si="2323"/>
        <v>46270</v>
      </c>
      <c r="B333" s="46" t="s">
        <v>119</v>
      </c>
      <c r="C333" s="45" t="s">
        <v>96</v>
      </c>
      <c r="D333" s="47" t="s">
        <v>120</v>
      </c>
      <c r="E333" s="73">
        <f t="shared" si="2274"/>
        <v>1</v>
      </c>
      <c r="F333" s="50">
        <f t="shared" si="2275"/>
        <v>1</v>
      </c>
      <c r="G333" s="73">
        <f t="shared" si="2276"/>
        <v>1</v>
      </c>
      <c r="H333" s="50">
        <f t="shared" si="2277"/>
        <v>2</v>
      </c>
      <c r="I333" s="73">
        <f t="shared" si="2278"/>
        <v>1</v>
      </c>
      <c r="J333" s="50">
        <f t="shared" si="2279"/>
        <v>2</v>
      </c>
      <c r="K333" s="53">
        <f t="shared" si="2280"/>
        <v>1</v>
      </c>
      <c r="L333" s="54">
        <f t="shared" si="2281"/>
        <v>1</v>
      </c>
      <c r="M333" s="53">
        <f t="shared" si="2282"/>
        <v>1</v>
      </c>
      <c r="N333" s="54">
        <f t="shared" si="2283"/>
        <v>1</v>
      </c>
      <c r="O333" s="49">
        <f t="shared" ref="O333:P333" si="2339">SUM(K333,M333)</f>
        <v>2</v>
      </c>
      <c r="P333" s="50">
        <f t="shared" si="2339"/>
        <v>2</v>
      </c>
      <c r="Q333" s="73">
        <f t="shared" si="2285"/>
        <v>1</v>
      </c>
      <c r="R333" s="50">
        <f t="shared" si="2286"/>
        <v>3</v>
      </c>
      <c r="S333" s="53">
        <f t="shared" si="2287"/>
        <v>1</v>
      </c>
      <c r="T333" s="54">
        <f t="shared" si="2288"/>
        <v>2</v>
      </c>
      <c r="U333" s="53">
        <f t="shared" si="2289"/>
        <v>2</v>
      </c>
      <c r="V333" s="54">
        <f t="shared" si="2290"/>
        <v>4</v>
      </c>
      <c r="W333" s="53">
        <f t="shared" si="2291"/>
        <v>1</v>
      </c>
      <c r="X333" s="54">
        <f t="shared" si="2292"/>
        <v>3</v>
      </c>
      <c r="Y333" s="53">
        <f t="shared" si="2293"/>
        <v>1</v>
      </c>
      <c r="Z333" s="54">
        <f t="shared" si="2294"/>
        <v>3</v>
      </c>
      <c r="AA333" s="53">
        <f t="shared" si="2295"/>
        <v>0</v>
      </c>
      <c r="AB333" s="54">
        <f t="shared" si="2296"/>
        <v>0</v>
      </c>
      <c r="AC333" s="49">
        <f t="shared" ref="AC333:AD333" si="2340">SUM(S333,U333,W333,Y333,AA333)</f>
        <v>5</v>
      </c>
      <c r="AD333" s="50">
        <f t="shared" si="2340"/>
        <v>12</v>
      </c>
      <c r="AE333" s="53">
        <f t="shared" si="2298"/>
        <v>2</v>
      </c>
      <c r="AF333" s="54">
        <f t="shared" si="2299"/>
        <v>4</v>
      </c>
      <c r="AG333" s="53">
        <f t="shared" si="2300"/>
        <v>1</v>
      </c>
      <c r="AH333" s="54">
        <f t="shared" si="2301"/>
        <v>1</v>
      </c>
      <c r="AI333" s="53">
        <f t="shared" si="2302"/>
        <v>1</v>
      </c>
      <c r="AJ333" s="54">
        <f t="shared" si="2303"/>
        <v>2</v>
      </c>
      <c r="AK333" s="53">
        <f t="shared" si="2304"/>
        <v>2</v>
      </c>
      <c r="AL333" s="54">
        <f t="shared" si="2305"/>
        <v>4</v>
      </c>
      <c r="AM333" s="53">
        <f t="shared" si="2306"/>
        <v>1</v>
      </c>
      <c r="AN333" s="54">
        <f t="shared" si="2307"/>
        <v>1</v>
      </c>
      <c r="AO333" s="53">
        <f t="shared" si="2308"/>
        <v>2</v>
      </c>
      <c r="AP333" s="54">
        <f t="shared" si="2309"/>
        <v>4</v>
      </c>
      <c r="AQ333" s="49">
        <f t="shared" ref="AQ333:AR333" si="2341">SUM(AG333,AI333,AK333,AM333,AO333)</f>
        <v>7</v>
      </c>
      <c r="AR333" s="50">
        <f t="shared" si="2341"/>
        <v>12</v>
      </c>
      <c r="AS333" s="53">
        <f t="shared" si="2311"/>
        <v>1</v>
      </c>
      <c r="AT333" s="54">
        <f t="shared" si="2312"/>
        <v>1</v>
      </c>
      <c r="AU333" s="53">
        <f t="shared" si="2313"/>
        <v>0</v>
      </c>
      <c r="AV333" s="54">
        <f t="shared" si="2314"/>
        <v>0</v>
      </c>
      <c r="AW333" s="53">
        <f t="shared" si="2315"/>
        <v>2</v>
      </c>
      <c r="AX333" s="54">
        <f t="shared" si="2316"/>
        <v>4</v>
      </c>
      <c r="AY333" s="53">
        <f t="shared" si="2317"/>
        <v>1</v>
      </c>
      <c r="AZ333" s="54">
        <f t="shared" si="2318"/>
        <v>1</v>
      </c>
      <c r="BA333" s="53">
        <f t="shared" si="2319"/>
        <v>1</v>
      </c>
      <c r="BB333" s="54">
        <f t="shared" si="2320"/>
        <v>1</v>
      </c>
      <c r="BC333" s="49">
        <f t="shared" ref="BC333:BD333" si="2342">SUM(AS333,AU333,AW333,AY333,BA333)</f>
        <v>5</v>
      </c>
      <c r="BD333" s="50">
        <f t="shared" si="2342"/>
        <v>7</v>
      </c>
      <c r="BE333" s="68">
        <f t="shared" ref="BE333:BF333" si="2343">SUM(E333,G333,I333,O333,Q333,AC333,AQ333,BC333)</f>
        <v>23</v>
      </c>
      <c r="BF333" s="69">
        <f t="shared" si="2343"/>
        <v>41</v>
      </c>
      <c r="BG333" s="46" t="str">
        <f>BF333*'ОВгП_РАО'!$B$7</f>
        <v>#REF!</v>
      </c>
      <c r="BH333" s="46" t="str">
        <f>'ОВгП_РАО'!$B$7</f>
        <v>#REF!</v>
      </c>
    </row>
    <row r="334" ht="15.75" customHeight="1">
      <c r="A334" s="80">
        <f t="shared" si="2323"/>
        <v>46270</v>
      </c>
      <c r="B334" s="45" t="s">
        <v>121</v>
      </c>
      <c r="C334" s="47" t="s">
        <v>122</v>
      </c>
      <c r="D334" s="47" t="s">
        <v>123</v>
      </c>
      <c r="E334" s="73">
        <f t="shared" si="2274"/>
        <v>1</v>
      </c>
      <c r="F334" s="50">
        <f t="shared" si="2275"/>
        <v>2</v>
      </c>
      <c r="G334" s="73">
        <f t="shared" si="2276"/>
        <v>1</v>
      </c>
      <c r="H334" s="50">
        <f t="shared" si="2277"/>
        <v>1</v>
      </c>
      <c r="I334" s="73">
        <f t="shared" si="2278"/>
        <v>1</v>
      </c>
      <c r="J334" s="50">
        <f t="shared" si="2279"/>
        <v>3</v>
      </c>
      <c r="K334" s="53">
        <f t="shared" si="2280"/>
        <v>1</v>
      </c>
      <c r="L334" s="54">
        <f t="shared" si="2281"/>
        <v>1</v>
      </c>
      <c r="M334" s="53">
        <f t="shared" si="2282"/>
        <v>1</v>
      </c>
      <c r="N334" s="54">
        <f t="shared" si="2283"/>
        <v>2</v>
      </c>
      <c r="O334" s="49">
        <f t="shared" ref="O334:P334" si="2344">SUM(K334,M334)</f>
        <v>2</v>
      </c>
      <c r="P334" s="50">
        <f t="shared" si="2344"/>
        <v>3</v>
      </c>
      <c r="Q334" s="73">
        <f t="shared" si="2285"/>
        <v>1</v>
      </c>
      <c r="R334" s="50">
        <f t="shared" si="2286"/>
        <v>3</v>
      </c>
      <c r="S334" s="53">
        <f t="shared" si="2287"/>
        <v>1</v>
      </c>
      <c r="T334" s="54">
        <f t="shared" si="2288"/>
        <v>2</v>
      </c>
      <c r="U334" s="53">
        <f t="shared" si="2289"/>
        <v>1</v>
      </c>
      <c r="V334" s="54">
        <f t="shared" si="2290"/>
        <v>1</v>
      </c>
      <c r="W334" s="53">
        <f t="shared" si="2291"/>
        <v>1</v>
      </c>
      <c r="X334" s="54">
        <f t="shared" si="2292"/>
        <v>2</v>
      </c>
      <c r="Y334" s="53">
        <f t="shared" si="2293"/>
        <v>2</v>
      </c>
      <c r="Z334" s="54">
        <f t="shared" si="2294"/>
        <v>4</v>
      </c>
      <c r="AA334" s="53">
        <f t="shared" si="2295"/>
        <v>1</v>
      </c>
      <c r="AB334" s="54">
        <f t="shared" si="2296"/>
        <v>1</v>
      </c>
      <c r="AC334" s="49">
        <f t="shared" ref="AC334:AD334" si="2345">SUM(S334,U334,W334,Y334,AA334)</f>
        <v>6</v>
      </c>
      <c r="AD334" s="50">
        <f t="shared" si="2345"/>
        <v>10</v>
      </c>
      <c r="AE334" s="53">
        <f t="shared" si="2298"/>
        <v>2</v>
      </c>
      <c r="AF334" s="54">
        <f t="shared" si="2299"/>
        <v>4</v>
      </c>
      <c r="AG334" s="53">
        <f t="shared" si="2300"/>
        <v>2</v>
      </c>
      <c r="AH334" s="54">
        <f t="shared" si="2301"/>
        <v>4</v>
      </c>
      <c r="AI334" s="53">
        <f t="shared" si="2302"/>
        <v>2</v>
      </c>
      <c r="AJ334" s="54">
        <f t="shared" si="2303"/>
        <v>4</v>
      </c>
      <c r="AK334" s="53">
        <f t="shared" si="2304"/>
        <v>1</v>
      </c>
      <c r="AL334" s="54">
        <f t="shared" si="2305"/>
        <v>1</v>
      </c>
      <c r="AM334" s="53">
        <f t="shared" si="2306"/>
        <v>0</v>
      </c>
      <c r="AN334" s="54">
        <f t="shared" si="2307"/>
        <v>0</v>
      </c>
      <c r="AO334" s="53">
        <f t="shared" si="2308"/>
        <v>1</v>
      </c>
      <c r="AP334" s="54">
        <f t="shared" si="2309"/>
        <v>2</v>
      </c>
      <c r="AQ334" s="49">
        <f t="shared" ref="AQ334:AR334" si="2346">SUM(AG334,AI334,AK334,AM334,AO334)</f>
        <v>6</v>
      </c>
      <c r="AR334" s="50">
        <f t="shared" si="2346"/>
        <v>11</v>
      </c>
      <c r="AS334" s="53">
        <f t="shared" si="2311"/>
        <v>1</v>
      </c>
      <c r="AT334" s="54">
        <f t="shared" si="2312"/>
        <v>3</v>
      </c>
      <c r="AU334" s="53">
        <f t="shared" si="2313"/>
        <v>1</v>
      </c>
      <c r="AV334" s="54">
        <f t="shared" si="2314"/>
        <v>2</v>
      </c>
      <c r="AW334" s="53">
        <f t="shared" si="2315"/>
        <v>1</v>
      </c>
      <c r="AX334" s="54">
        <f t="shared" si="2316"/>
        <v>1</v>
      </c>
      <c r="AY334" s="53">
        <f t="shared" si="2317"/>
        <v>2</v>
      </c>
      <c r="AZ334" s="54">
        <f t="shared" si="2318"/>
        <v>4</v>
      </c>
      <c r="BA334" s="53">
        <f t="shared" si="2319"/>
        <v>0</v>
      </c>
      <c r="BB334" s="54">
        <f t="shared" si="2320"/>
        <v>0</v>
      </c>
      <c r="BC334" s="49">
        <f t="shared" ref="BC334:BD334" si="2347">SUM(AS334,AU334,AW334,AY334,BA334)</f>
        <v>5</v>
      </c>
      <c r="BD334" s="50">
        <f t="shared" si="2347"/>
        <v>10</v>
      </c>
      <c r="BE334" s="68">
        <f t="shared" ref="BE334:BF334" si="2348">SUM(E334,G334,I334,O334,Q334,AC334,AQ334,BC334)</f>
        <v>23</v>
      </c>
      <c r="BF334" s="69">
        <f t="shared" si="2348"/>
        <v>43</v>
      </c>
      <c r="BG334" s="46" t="str">
        <f>BF334*'ОВгП_РАО'!$B$8</f>
        <v>#REF!</v>
      </c>
      <c r="BH334" s="46" t="str">
        <f>'ОВгП_РАО'!$B$8</f>
        <v>#REF!</v>
      </c>
    </row>
    <row r="335" ht="15.75" customHeight="1">
      <c r="A335" s="80">
        <f t="shared" si="2323"/>
        <v>46270</v>
      </c>
      <c r="B335" s="46" t="s">
        <v>124</v>
      </c>
      <c r="C335" s="46" t="s">
        <v>125</v>
      </c>
      <c r="D335" s="46" t="s">
        <v>126</v>
      </c>
      <c r="E335" s="73">
        <f t="shared" si="2274"/>
        <v>1</v>
      </c>
      <c r="F335" s="50">
        <f t="shared" si="2275"/>
        <v>3</v>
      </c>
      <c r="G335" s="73">
        <f t="shared" si="2276"/>
        <v>0</v>
      </c>
      <c r="H335" s="50">
        <f t="shared" si="2277"/>
        <v>0</v>
      </c>
      <c r="I335" s="73">
        <f t="shared" si="2278"/>
        <v>2</v>
      </c>
      <c r="J335" s="50">
        <f t="shared" si="2279"/>
        <v>4</v>
      </c>
      <c r="K335" s="53">
        <f t="shared" si="2280"/>
        <v>0</v>
      </c>
      <c r="L335" s="54">
        <f t="shared" si="2281"/>
        <v>0</v>
      </c>
      <c r="M335" s="53">
        <f t="shared" si="2282"/>
        <v>1</v>
      </c>
      <c r="N335" s="54">
        <f t="shared" si="2283"/>
        <v>1</v>
      </c>
      <c r="O335" s="49">
        <f t="shared" ref="O335:P335" si="2349">SUM(K335,M335)</f>
        <v>1</v>
      </c>
      <c r="P335" s="50">
        <f t="shared" si="2349"/>
        <v>1</v>
      </c>
      <c r="Q335" s="73">
        <f t="shared" si="2285"/>
        <v>1</v>
      </c>
      <c r="R335" s="50">
        <f t="shared" si="2286"/>
        <v>2</v>
      </c>
      <c r="S335" s="53">
        <f t="shared" si="2287"/>
        <v>1</v>
      </c>
      <c r="T335" s="54">
        <f t="shared" si="2288"/>
        <v>3</v>
      </c>
      <c r="U335" s="53">
        <f t="shared" si="2289"/>
        <v>0</v>
      </c>
      <c r="V335" s="54">
        <f t="shared" si="2290"/>
        <v>0</v>
      </c>
      <c r="W335" s="53">
        <f t="shared" si="2291"/>
        <v>0</v>
      </c>
      <c r="X335" s="54">
        <f t="shared" si="2292"/>
        <v>0</v>
      </c>
      <c r="Y335" s="53">
        <f t="shared" si="2293"/>
        <v>1</v>
      </c>
      <c r="Z335" s="54">
        <f t="shared" si="2294"/>
        <v>1</v>
      </c>
      <c r="AA335" s="53">
        <f t="shared" si="2295"/>
        <v>1</v>
      </c>
      <c r="AB335" s="54">
        <f t="shared" si="2296"/>
        <v>3</v>
      </c>
      <c r="AC335" s="49">
        <f t="shared" ref="AC335:AD335" si="2350">SUM(S335,U335,W335,Y335,AA335)</f>
        <v>3</v>
      </c>
      <c r="AD335" s="50">
        <f t="shared" si="2350"/>
        <v>7</v>
      </c>
      <c r="AE335" s="53">
        <f t="shared" si="2298"/>
        <v>2</v>
      </c>
      <c r="AF335" s="54">
        <f t="shared" si="2299"/>
        <v>4</v>
      </c>
      <c r="AG335" s="53">
        <f t="shared" si="2300"/>
        <v>1</v>
      </c>
      <c r="AH335" s="54">
        <f t="shared" si="2301"/>
        <v>2</v>
      </c>
      <c r="AI335" s="53">
        <f t="shared" si="2302"/>
        <v>0</v>
      </c>
      <c r="AJ335" s="54">
        <f t="shared" si="2303"/>
        <v>0</v>
      </c>
      <c r="AK335" s="53">
        <f t="shared" si="2304"/>
        <v>1</v>
      </c>
      <c r="AL335" s="54">
        <f t="shared" si="2305"/>
        <v>3</v>
      </c>
      <c r="AM335" s="53">
        <f t="shared" si="2306"/>
        <v>0</v>
      </c>
      <c r="AN335" s="54">
        <f t="shared" si="2307"/>
        <v>0</v>
      </c>
      <c r="AO335" s="53">
        <f t="shared" si="2308"/>
        <v>0</v>
      </c>
      <c r="AP335" s="54">
        <f t="shared" si="2309"/>
        <v>0</v>
      </c>
      <c r="AQ335" s="49">
        <f t="shared" ref="AQ335:AR335" si="2351">SUM(AG335,AI335,AK335,AM335,AO335)</f>
        <v>2</v>
      </c>
      <c r="AR335" s="50">
        <f t="shared" si="2351"/>
        <v>5</v>
      </c>
      <c r="AS335" s="53">
        <f t="shared" si="2311"/>
        <v>1</v>
      </c>
      <c r="AT335" s="54">
        <f t="shared" si="2312"/>
        <v>1</v>
      </c>
      <c r="AU335" s="53">
        <f t="shared" si="2313"/>
        <v>0</v>
      </c>
      <c r="AV335" s="54">
        <f t="shared" si="2314"/>
        <v>0</v>
      </c>
      <c r="AW335" s="53">
        <f t="shared" si="2315"/>
        <v>0</v>
      </c>
      <c r="AX335" s="54">
        <f t="shared" si="2316"/>
        <v>0</v>
      </c>
      <c r="AY335" s="53">
        <f t="shared" si="2317"/>
        <v>2</v>
      </c>
      <c r="AZ335" s="54">
        <f t="shared" si="2318"/>
        <v>4</v>
      </c>
      <c r="BA335" s="53">
        <f t="shared" si="2319"/>
        <v>1</v>
      </c>
      <c r="BB335" s="54">
        <f t="shared" si="2320"/>
        <v>1</v>
      </c>
      <c r="BC335" s="49">
        <f t="shared" ref="BC335:BD335" si="2352">SUM(AS335,AU335,AW335,AY335,BA335)</f>
        <v>4</v>
      </c>
      <c r="BD335" s="50">
        <f t="shared" si="2352"/>
        <v>6</v>
      </c>
      <c r="BE335" s="68">
        <f t="shared" ref="BE335:BF335" si="2353">SUM(E335,G335,I335,O335,Q335,AC335,AQ335,BC335)</f>
        <v>14</v>
      </c>
      <c r="BF335" s="69">
        <f t="shared" si="2353"/>
        <v>28</v>
      </c>
      <c r="BG335" s="46" t="str">
        <f>BF335*'ОВгП_РАО'!$B$9</f>
        <v>#REF!</v>
      </c>
      <c r="BH335" s="46" t="str">
        <f>'ОВгП_РАО'!$B$9</f>
        <v>#REF!</v>
      </c>
    </row>
    <row r="336" ht="15.75" customHeight="1">
      <c r="A336" s="80">
        <f t="shared" si="2323"/>
        <v>46270</v>
      </c>
      <c r="B336" s="46" t="s">
        <v>127</v>
      </c>
      <c r="C336" s="46" t="s">
        <v>125</v>
      </c>
      <c r="D336" s="46" t="s">
        <v>126</v>
      </c>
      <c r="E336" s="73">
        <f t="shared" si="2274"/>
        <v>1</v>
      </c>
      <c r="F336" s="50">
        <f t="shared" si="2275"/>
        <v>2</v>
      </c>
      <c r="G336" s="73">
        <f t="shared" si="2276"/>
        <v>0</v>
      </c>
      <c r="H336" s="50">
        <f t="shared" si="2277"/>
        <v>0</v>
      </c>
      <c r="I336" s="73">
        <f t="shared" si="2278"/>
        <v>2</v>
      </c>
      <c r="J336" s="50">
        <f t="shared" si="2279"/>
        <v>4</v>
      </c>
      <c r="K336" s="53">
        <f t="shared" si="2280"/>
        <v>1</v>
      </c>
      <c r="L336" s="54">
        <f t="shared" si="2281"/>
        <v>2</v>
      </c>
      <c r="M336" s="53">
        <f t="shared" si="2282"/>
        <v>0</v>
      </c>
      <c r="N336" s="54">
        <f t="shared" si="2283"/>
        <v>0</v>
      </c>
      <c r="O336" s="49">
        <f t="shared" ref="O336:P336" si="2354">SUM(K336,M336)</f>
        <v>1</v>
      </c>
      <c r="P336" s="50">
        <f t="shared" si="2354"/>
        <v>2</v>
      </c>
      <c r="Q336" s="73">
        <f t="shared" si="2285"/>
        <v>1</v>
      </c>
      <c r="R336" s="50">
        <f t="shared" si="2286"/>
        <v>2</v>
      </c>
      <c r="S336" s="53">
        <f t="shared" si="2287"/>
        <v>1</v>
      </c>
      <c r="T336" s="54">
        <f t="shared" si="2288"/>
        <v>2</v>
      </c>
      <c r="U336" s="53">
        <f t="shared" si="2289"/>
        <v>1</v>
      </c>
      <c r="V336" s="54">
        <f t="shared" si="2290"/>
        <v>3</v>
      </c>
      <c r="W336" s="53">
        <f t="shared" si="2291"/>
        <v>0</v>
      </c>
      <c r="X336" s="54">
        <f t="shared" si="2292"/>
        <v>0</v>
      </c>
      <c r="Y336" s="53">
        <f t="shared" si="2293"/>
        <v>0</v>
      </c>
      <c r="Z336" s="54">
        <f t="shared" si="2294"/>
        <v>0</v>
      </c>
      <c r="AA336" s="53">
        <f t="shared" si="2295"/>
        <v>1</v>
      </c>
      <c r="AB336" s="54">
        <f t="shared" si="2296"/>
        <v>1</v>
      </c>
      <c r="AC336" s="49">
        <f t="shared" ref="AC336:AD336" si="2355">SUM(S336,U336,W336,Y336,AA336)</f>
        <v>3</v>
      </c>
      <c r="AD336" s="50">
        <f t="shared" si="2355"/>
        <v>6</v>
      </c>
      <c r="AE336" s="53">
        <f t="shared" si="2298"/>
        <v>0</v>
      </c>
      <c r="AF336" s="54">
        <f t="shared" si="2299"/>
        <v>0</v>
      </c>
      <c r="AG336" s="53">
        <f t="shared" si="2300"/>
        <v>0</v>
      </c>
      <c r="AH336" s="54">
        <f t="shared" si="2301"/>
        <v>0</v>
      </c>
      <c r="AI336" s="53">
        <f t="shared" si="2302"/>
        <v>0</v>
      </c>
      <c r="AJ336" s="54">
        <f t="shared" si="2303"/>
        <v>0</v>
      </c>
      <c r="AK336" s="53">
        <f t="shared" si="2304"/>
        <v>2</v>
      </c>
      <c r="AL336" s="54">
        <f t="shared" si="2305"/>
        <v>4</v>
      </c>
      <c r="AM336" s="53">
        <f t="shared" si="2306"/>
        <v>1</v>
      </c>
      <c r="AN336" s="54">
        <f t="shared" si="2307"/>
        <v>2</v>
      </c>
      <c r="AO336" s="53">
        <f t="shared" si="2308"/>
        <v>1</v>
      </c>
      <c r="AP336" s="54">
        <f t="shared" si="2309"/>
        <v>2</v>
      </c>
      <c r="AQ336" s="49">
        <f t="shared" ref="AQ336:AR336" si="2356">SUM(AG336,AI336,AK336,AM336,AO336)</f>
        <v>4</v>
      </c>
      <c r="AR336" s="50">
        <f t="shared" si="2356"/>
        <v>8</v>
      </c>
      <c r="AS336" s="53">
        <f t="shared" si="2311"/>
        <v>1</v>
      </c>
      <c r="AT336" s="54">
        <f t="shared" si="2312"/>
        <v>1</v>
      </c>
      <c r="AU336" s="53">
        <f t="shared" si="2313"/>
        <v>1</v>
      </c>
      <c r="AV336" s="54">
        <f t="shared" si="2314"/>
        <v>2</v>
      </c>
      <c r="AW336" s="53">
        <f t="shared" si="2315"/>
        <v>0</v>
      </c>
      <c r="AX336" s="54">
        <f t="shared" si="2316"/>
        <v>0</v>
      </c>
      <c r="AY336" s="53">
        <f t="shared" si="2317"/>
        <v>1</v>
      </c>
      <c r="AZ336" s="54">
        <f t="shared" si="2318"/>
        <v>3</v>
      </c>
      <c r="BA336" s="53">
        <f t="shared" si="2319"/>
        <v>1</v>
      </c>
      <c r="BB336" s="54">
        <f t="shared" si="2320"/>
        <v>3</v>
      </c>
      <c r="BC336" s="49">
        <f t="shared" ref="BC336:BD336" si="2357">SUM(AS336,AU336,AW336,AY336,BA336)</f>
        <v>4</v>
      </c>
      <c r="BD336" s="50">
        <f t="shared" si="2357"/>
        <v>9</v>
      </c>
      <c r="BE336" s="68">
        <f t="shared" ref="BE336:BF336" si="2358">SUM(E336,G336,I336,O336,Q336,AC336,AQ336,BC336)</f>
        <v>16</v>
      </c>
      <c r="BF336" s="69">
        <f t="shared" si="2358"/>
        <v>33</v>
      </c>
      <c r="BG336" s="46" t="str">
        <f>BF336*'ОВгП_РАО'!$B$10</f>
        <v>#REF!</v>
      </c>
      <c r="BH336" s="46" t="str">
        <f>'ОВгП_РАО'!$B$10</f>
        <v>#REF!</v>
      </c>
    </row>
    <row r="337" ht="15.75" customHeight="1">
      <c r="A337" s="80">
        <f t="shared" si="2323"/>
        <v>46270</v>
      </c>
      <c r="B337" s="46" t="s">
        <v>128</v>
      </c>
      <c r="C337" s="46" t="s">
        <v>125</v>
      </c>
      <c r="D337" s="46" t="s">
        <v>126</v>
      </c>
      <c r="E337" s="73">
        <f t="shared" si="2274"/>
        <v>2</v>
      </c>
      <c r="F337" s="50">
        <f t="shared" si="2275"/>
        <v>4</v>
      </c>
      <c r="G337" s="73">
        <f t="shared" si="2276"/>
        <v>2</v>
      </c>
      <c r="H337" s="50">
        <f t="shared" si="2277"/>
        <v>4</v>
      </c>
      <c r="I337" s="73">
        <f t="shared" si="2278"/>
        <v>2</v>
      </c>
      <c r="J337" s="50">
        <f t="shared" si="2279"/>
        <v>4</v>
      </c>
      <c r="K337" s="53">
        <f t="shared" si="2280"/>
        <v>1</v>
      </c>
      <c r="L337" s="54">
        <f t="shared" si="2281"/>
        <v>1</v>
      </c>
      <c r="M337" s="53">
        <f t="shared" si="2282"/>
        <v>1</v>
      </c>
      <c r="N337" s="54">
        <f t="shared" si="2283"/>
        <v>1</v>
      </c>
      <c r="O337" s="49">
        <f t="shared" ref="O337:P337" si="2359">SUM(K337,M337)</f>
        <v>2</v>
      </c>
      <c r="P337" s="50">
        <f t="shared" si="2359"/>
        <v>2</v>
      </c>
      <c r="Q337" s="73">
        <f t="shared" si="2285"/>
        <v>1</v>
      </c>
      <c r="R337" s="50">
        <f t="shared" si="2286"/>
        <v>2</v>
      </c>
      <c r="S337" s="53">
        <f t="shared" si="2287"/>
        <v>0</v>
      </c>
      <c r="T337" s="54">
        <f t="shared" si="2288"/>
        <v>0</v>
      </c>
      <c r="U337" s="53">
        <f t="shared" si="2289"/>
        <v>0</v>
      </c>
      <c r="V337" s="54">
        <f t="shared" si="2290"/>
        <v>0</v>
      </c>
      <c r="W337" s="53">
        <f t="shared" si="2291"/>
        <v>1</v>
      </c>
      <c r="X337" s="54">
        <f t="shared" si="2292"/>
        <v>3</v>
      </c>
      <c r="Y337" s="53">
        <f t="shared" si="2293"/>
        <v>1</v>
      </c>
      <c r="Z337" s="54">
        <f t="shared" si="2294"/>
        <v>3</v>
      </c>
      <c r="AA337" s="53">
        <f t="shared" si="2295"/>
        <v>2</v>
      </c>
      <c r="AB337" s="54">
        <f t="shared" si="2296"/>
        <v>4</v>
      </c>
      <c r="AC337" s="49">
        <f t="shared" ref="AC337:AD337" si="2360">SUM(S337,U337,W337,Y337,AA337)</f>
        <v>4</v>
      </c>
      <c r="AD337" s="50">
        <f t="shared" si="2360"/>
        <v>10</v>
      </c>
      <c r="AE337" s="53">
        <f t="shared" si="2298"/>
        <v>1</v>
      </c>
      <c r="AF337" s="54">
        <f t="shared" si="2299"/>
        <v>2</v>
      </c>
      <c r="AG337" s="53">
        <f t="shared" si="2300"/>
        <v>1</v>
      </c>
      <c r="AH337" s="54">
        <f t="shared" si="2301"/>
        <v>2</v>
      </c>
      <c r="AI337" s="53">
        <f t="shared" si="2302"/>
        <v>0</v>
      </c>
      <c r="AJ337" s="54">
        <f t="shared" si="2303"/>
        <v>0</v>
      </c>
      <c r="AK337" s="53">
        <f t="shared" si="2304"/>
        <v>1</v>
      </c>
      <c r="AL337" s="54">
        <f t="shared" si="2305"/>
        <v>3</v>
      </c>
      <c r="AM337" s="53">
        <f t="shared" si="2306"/>
        <v>0</v>
      </c>
      <c r="AN337" s="54">
        <f t="shared" si="2307"/>
        <v>0</v>
      </c>
      <c r="AO337" s="53">
        <f t="shared" si="2308"/>
        <v>1</v>
      </c>
      <c r="AP337" s="54">
        <f t="shared" si="2309"/>
        <v>2</v>
      </c>
      <c r="AQ337" s="49">
        <f t="shared" ref="AQ337:AR337" si="2361">SUM(AG337,AI337,AK337,AM337,AO337)</f>
        <v>3</v>
      </c>
      <c r="AR337" s="50">
        <f t="shared" si="2361"/>
        <v>7</v>
      </c>
      <c r="AS337" s="53">
        <f t="shared" si="2311"/>
        <v>2</v>
      </c>
      <c r="AT337" s="54">
        <f t="shared" si="2312"/>
        <v>4</v>
      </c>
      <c r="AU337" s="53">
        <f t="shared" si="2313"/>
        <v>1</v>
      </c>
      <c r="AV337" s="54">
        <f t="shared" si="2314"/>
        <v>3</v>
      </c>
      <c r="AW337" s="53">
        <f t="shared" si="2315"/>
        <v>1</v>
      </c>
      <c r="AX337" s="54">
        <f t="shared" si="2316"/>
        <v>3</v>
      </c>
      <c r="AY337" s="53">
        <f t="shared" si="2317"/>
        <v>2</v>
      </c>
      <c r="AZ337" s="54">
        <f t="shared" si="2318"/>
        <v>4</v>
      </c>
      <c r="BA337" s="53">
        <f t="shared" si="2319"/>
        <v>1</v>
      </c>
      <c r="BB337" s="54">
        <f t="shared" si="2320"/>
        <v>1</v>
      </c>
      <c r="BC337" s="49">
        <f t="shared" ref="BC337:BD337" si="2362">SUM(AS337,AU337,AW337,AY337,BA337)</f>
        <v>7</v>
      </c>
      <c r="BD337" s="50">
        <f t="shared" si="2362"/>
        <v>15</v>
      </c>
      <c r="BE337" s="68">
        <f t="shared" ref="BE337:BF337" si="2363">SUM(E337,G337,I337,O337,Q337,AC337,AQ337,BC337)</f>
        <v>23</v>
      </c>
      <c r="BF337" s="69">
        <f t="shared" si="2363"/>
        <v>48</v>
      </c>
      <c r="BG337" s="46" t="str">
        <f>BF337*'ОВгП_РАО'!$B$11</f>
        <v>#REF!</v>
      </c>
      <c r="BH337" s="46" t="str">
        <f>'ОВгП_РАО'!$B$11</f>
        <v>#REF!</v>
      </c>
    </row>
    <row r="338" ht="15.75" customHeight="1">
      <c r="A338" s="80">
        <f t="shared" si="2323"/>
        <v>46270</v>
      </c>
      <c r="B338" s="45" t="s">
        <v>129</v>
      </c>
      <c r="C338" s="46" t="s">
        <v>125</v>
      </c>
      <c r="D338" s="45" t="s">
        <v>130</v>
      </c>
      <c r="E338" s="73">
        <f t="shared" si="2274"/>
        <v>1</v>
      </c>
      <c r="F338" s="50">
        <f t="shared" si="2275"/>
        <v>2</v>
      </c>
      <c r="G338" s="73">
        <f t="shared" si="2276"/>
        <v>1</v>
      </c>
      <c r="H338" s="50">
        <f t="shared" si="2277"/>
        <v>1</v>
      </c>
      <c r="I338" s="73">
        <f t="shared" si="2278"/>
        <v>1</v>
      </c>
      <c r="J338" s="50">
        <f t="shared" si="2279"/>
        <v>1</v>
      </c>
      <c r="K338" s="53">
        <f t="shared" si="2280"/>
        <v>1</v>
      </c>
      <c r="L338" s="54">
        <f t="shared" si="2281"/>
        <v>2</v>
      </c>
      <c r="M338" s="53">
        <f t="shared" si="2282"/>
        <v>0</v>
      </c>
      <c r="N338" s="54">
        <f t="shared" si="2283"/>
        <v>0</v>
      </c>
      <c r="O338" s="49">
        <f t="shared" ref="O338:P338" si="2364">SUM(K338,M338)</f>
        <v>1</v>
      </c>
      <c r="P338" s="50">
        <f t="shared" si="2364"/>
        <v>2</v>
      </c>
      <c r="Q338" s="73">
        <f t="shared" si="2285"/>
        <v>0</v>
      </c>
      <c r="R338" s="50">
        <f t="shared" si="2286"/>
        <v>0</v>
      </c>
      <c r="S338" s="53">
        <f t="shared" si="2287"/>
        <v>1</v>
      </c>
      <c r="T338" s="54">
        <f t="shared" si="2288"/>
        <v>3</v>
      </c>
      <c r="U338" s="53">
        <f t="shared" si="2289"/>
        <v>1</v>
      </c>
      <c r="V338" s="54">
        <f t="shared" si="2290"/>
        <v>1</v>
      </c>
      <c r="W338" s="53">
        <f t="shared" si="2291"/>
        <v>2</v>
      </c>
      <c r="X338" s="54">
        <f t="shared" si="2292"/>
        <v>4</v>
      </c>
      <c r="Y338" s="53">
        <f t="shared" si="2293"/>
        <v>0</v>
      </c>
      <c r="Z338" s="54">
        <f t="shared" si="2294"/>
        <v>0</v>
      </c>
      <c r="AA338" s="53">
        <f t="shared" si="2295"/>
        <v>0</v>
      </c>
      <c r="AB338" s="54">
        <f t="shared" si="2296"/>
        <v>0</v>
      </c>
      <c r="AC338" s="49">
        <f t="shared" ref="AC338:AD338" si="2365">SUM(S338,U338,W338,Y338,AA338)</f>
        <v>4</v>
      </c>
      <c r="AD338" s="50">
        <f t="shared" si="2365"/>
        <v>8</v>
      </c>
      <c r="AE338" s="53">
        <f t="shared" si="2298"/>
        <v>2</v>
      </c>
      <c r="AF338" s="54">
        <f t="shared" si="2299"/>
        <v>4</v>
      </c>
      <c r="AG338" s="53">
        <f t="shared" si="2300"/>
        <v>1</v>
      </c>
      <c r="AH338" s="54">
        <f t="shared" si="2301"/>
        <v>1</v>
      </c>
      <c r="AI338" s="53">
        <f t="shared" si="2302"/>
        <v>1</v>
      </c>
      <c r="AJ338" s="54">
        <f t="shared" si="2303"/>
        <v>1</v>
      </c>
      <c r="AK338" s="53">
        <f t="shared" si="2304"/>
        <v>1</v>
      </c>
      <c r="AL338" s="54">
        <f t="shared" si="2305"/>
        <v>3</v>
      </c>
      <c r="AM338" s="53">
        <f t="shared" si="2306"/>
        <v>0</v>
      </c>
      <c r="AN338" s="54">
        <f t="shared" si="2307"/>
        <v>0</v>
      </c>
      <c r="AO338" s="53">
        <f t="shared" si="2308"/>
        <v>1</v>
      </c>
      <c r="AP338" s="54">
        <f t="shared" si="2309"/>
        <v>3</v>
      </c>
      <c r="AQ338" s="49">
        <f t="shared" ref="AQ338:AR338" si="2366">SUM(AG338,AI338,AK338,AM338,AO338)</f>
        <v>4</v>
      </c>
      <c r="AR338" s="50">
        <f t="shared" si="2366"/>
        <v>8</v>
      </c>
      <c r="AS338" s="53">
        <f t="shared" si="2311"/>
        <v>0</v>
      </c>
      <c r="AT338" s="54">
        <f t="shared" si="2312"/>
        <v>0</v>
      </c>
      <c r="AU338" s="53">
        <f t="shared" si="2313"/>
        <v>1</v>
      </c>
      <c r="AV338" s="54">
        <f t="shared" si="2314"/>
        <v>1</v>
      </c>
      <c r="AW338" s="53">
        <f t="shared" si="2315"/>
        <v>1</v>
      </c>
      <c r="AX338" s="54">
        <f t="shared" si="2316"/>
        <v>1</v>
      </c>
      <c r="AY338" s="53">
        <f t="shared" si="2317"/>
        <v>1</v>
      </c>
      <c r="AZ338" s="54">
        <f t="shared" si="2318"/>
        <v>2</v>
      </c>
      <c r="BA338" s="53">
        <f t="shared" si="2319"/>
        <v>2</v>
      </c>
      <c r="BB338" s="54">
        <f t="shared" si="2320"/>
        <v>4</v>
      </c>
      <c r="BC338" s="49">
        <f t="shared" ref="BC338:BD338" si="2367">SUM(AS338,AU338,AW338,AY338,BA338)</f>
        <v>5</v>
      </c>
      <c r="BD338" s="50">
        <f t="shared" si="2367"/>
        <v>8</v>
      </c>
      <c r="BE338" s="68">
        <f t="shared" ref="BE338:BF338" si="2368">SUM(E338,G338,I338,O338,Q338,AC338,AQ338,BC338)</f>
        <v>17</v>
      </c>
      <c r="BF338" s="69">
        <f t="shared" si="2368"/>
        <v>30</v>
      </c>
      <c r="BG338" s="46" t="str">
        <f>BF338*'ОВгП_РАО'!$B$12</f>
        <v>#REF!</v>
      </c>
      <c r="BH338" s="46" t="str">
        <f>'ОВгП_РАО'!$B$12</f>
        <v>#REF!</v>
      </c>
    </row>
    <row r="339" ht="15.75" customHeight="1">
      <c r="A339" s="80">
        <f t="shared" si="2323"/>
        <v>46270</v>
      </c>
      <c r="B339" s="47" t="s">
        <v>131</v>
      </c>
      <c r="C339" s="47" t="s">
        <v>122</v>
      </c>
      <c r="D339" s="47" t="s">
        <v>123</v>
      </c>
      <c r="E339" s="73">
        <f t="shared" si="2274"/>
        <v>1</v>
      </c>
      <c r="F339" s="50">
        <f t="shared" si="2275"/>
        <v>2</v>
      </c>
      <c r="G339" s="73">
        <f t="shared" si="2276"/>
        <v>1</v>
      </c>
      <c r="H339" s="50">
        <f t="shared" si="2277"/>
        <v>3</v>
      </c>
      <c r="I339" s="73">
        <f t="shared" si="2278"/>
        <v>0</v>
      </c>
      <c r="J339" s="50">
        <f t="shared" si="2279"/>
        <v>0</v>
      </c>
      <c r="K339" s="53">
        <f t="shared" si="2280"/>
        <v>0</v>
      </c>
      <c r="L339" s="54">
        <f t="shared" si="2281"/>
        <v>0</v>
      </c>
      <c r="M339" s="53">
        <f t="shared" si="2282"/>
        <v>1</v>
      </c>
      <c r="N339" s="54">
        <f t="shared" si="2283"/>
        <v>2</v>
      </c>
      <c r="O339" s="49">
        <f t="shared" ref="O339:P339" si="2369">SUM(K339,M339)</f>
        <v>1</v>
      </c>
      <c r="P339" s="50">
        <f t="shared" si="2369"/>
        <v>2</v>
      </c>
      <c r="Q339" s="73">
        <f t="shared" si="2285"/>
        <v>1</v>
      </c>
      <c r="R339" s="50">
        <f t="shared" si="2286"/>
        <v>2</v>
      </c>
      <c r="S339" s="53">
        <f t="shared" si="2287"/>
        <v>1</v>
      </c>
      <c r="T339" s="54">
        <f t="shared" si="2288"/>
        <v>2</v>
      </c>
      <c r="U339" s="53">
        <f t="shared" si="2289"/>
        <v>1</v>
      </c>
      <c r="V339" s="54">
        <f t="shared" si="2290"/>
        <v>2</v>
      </c>
      <c r="W339" s="53">
        <f t="shared" si="2291"/>
        <v>1</v>
      </c>
      <c r="X339" s="54">
        <f t="shared" si="2292"/>
        <v>1</v>
      </c>
      <c r="Y339" s="53">
        <f t="shared" si="2293"/>
        <v>1</v>
      </c>
      <c r="Z339" s="54">
        <f t="shared" si="2294"/>
        <v>3</v>
      </c>
      <c r="AA339" s="53">
        <f t="shared" si="2295"/>
        <v>1</v>
      </c>
      <c r="AB339" s="54">
        <f t="shared" si="2296"/>
        <v>1</v>
      </c>
      <c r="AC339" s="49">
        <f t="shared" ref="AC339:AD339" si="2370">SUM(S339,U339,W339,Y339,AA339)</f>
        <v>5</v>
      </c>
      <c r="AD339" s="50">
        <f t="shared" si="2370"/>
        <v>9</v>
      </c>
      <c r="AE339" s="53">
        <f t="shared" si="2298"/>
        <v>0</v>
      </c>
      <c r="AF339" s="54">
        <f t="shared" si="2299"/>
        <v>0</v>
      </c>
      <c r="AG339" s="53">
        <f t="shared" si="2300"/>
        <v>1</v>
      </c>
      <c r="AH339" s="54">
        <f t="shared" si="2301"/>
        <v>2</v>
      </c>
      <c r="AI339" s="53">
        <f t="shared" si="2302"/>
        <v>1</v>
      </c>
      <c r="AJ339" s="54">
        <f t="shared" si="2303"/>
        <v>3</v>
      </c>
      <c r="AK339" s="53">
        <f t="shared" si="2304"/>
        <v>2</v>
      </c>
      <c r="AL339" s="54">
        <f t="shared" si="2305"/>
        <v>4</v>
      </c>
      <c r="AM339" s="53">
        <f t="shared" si="2306"/>
        <v>2</v>
      </c>
      <c r="AN339" s="54">
        <f t="shared" si="2307"/>
        <v>4</v>
      </c>
      <c r="AO339" s="53">
        <f t="shared" si="2308"/>
        <v>1</v>
      </c>
      <c r="AP339" s="54">
        <f t="shared" si="2309"/>
        <v>1</v>
      </c>
      <c r="AQ339" s="49">
        <f t="shared" ref="AQ339:AR339" si="2371">SUM(AG339,AI339,AK339,AM339,AO339)</f>
        <v>7</v>
      </c>
      <c r="AR339" s="50">
        <f t="shared" si="2371"/>
        <v>14</v>
      </c>
      <c r="AS339" s="53">
        <f t="shared" si="2311"/>
        <v>1</v>
      </c>
      <c r="AT339" s="54">
        <f t="shared" si="2312"/>
        <v>2</v>
      </c>
      <c r="AU339" s="53">
        <f t="shared" si="2313"/>
        <v>1</v>
      </c>
      <c r="AV339" s="54">
        <f t="shared" si="2314"/>
        <v>1</v>
      </c>
      <c r="AW339" s="53">
        <f t="shared" si="2315"/>
        <v>1</v>
      </c>
      <c r="AX339" s="54">
        <f t="shared" si="2316"/>
        <v>3</v>
      </c>
      <c r="AY339" s="53">
        <f t="shared" si="2317"/>
        <v>1</v>
      </c>
      <c r="AZ339" s="54">
        <f t="shared" si="2318"/>
        <v>2</v>
      </c>
      <c r="BA339" s="53">
        <f t="shared" si="2319"/>
        <v>1</v>
      </c>
      <c r="BB339" s="54">
        <f t="shared" si="2320"/>
        <v>2</v>
      </c>
      <c r="BC339" s="49">
        <f t="shared" ref="BC339:BD339" si="2372">SUM(AS339,AU339,AW339,AY339,BA339)</f>
        <v>5</v>
      </c>
      <c r="BD339" s="50">
        <f t="shared" si="2372"/>
        <v>10</v>
      </c>
      <c r="BE339" s="68">
        <f t="shared" ref="BE339:BF339" si="2373">SUM(E339,G339,I339,O339,Q339,AC339,AQ339,BC339)</f>
        <v>21</v>
      </c>
      <c r="BF339" s="69">
        <f t="shared" si="2373"/>
        <v>42</v>
      </c>
      <c r="BG339" s="46" t="str">
        <f>BF339*'ОВгП_РАО'!$B$13</f>
        <v>#REF!</v>
      </c>
      <c r="BH339" s="46" t="str">
        <f>'ОВгП_РАО'!$B$13</f>
        <v>#REF!</v>
      </c>
    </row>
    <row r="340" ht="15.75" customHeight="1">
      <c r="A340" s="80">
        <f t="shared" si="2323"/>
        <v>46270</v>
      </c>
      <c r="B340" s="47" t="s">
        <v>132</v>
      </c>
      <c r="C340" s="47" t="s">
        <v>122</v>
      </c>
      <c r="D340" s="47" t="s">
        <v>123</v>
      </c>
      <c r="E340" s="73">
        <f t="shared" si="2274"/>
        <v>1</v>
      </c>
      <c r="F340" s="50">
        <f t="shared" si="2275"/>
        <v>3</v>
      </c>
      <c r="G340" s="73">
        <f t="shared" si="2276"/>
        <v>2</v>
      </c>
      <c r="H340" s="50">
        <f t="shared" si="2277"/>
        <v>4</v>
      </c>
      <c r="I340" s="73">
        <f t="shared" si="2278"/>
        <v>1</v>
      </c>
      <c r="J340" s="50">
        <f t="shared" si="2279"/>
        <v>2</v>
      </c>
      <c r="K340" s="53">
        <f t="shared" si="2280"/>
        <v>2</v>
      </c>
      <c r="L340" s="54">
        <f t="shared" si="2281"/>
        <v>4</v>
      </c>
      <c r="M340" s="53">
        <f t="shared" si="2282"/>
        <v>1</v>
      </c>
      <c r="N340" s="54">
        <f t="shared" si="2283"/>
        <v>1</v>
      </c>
      <c r="O340" s="49">
        <f t="shared" ref="O340:P340" si="2374">SUM(K340,M340)</f>
        <v>3</v>
      </c>
      <c r="P340" s="50">
        <f t="shared" si="2374"/>
        <v>5</v>
      </c>
      <c r="Q340" s="73">
        <f t="shared" si="2285"/>
        <v>1</v>
      </c>
      <c r="R340" s="50">
        <f t="shared" si="2286"/>
        <v>3</v>
      </c>
      <c r="S340" s="53">
        <f t="shared" si="2287"/>
        <v>2</v>
      </c>
      <c r="T340" s="54">
        <f t="shared" si="2288"/>
        <v>4</v>
      </c>
      <c r="U340" s="53">
        <f t="shared" si="2289"/>
        <v>0</v>
      </c>
      <c r="V340" s="54">
        <f t="shared" si="2290"/>
        <v>0</v>
      </c>
      <c r="W340" s="53">
        <f t="shared" si="2291"/>
        <v>1</v>
      </c>
      <c r="X340" s="54">
        <f t="shared" si="2292"/>
        <v>1</v>
      </c>
      <c r="Y340" s="53">
        <f t="shared" si="2293"/>
        <v>0</v>
      </c>
      <c r="Z340" s="54">
        <f t="shared" si="2294"/>
        <v>0</v>
      </c>
      <c r="AA340" s="53">
        <f t="shared" si="2295"/>
        <v>0</v>
      </c>
      <c r="AB340" s="54">
        <f t="shared" si="2296"/>
        <v>0</v>
      </c>
      <c r="AC340" s="49">
        <f t="shared" ref="AC340:AD340" si="2375">SUM(S340,U340,W340,Y340,AA340)</f>
        <v>3</v>
      </c>
      <c r="AD340" s="50">
        <f t="shared" si="2375"/>
        <v>5</v>
      </c>
      <c r="AE340" s="53">
        <f t="shared" si="2298"/>
        <v>1</v>
      </c>
      <c r="AF340" s="54">
        <f t="shared" si="2299"/>
        <v>1</v>
      </c>
      <c r="AG340" s="53">
        <f t="shared" si="2300"/>
        <v>1</v>
      </c>
      <c r="AH340" s="54">
        <f t="shared" si="2301"/>
        <v>2</v>
      </c>
      <c r="AI340" s="53">
        <f t="shared" si="2302"/>
        <v>0</v>
      </c>
      <c r="AJ340" s="54">
        <f t="shared" si="2303"/>
        <v>0</v>
      </c>
      <c r="AK340" s="53">
        <f t="shared" si="2304"/>
        <v>1</v>
      </c>
      <c r="AL340" s="54">
        <f t="shared" si="2305"/>
        <v>3</v>
      </c>
      <c r="AM340" s="53">
        <f t="shared" si="2306"/>
        <v>1</v>
      </c>
      <c r="AN340" s="54">
        <f t="shared" si="2307"/>
        <v>3</v>
      </c>
      <c r="AO340" s="53">
        <f t="shared" si="2308"/>
        <v>1</v>
      </c>
      <c r="AP340" s="54">
        <f t="shared" si="2309"/>
        <v>2</v>
      </c>
      <c r="AQ340" s="49">
        <f t="shared" ref="AQ340:AR340" si="2376">SUM(AG340,AI340,AK340,AM340,AO340)</f>
        <v>4</v>
      </c>
      <c r="AR340" s="50">
        <f t="shared" si="2376"/>
        <v>10</v>
      </c>
      <c r="AS340" s="53">
        <f t="shared" si="2311"/>
        <v>0</v>
      </c>
      <c r="AT340" s="54">
        <f t="shared" si="2312"/>
        <v>0</v>
      </c>
      <c r="AU340" s="53">
        <f t="shared" si="2313"/>
        <v>2</v>
      </c>
      <c r="AV340" s="54">
        <f t="shared" si="2314"/>
        <v>4</v>
      </c>
      <c r="AW340" s="53">
        <f t="shared" si="2315"/>
        <v>0</v>
      </c>
      <c r="AX340" s="54">
        <f t="shared" si="2316"/>
        <v>0</v>
      </c>
      <c r="AY340" s="53">
        <f t="shared" si="2317"/>
        <v>1</v>
      </c>
      <c r="AZ340" s="54">
        <f t="shared" si="2318"/>
        <v>3</v>
      </c>
      <c r="BA340" s="53">
        <f t="shared" si="2319"/>
        <v>1</v>
      </c>
      <c r="BB340" s="54">
        <f t="shared" si="2320"/>
        <v>2</v>
      </c>
      <c r="BC340" s="49">
        <f t="shared" ref="BC340:BD340" si="2377">SUM(AS340,AU340,AW340,AY340,BA340)</f>
        <v>4</v>
      </c>
      <c r="BD340" s="50">
        <f t="shared" si="2377"/>
        <v>9</v>
      </c>
      <c r="BE340" s="68">
        <f t="shared" ref="BE340:BF340" si="2378">SUM(E340,G340,I340,O340,Q340,AC340,AQ340,BC340)</f>
        <v>19</v>
      </c>
      <c r="BF340" s="69">
        <f t="shared" si="2378"/>
        <v>41</v>
      </c>
      <c r="BG340" s="46" t="str">
        <f>BF340*'ОВгП_РАО'!$B$14</f>
        <v>#REF!</v>
      </c>
      <c r="BH340" s="46" t="str">
        <f>'ОВгП_РАО'!$B$14</f>
        <v>#REF!</v>
      </c>
    </row>
    <row r="341" ht="15.75" customHeight="1">
      <c r="A341" s="80">
        <f t="shared" si="2323"/>
        <v>46270</v>
      </c>
      <c r="B341" s="47" t="s">
        <v>133</v>
      </c>
      <c r="C341" s="47" t="s">
        <v>122</v>
      </c>
      <c r="D341" s="47" t="s">
        <v>123</v>
      </c>
      <c r="E341" s="73">
        <f t="shared" si="2274"/>
        <v>2</v>
      </c>
      <c r="F341" s="50">
        <f t="shared" si="2275"/>
        <v>4</v>
      </c>
      <c r="G341" s="73">
        <f t="shared" si="2276"/>
        <v>2</v>
      </c>
      <c r="H341" s="50">
        <f t="shared" si="2277"/>
        <v>4</v>
      </c>
      <c r="I341" s="73">
        <f t="shared" si="2278"/>
        <v>1</v>
      </c>
      <c r="J341" s="50">
        <f t="shared" si="2279"/>
        <v>1</v>
      </c>
      <c r="K341" s="53">
        <f t="shared" si="2280"/>
        <v>1</v>
      </c>
      <c r="L341" s="54">
        <f t="shared" si="2281"/>
        <v>1</v>
      </c>
      <c r="M341" s="53">
        <f t="shared" si="2282"/>
        <v>1</v>
      </c>
      <c r="N341" s="54">
        <f t="shared" si="2283"/>
        <v>1</v>
      </c>
      <c r="O341" s="49">
        <f t="shared" ref="O341:P341" si="2379">SUM(K341,M341)</f>
        <v>2</v>
      </c>
      <c r="P341" s="50">
        <f t="shared" si="2379"/>
        <v>2</v>
      </c>
      <c r="Q341" s="73">
        <f t="shared" si="2285"/>
        <v>1</v>
      </c>
      <c r="R341" s="50">
        <f t="shared" si="2286"/>
        <v>3</v>
      </c>
      <c r="S341" s="53">
        <f t="shared" si="2287"/>
        <v>0</v>
      </c>
      <c r="T341" s="54">
        <f t="shared" si="2288"/>
        <v>0</v>
      </c>
      <c r="U341" s="53">
        <f t="shared" si="2289"/>
        <v>1</v>
      </c>
      <c r="V341" s="54">
        <f t="shared" si="2290"/>
        <v>3</v>
      </c>
      <c r="W341" s="53">
        <f t="shared" si="2291"/>
        <v>2</v>
      </c>
      <c r="X341" s="54">
        <f t="shared" si="2292"/>
        <v>4</v>
      </c>
      <c r="Y341" s="53">
        <f t="shared" si="2293"/>
        <v>1</v>
      </c>
      <c r="Z341" s="54">
        <f t="shared" si="2294"/>
        <v>3</v>
      </c>
      <c r="AA341" s="53">
        <f t="shared" si="2295"/>
        <v>1</v>
      </c>
      <c r="AB341" s="54">
        <f t="shared" si="2296"/>
        <v>2</v>
      </c>
      <c r="AC341" s="49">
        <f t="shared" ref="AC341:AD341" si="2380">SUM(S341,U341,W341,Y341,AA341)</f>
        <v>5</v>
      </c>
      <c r="AD341" s="50">
        <f t="shared" si="2380"/>
        <v>12</v>
      </c>
      <c r="AE341" s="53">
        <f t="shared" si="2298"/>
        <v>1</v>
      </c>
      <c r="AF341" s="54">
        <f t="shared" si="2299"/>
        <v>1</v>
      </c>
      <c r="AG341" s="53">
        <f t="shared" si="2300"/>
        <v>1</v>
      </c>
      <c r="AH341" s="54">
        <f t="shared" si="2301"/>
        <v>1</v>
      </c>
      <c r="AI341" s="53">
        <f t="shared" si="2302"/>
        <v>1</v>
      </c>
      <c r="AJ341" s="54">
        <f t="shared" si="2303"/>
        <v>3</v>
      </c>
      <c r="AK341" s="53">
        <f t="shared" si="2304"/>
        <v>0</v>
      </c>
      <c r="AL341" s="54">
        <f t="shared" si="2305"/>
        <v>0</v>
      </c>
      <c r="AM341" s="53">
        <f t="shared" si="2306"/>
        <v>1</v>
      </c>
      <c r="AN341" s="54">
        <f t="shared" si="2307"/>
        <v>3</v>
      </c>
      <c r="AO341" s="53">
        <f t="shared" si="2308"/>
        <v>1</v>
      </c>
      <c r="AP341" s="54">
        <f t="shared" si="2309"/>
        <v>3</v>
      </c>
      <c r="AQ341" s="49">
        <f t="shared" ref="AQ341:AR341" si="2381">SUM(AG341,AI341,AK341,AM341,AO341)</f>
        <v>4</v>
      </c>
      <c r="AR341" s="50">
        <f t="shared" si="2381"/>
        <v>10</v>
      </c>
      <c r="AS341" s="53">
        <f t="shared" si="2311"/>
        <v>0</v>
      </c>
      <c r="AT341" s="54">
        <f t="shared" si="2312"/>
        <v>0</v>
      </c>
      <c r="AU341" s="53">
        <f t="shared" si="2313"/>
        <v>0</v>
      </c>
      <c r="AV341" s="54">
        <f t="shared" si="2314"/>
        <v>0</v>
      </c>
      <c r="AW341" s="53">
        <f t="shared" si="2315"/>
        <v>1</v>
      </c>
      <c r="AX341" s="54">
        <f t="shared" si="2316"/>
        <v>2</v>
      </c>
      <c r="AY341" s="53">
        <f t="shared" si="2317"/>
        <v>2</v>
      </c>
      <c r="AZ341" s="54">
        <f t="shared" si="2318"/>
        <v>4</v>
      </c>
      <c r="BA341" s="53">
        <f t="shared" si="2319"/>
        <v>2</v>
      </c>
      <c r="BB341" s="54">
        <f t="shared" si="2320"/>
        <v>4</v>
      </c>
      <c r="BC341" s="49">
        <f t="shared" ref="BC341:BD341" si="2382">SUM(AS341,AU341,AW341,AY341,BA341)</f>
        <v>5</v>
      </c>
      <c r="BD341" s="50">
        <f t="shared" si="2382"/>
        <v>10</v>
      </c>
      <c r="BE341" s="68">
        <f t="shared" ref="BE341:BF341" si="2383">SUM(E341,G341,I341,O341,Q341,AC341,AQ341,BC341)</f>
        <v>22</v>
      </c>
      <c r="BF341" s="69">
        <f t="shared" si="2383"/>
        <v>46</v>
      </c>
      <c r="BG341" s="46" t="str">
        <f>BF341*'ОВгП_РАО'!$B$15</f>
        <v>#REF!</v>
      </c>
      <c r="BH341" s="46" t="str">
        <f>'ОВгП_РАО'!$B$15</f>
        <v>#REF!</v>
      </c>
    </row>
    <row r="342" ht="15.75" customHeight="1">
      <c r="A342" s="80">
        <f t="shared" si="2323"/>
        <v>46270</v>
      </c>
      <c r="B342" s="47" t="s">
        <v>134</v>
      </c>
      <c r="C342" s="47" t="s">
        <v>122</v>
      </c>
      <c r="D342" s="47" t="s">
        <v>123</v>
      </c>
      <c r="E342" s="73">
        <f t="shared" si="2274"/>
        <v>1</v>
      </c>
      <c r="F342" s="50">
        <f t="shared" si="2275"/>
        <v>2</v>
      </c>
      <c r="G342" s="73">
        <f t="shared" si="2276"/>
        <v>1</v>
      </c>
      <c r="H342" s="50">
        <f t="shared" si="2277"/>
        <v>2</v>
      </c>
      <c r="I342" s="73">
        <f t="shared" si="2278"/>
        <v>0</v>
      </c>
      <c r="J342" s="50">
        <f t="shared" si="2279"/>
        <v>0</v>
      </c>
      <c r="K342" s="53">
        <f t="shared" si="2280"/>
        <v>1</v>
      </c>
      <c r="L342" s="54">
        <f t="shared" si="2281"/>
        <v>2</v>
      </c>
      <c r="M342" s="53">
        <f t="shared" si="2282"/>
        <v>1</v>
      </c>
      <c r="N342" s="54">
        <f t="shared" si="2283"/>
        <v>1</v>
      </c>
      <c r="O342" s="49">
        <f t="shared" ref="O342:P342" si="2384">SUM(K342,M342)</f>
        <v>2</v>
      </c>
      <c r="P342" s="50">
        <f t="shared" si="2384"/>
        <v>3</v>
      </c>
      <c r="Q342" s="73">
        <f t="shared" si="2285"/>
        <v>1</v>
      </c>
      <c r="R342" s="50">
        <f t="shared" si="2286"/>
        <v>2</v>
      </c>
      <c r="S342" s="53">
        <f t="shared" si="2287"/>
        <v>1</v>
      </c>
      <c r="T342" s="54">
        <f t="shared" si="2288"/>
        <v>2</v>
      </c>
      <c r="U342" s="53">
        <f t="shared" si="2289"/>
        <v>1</v>
      </c>
      <c r="V342" s="54">
        <f t="shared" si="2290"/>
        <v>2</v>
      </c>
      <c r="W342" s="53">
        <f t="shared" si="2291"/>
        <v>1</v>
      </c>
      <c r="X342" s="54">
        <f t="shared" si="2292"/>
        <v>1</v>
      </c>
      <c r="Y342" s="53">
        <f t="shared" si="2293"/>
        <v>1</v>
      </c>
      <c r="Z342" s="54">
        <f t="shared" si="2294"/>
        <v>2</v>
      </c>
      <c r="AA342" s="53">
        <f t="shared" si="2295"/>
        <v>0</v>
      </c>
      <c r="AB342" s="54">
        <f t="shared" si="2296"/>
        <v>0</v>
      </c>
      <c r="AC342" s="49">
        <f t="shared" ref="AC342:AD342" si="2385">SUM(S342,U342,W342,Y342,AA342)</f>
        <v>4</v>
      </c>
      <c r="AD342" s="50">
        <f t="shared" si="2385"/>
        <v>7</v>
      </c>
      <c r="AE342" s="53">
        <f t="shared" si="2298"/>
        <v>1</v>
      </c>
      <c r="AF342" s="54">
        <f t="shared" si="2299"/>
        <v>2</v>
      </c>
      <c r="AG342" s="53">
        <f t="shared" si="2300"/>
        <v>0</v>
      </c>
      <c r="AH342" s="54">
        <f t="shared" si="2301"/>
        <v>0</v>
      </c>
      <c r="AI342" s="53">
        <f t="shared" si="2302"/>
        <v>1</v>
      </c>
      <c r="AJ342" s="54">
        <f t="shared" si="2303"/>
        <v>3</v>
      </c>
      <c r="AK342" s="53">
        <f t="shared" si="2304"/>
        <v>1</v>
      </c>
      <c r="AL342" s="54">
        <f t="shared" si="2305"/>
        <v>1</v>
      </c>
      <c r="AM342" s="53">
        <f t="shared" si="2306"/>
        <v>1</v>
      </c>
      <c r="AN342" s="54">
        <f t="shared" si="2307"/>
        <v>2</v>
      </c>
      <c r="AO342" s="53">
        <f t="shared" si="2308"/>
        <v>1</v>
      </c>
      <c r="AP342" s="54">
        <f t="shared" si="2309"/>
        <v>2</v>
      </c>
      <c r="AQ342" s="49">
        <f t="shared" ref="AQ342:AR342" si="2386">SUM(AG342,AI342,AK342,AM342,AO342)</f>
        <v>4</v>
      </c>
      <c r="AR342" s="50">
        <f t="shared" si="2386"/>
        <v>8</v>
      </c>
      <c r="AS342" s="53">
        <f t="shared" si="2311"/>
        <v>0</v>
      </c>
      <c r="AT342" s="54">
        <f t="shared" si="2312"/>
        <v>0</v>
      </c>
      <c r="AU342" s="53">
        <f t="shared" si="2313"/>
        <v>1</v>
      </c>
      <c r="AV342" s="54">
        <f t="shared" si="2314"/>
        <v>2</v>
      </c>
      <c r="AW342" s="53">
        <f t="shared" si="2315"/>
        <v>1</v>
      </c>
      <c r="AX342" s="54">
        <f t="shared" si="2316"/>
        <v>3</v>
      </c>
      <c r="AY342" s="53">
        <f t="shared" si="2317"/>
        <v>1</v>
      </c>
      <c r="AZ342" s="54">
        <f t="shared" si="2318"/>
        <v>1</v>
      </c>
      <c r="BA342" s="53">
        <f t="shared" si="2319"/>
        <v>0</v>
      </c>
      <c r="BB342" s="54">
        <f t="shared" si="2320"/>
        <v>0</v>
      </c>
      <c r="BC342" s="49">
        <f t="shared" ref="BC342:BD342" si="2387">SUM(AS342,AU342,AW342,AY342,BA342)</f>
        <v>3</v>
      </c>
      <c r="BD342" s="50">
        <f t="shared" si="2387"/>
        <v>6</v>
      </c>
      <c r="BE342" s="68">
        <f t="shared" ref="BE342:BF342" si="2388">SUM(E342,G342,I342,O342,Q342,AC342,AQ342,BC342)</f>
        <v>16</v>
      </c>
      <c r="BF342" s="69">
        <f t="shared" si="2388"/>
        <v>30</v>
      </c>
      <c r="BG342" s="46" t="str">
        <f>BF342*'ОВгП_РАО'!$B$16</f>
        <v>#REF!</v>
      </c>
      <c r="BH342" s="46" t="str">
        <f>'ОВгП_РАО'!$B$16</f>
        <v>#REF!</v>
      </c>
    </row>
    <row r="343" ht="15.75" customHeight="1">
      <c r="A343" s="80">
        <f t="shared" si="2323"/>
        <v>46270</v>
      </c>
      <c r="B343" s="129" t="s">
        <v>135</v>
      </c>
      <c r="C343" s="47" t="s">
        <v>122</v>
      </c>
      <c r="D343" s="47" t="s">
        <v>136</v>
      </c>
      <c r="E343" s="73">
        <f t="shared" si="2274"/>
        <v>2</v>
      </c>
      <c r="F343" s="50">
        <f t="shared" si="2275"/>
        <v>4</v>
      </c>
      <c r="G343" s="73">
        <f t="shared" si="2276"/>
        <v>1</v>
      </c>
      <c r="H343" s="50">
        <f t="shared" si="2277"/>
        <v>2</v>
      </c>
      <c r="I343" s="73">
        <f t="shared" si="2278"/>
        <v>2</v>
      </c>
      <c r="J343" s="50">
        <f t="shared" si="2279"/>
        <v>4</v>
      </c>
      <c r="K343" s="53">
        <f t="shared" si="2280"/>
        <v>1</v>
      </c>
      <c r="L343" s="54">
        <f t="shared" si="2281"/>
        <v>1</v>
      </c>
      <c r="M343" s="53">
        <f t="shared" si="2282"/>
        <v>1</v>
      </c>
      <c r="N343" s="54">
        <f t="shared" si="2283"/>
        <v>2</v>
      </c>
      <c r="O343" s="49">
        <f t="shared" ref="O343:P343" si="2389">SUM(K343,M343)</f>
        <v>2</v>
      </c>
      <c r="P343" s="50">
        <f t="shared" si="2389"/>
        <v>3</v>
      </c>
      <c r="Q343" s="73">
        <f t="shared" si="2285"/>
        <v>1</v>
      </c>
      <c r="R343" s="50">
        <f t="shared" si="2286"/>
        <v>2</v>
      </c>
      <c r="S343" s="53">
        <f t="shared" si="2287"/>
        <v>2</v>
      </c>
      <c r="T343" s="54">
        <f t="shared" si="2288"/>
        <v>4</v>
      </c>
      <c r="U343" s="53">
        <f t="shared" si="2289"/>
        <v>2</v>
      </c>
      <c r="V343" s="54">
        <f t="shared" si="2290"/>
        <v>4</v>
      </c>
      <c r="W343" s="53">
        <f t="shared" si="2291"/>
        <v>1</v>
      </c>
      <c r="X343" s="54">
        <f t="shared" si="2292"/>
        <v>1</v>
      </c>
      <c r="Y343" s="53">
        <f t="shared" si="2293"/>
        <v>1</v>
      </c>
      <c r="Z343" s="54">
        <f t="shared" si="2294"/>
        <v>3</v>
      </c>
      <c r="AA343" s="53">
        <f t="shared" si="2295"/>
        <v>0</v>
      </c>
      <c r="AB343" s="54">
        <f t="shared" si="2296"/>
        <v>0</v>
      </c>
      <c r="AC343" s="49">
        <f t="shared" ref="AC343:AD343" si="2390">SUM(S343,U343,W343,Y343,AA343)</f>
        <v>6</v>
      </c>
      <c r="AD343" s="50">
        <f t="shared" si="2390"/>
        <v>12</v>
      </c>
      <c r="AE343" s="53">
        <f t="shared" si="2298"/>
        <v>1</v>
      </c>
      <c r="AF343" s="54">
        <f t="shared" si="2299"/>
        <v>3</v>
      </c>
      <c r="AG343" s="53">
        <f t="shared" si="2300"/>
        <v>2</v>
      </c>
      <c r="AH343" s="54">
        <f t="shared" si="2301"/>
        <v>4</v>
      </c>
      <c r="AI343" s="53">
        <f t="shared" si="2302"/>
        <v>2</v>
      </c>
      <c r="AJ343" s="54">
        <f t="shared" si="2303"/>
        <v>4</v>
      </c>
      <c r="AK343" s="53">
        <f t="shared" si="2304"/>
        <v>1</v>
      </c>
      <c r="AL343" s="54">
        <f t="shared" si="2305"/>
        <v>3</v>
      </c>
      <c r="AM343" s="53">
        <f t="shared" si="2306"/>
        <v>2</v>
      </c>
      <c r="AN343" s="54">
        <f t="shared" si="2307"/>
        <v>4</v>
      </c>
      <c r="AO343" s="53">
        <f t="shared" si="2308"/>
        <v>2</v>
      </c>
      <c r="AP343" s="54">
        <f t="shared" si="2309"/>
        <v>4</v>
      </c>
      <c r="AQ343" s="49">
        <f t="shared" ref="AQ343:AR343" si="2391">SUM(AG343,AI343,AK343,AM343,AO343)</f>
        <v>9</v>
      </c>
      <c r="AR343" s="50">
        <f t="shared" si="2391"/>
        <v>19</v>
      </c>
      <c r="AS343" s="53">
        <f t="shared" si="2311"/>
        <v>2</v>
      </c>
      <c r="AT343" s="54">
        <f t="shared" si="2312"/>
        <v>4</v>
      </c>
      <c r="AU343" s="53">
        <f t="shared" si="2313"/>
        <v>1</v>
      </c>
      <c r="AV343" s="54">
        <f t="shared" si="2314"/>
        <v>3</v>
      </c>
      <c r="AW343" s="53">
        <f t="shared" si="2315"/>
        <v>1</v>
      </c>
      <c r="AX343" s="54">
        <f t="shared" si="2316"/>
        <v>2</v>
      </c>
      <c r="AY343" s="53">
        <f t="shared" si="2317"/>
        <v>0</v>
      </c>
      <c r="AZ343" s="54">
        <f t="shared" si="2318"/>
        <v>0</v>
      </c>
      <c r="BA343" s="53">
        <f t="shared" si="2319"/>
        <v>0</v>
      </c>
      <c r="BB343" s="54">
        <f t="shared" si="2320"/>
        <v>0</v>
      </c>
      <c r="BC343" s="49">
        <f t="shared" ref="BC343:BD343" si="2392">SUM(AS343,AU343,AW343,AY343,BA343)</f>
        <v>4</v>
      </c>
      <c r="BD343" s="50">
        <f t="shared" si="2392"/>
        <v>9</v>
      </c>
      <c r="BE343" s="68">
        <f t="shared" ref="BE343:BF343" si="2393">SUM(E343,G343,I343,O343,Q343,AC343,AQ343,BC343)</f>
        <v>27</v>
      </c>
      <c r="BF343" s="69">
        <f t="shared" si="2393"/>
        <v>55</v>
      </c>
      <c r="BG343" s="46" t="str">
        <f>BF343*'ОВгП_РАО'!$B$17</f>
        <v>#REF!</v>
      </c>
      <c r="BH343" s="46" t="str">
        <f>'ОВгП_РАО'!$B$17</f>
        <v>#REF!</v>
      </c>
    </row>
    <row r="344" ht="15.75" customHeight="1">
      <c r="A344" s="80">
        <f t="shared" si="2323"/>
        <v>46270</v>
      </c>
      <c r="B344" s="129" t="s">
        <v>137</v>
      </c>
      <c r="C344" s="47" t="s">
        <v>122</v>
      </c>
      <c r="D344" s="47" t="s">
        <v>136</v>
      </c>
      <c r="E344" s="73">
        <f t="shared" si="2274"/>
        <v>1</v>
      </c>
      <c r="F344" s="50">
        <f t="shared" si="2275"/>
        <v>2</v>
      </c>
      <c r="G344" s="73">
        <f t="shared" si="2276"/>
        <v>1</v>
      </c>
      <c r="H344" s="50">
        <f t="shared" si="2277"/>
        <v>3</v>
      </c>
      <c r="I344" s="73">
        <f t="shared" si="2278"/>
        <v>2</v>
      </c>
      <c r="J344" s="50">
        <f t="shared" si="2279"/>
        <v>4</v>
      </c>
      <c r="K344" s="53">
        <f t="shared" si="2280"/>
        <v>0</v>
      </c>
      <c r="L344" s="54">
        <f t="shared" si="2281"/>
        <v>0</v>
      </c>
      <c r="M344" s="53">
        <f t="shared" si="2282"/>
        <v>2</v>
      </c>
      <c r="N344" s="54">
        <f t="shared" si="2283"/>
        <v>4</v>
      </c>
      <c r="O344" s="49">
        <f t="shared" ref="O344:P344" si="2394">SUM(K344,M344)</f>
        <v>2</v>
      </c>
      <c r="P344" s="50">
        <f t="shared" si="2394"/>
        <v>4</v>
      </c>
      <c r="Q344" s="73">
        <f t="shared" si="2285"/>
        <v>0</v>
      </c>
      <c r="R344" s="50">
        <f t="shared" si="2286"/>
        <v>0</v>
      </c>
      <c r="S344" s="53">
        <f t="shared" si="2287"/>
        <v>1</v>
      </c>
      <c r="T344" s="54">
        <f t="shared" si="2288"/>
        <v>3</v>
      </c>
      <c r="U344" s="53">
        <f t="shared" si="2289"/>
        <v>1</v>
      </c>
      <c r="V344" s="54">
        <f t="shared" si="2290"/>
        <v>1</v>
      </c>
      <c r="W344" s="53">
        <f t="shared" si="2291"/>
        <v>1</v>
      </c>
      <c r="X344" s="54">
        <f t="shared" si="2292"/>
        <v>3</v>
      </c>
      <c r="Y344" s="53">
        <f t="shared" si="2293"/>
        <v>1</v>
      </c>
      <c r="Z344" s="54">
        <f t="shared" si="2294"/>
        <v>1</v>
      </c>
      <c r="AA344" s="53">
        <f t="shared" si="2295"/>
        <v>2</v>
      </c>
      <c r="AB344" s="54">
        <f t="shared" si="2296"/>
        <v>4</v>
      </c>
      <c r="AC344" s="49">
        <f t="shared" ref="AC344:AD344" si="2395">SUM(S344,U344,W344,Y344,AA344)</f>
        <v>6</v>
      </c>
      <c r="AD344" s="50">
        <f t="shared" si="2395"/>
        <v>12</v>
      </c>
      <c r="AE344" s="53">
        <f t="shared" si="2298"/>
        <v>1</v>
      </c>
      <c r="AF344" s="54">
        <f t="shared" si="2299"/>
        <v>3</v>
      </c>
      <c r="AG344" s="53">
        <f t="shared" si="2300"/>
        <v>2</v>
      </c>
      <c r="AH344" s="54">
        <f t="shared" si="2301"/>
        <v>4</v>
      </c>
      <c r="AI344" s="53">
        <f t="shared" si="2302"/>
        <v>0</v>
      </c>
      <c r="AJ344" s="54">
        <f t="shared" si="2303"/>
        <v>0</v>
      </c>
      <c r="AK344" s="53">
        <f t="shared" si="2304"/>
        <v>1</v>
      </c>
      <c r="AL344" s="54">
        <f t="shared" si="2305"/>
        <v>3</v>
      </c>
      <c r="AM344" s="53">
        <f t="shared" si="2306"/>
        <v>0</v>
      </c>
      <c r="AN344" s="54">
        <f t="shared" si="2307"/>
        <v>0</v>
      </c>
      <c r="AO344" s="53">
        <f t="shared" si="2308"/>
        <v>0</v>
      </c>
      <c r="AP344" s="54">
        <f t="shared" si="2309"/>
        <v>0</v>
      </c>
      <c r="AQ344" s="49">
        <f t="shared" ref="AQ344:AR344" si="2396">SUM(AG344,AI344,AK344,AM344,AO344)</f>
        <v>3</v>
      </c>
      <c r="AR344" s="50">
        <f t="shared" si="2396"/>
        <v>7</v>
      </c>
      <c r="AS344" s="53">
        <f t="shared" si="2311"/>
        <v>1</v>
      </c>
      <c r="AT344" s="54">
        <f t="shared" si="2312"/>
        <v>1</v>
      </c>
      <c r="AU344" s="53">
        <f t="shared" si="2313"/>
        <v>1</v>
      </c>
      <c r="AV344" s="54">
        <f t="shared" si="2314"/>
        <v>2</v>
      </c>
      <c r="AW344" s="53">
        <f t="shared" si="2315"/>
        <v>1</v>
      </c>
      <c r="AX344" s="54">
        <f t="shared" si="2316"/>
        <v>1</v>
      </c>
      <c r="AY344" s="53">
        <f t="shared" si="2317"/>
        <v>1</v>
      </c>
      <c r="AZ344" s="54">
        <f t="shared" si="2318"/>
        <v>1</v>
      </c>
      <c r="BA344" s="53">
        <f t="shared" si="2319"/>
        <v>1</v>
      </c>
      <c r="BB344" s="54">
        <f t="shared" si="2320"/>
        <v>3</v>
      </c>
      <c r="BC344" s="49">
        <f t="shared" ref="BC344:BD344" si="2397">SUM(AS344,AU344,AW344,AY344,BA344)</f>
        <v>5</v>
      </c>
      <c r="BD344" s="50">
        <f t="shared" si="2397"/>
        <v>8</v>
      </c>
      <c r="BE344" s="68">
        <f t="shared" ref="BE344:BF344" si="2398">SUM(E344,G344,I344,O344,Q344,AC344,AQ344,BC344)</f>
        <v>20</v>
      </c>
      <c r="BF344" s="69">
        <f t="shared" si="2398"/>
        <v>40</v>
      </c>
      <c r="BG344" s="46" t="str">
        <f>BF344*'ОВгП_РАО'!$B$18</f>
        <v>#REF!</v>
      </c>
      <c r="BH344" s="46" t="str">
        <f>'ОВгП_РАО'!$B$18</f>
        <v>#REF!</v>
      </c>
    </row>
    <row r="345" ht="15.75" customHeight="1">
      <c r="A345" s="80">
        <f t="shared" si="2323"/>
        <v>46270</v>
      </c>
      <c r="B345" s="129" t="s">
        <v>138</v>
      </c>
      <c r="C345" s="47" t="s">
        <v>122</v>
      </c>
      <c r="D345" s="47" t="s">
        <v>139</v>
      </c>
      <c r="E345" s="73">
        <f t="shared" si="2274"/>
        <v>2</v>
      </c>
      <c r="F345" s="50">
        <f t="shared" si="2275"/>
        <v>4</v>
      </c>
      <c r="G345" s="73">
        <f t="shared" si="2276"/>
        <v>1</v>
      </c>
      <c r="H345" s="50">
        <f t="shared" si="2277"/>
        <v>3</v>
      </c>
      <c r="I345" s="73">
        <f t="shared" si="2278"/>
        <v>1</v>
      </c>
      <c r="J345" s="50">
        <f t="shared" si="2279"/>
        <v>3</v>
      </c>
      <c r="K345" s="53">
        <f t="shared" si="2280"/>
        <v>0</v>
      </c>
      <c r="L345" s="54">
        <f t="shared" si="2281"/>
        <v>0</v>
      </c>
      <c r="M345" s="53">
        <f t="shared" si="2282"/>
        <v>1</v>
      </c>
      <c r="N345" s="54">
        <f t="shared" si="2283"/>
        <v>3</v>
      </c>
      <c r="O345" s="49">
        <f t="shared" ref="O345:P345" si="2399">SUM(K345,M345)</f>
        <v>1</v>
      </c>
      <c r="P345" s="50">
        <f t="shared" si="2399"/>
        <v>3</v>
      </c>
      <c r="Q345" s="73">
        <f t="shared" si="2285"/>
        <v>2</v>
      </c>
      <c r="R345" s="50">
        <f t="shared" si="2286"/>
        <v>4</v>
      </c>
      <c r="S345" s="53">
        <f t="shared" si="2287"/>
        <v>0</v>
      </c>
      <c r="T345" s="54">
        <f t="shared" si="2288"/>
        <v>0</v>
      </c>
      <c r="U345" s="53">
        <f t="shared" si="2289"/>
        <v>1</v>
      </c>
      <c r="V345" s="54">
        <f t="shared" si="2290"/>
        <v>2</v>
      </c>
      <c r="W345" s="53">
        <f t="shared" si="2291"/>
        <v>1</v>
      </c>
      <c r="X345" s="54">
        <f t="shared" si="2292"/>
        <v>1</v>
      </c>
      <c r="Y345" s="53">
        <f t="shared" si="2293"/>
        <v>1</v>
      </c>
      <c r="Z345" s="54">
        <f t="shared" si="2294"/>
        <v>2</v>
      </c>
      <c r="AA345" s="53">
        <f t="shared" si="2295"/>
        <v>0</v>
      </c>
      <c r="AB345" s="54">
        <f t="shared" si="2296"/>
        <v>0</v>
      </c>
      <c r="AC345" s="49">
        <f t="shared" ref="AC345:AD345" si="2400">SUM(S345,U345,W345,Y345,AA345)</f>
        <v>3</v>
      </c>
      <c r="AD345" s="50">
        <f t="shared" si="2400"/>
        <v>5</v>
      </c>
      <c r="AE345" s="53">
        <f t="shared" si="2298"/>
        <v>1</v>
      </c>
      <c r="AF345" s="54">
        <f t="shared" si="2299"/>
        <v>2</v>
      </c>
      <c r="AG345" s="53">
        <f t="shared" si="2300"/>
        <v>0</v>
      </c>
      <c r="AH345" s="54">
        <f t="shared" si="2301"/>
        <v>0</v>
      </c>
      <c r="AI345" s="53">
        <f t="shared" si="2302"/>
        <v>2</v>
      </c>
      <c r="AJ345" s="54">
        <f t="shared" si="2303"/>
        <v>4</v>
      </c>
      <c r="AK345" s="53">
        <f t="shared" si="2304"/>
        <v>1</v>
      </c>
      <c r="AL345" s="54">
        <f t="shared" si="2305"/>
        <v>3</v>
      </c>
      <c r="AM345" s="53">
        <f t="shared" si="2306"/>
        <v>1</v>
      </c>
      <c r="AN345" s="54">
        <f t="shared" si="2307"/>
        <v>2</v>
      </c>
      <c r="AO345" s="53">
        <f t="shared" si="2308"/>
        <v>1</v>
      </c>
      <c r="AP345" s="54">
        <f t="shared" si="2309"/>
        <v>3</v>
      </c>
      <c r="AQ345" s="49">
        <f t="shared" ref="AQ345:AR345" si="2401">SUM(AG345,AI345,AK345,AM345,AO345)</f>
        <v>5</v>
      </c>
      <c r="AR345" s="50">
        <f t="shared" si="2401"/>
        <v>12</v>
      </c>
      <c r="AS345" s="53">
        <f t="shared" si="2311"/>
        <v>1</v>
      </c>
      <c r="AT345" s="54">
        <f t="shared" si="2312"/>
        <v>2</v>
      </c>
      <c r="AU345" s="53">
        <f t="shared" si="2313"/>
        <v>0</v>
      </c>
      <c r="AV345" s="54">
        <f t="shared" si="2314"/>
        <v>0</v>
      </c>
      <c r="AW345" s="53">
        <f t="shared" si="2315"/>
        <v>1</v>
      </c>
      <c r="AX345" s="54">
        <f t="shared" si="2316"/>
        <v>2</v>
      </c>
      <c r="AY345" s="53">
        <f t="shared" si="2317"/>
        <v>1</v>
      </c>
      <c r="AZ345" s="54">
        <f t="shared" si="2318"/>
        <v>3</v>
      </c>
      <c r="BA345" s="53">
        <f t="shared" si="2319"/>
        <v>1</v>
      </c>
      <c r="BB345" s="54">
        <f t="shared" si="2320"/>
        <v>2</v>
      </c>
      <c r="BC345" s="49">
        <f t="shared" ref="BC345:BD345" si="2402">SUM(AS345,AU345,AW345,AY345,BA345)</f>
        <v>4</v>
      </c>
      <c r="BD345" s="50">
        <f t="shared" si="2402"/>
        <v>9</v>
      </c>
      <c r="BE345" s="68">
        <f t="shared" ref="BE345:BF345" si="2403">SUM(E345,G345,I345,O345,Q345,AC345,AQ345,BC345)</f>
        <v>19</v>
      </c>
      <c r="BF345" s="69">
        <f t="shared" si="2403"/>
        <v>43</v>
      </c>
      <c r="BG345" s="46" t="str">
        <f>BF345*'ОВгП_РАО'!$B$19</f>
        <v>#REF!</v>
      </c>
      <c r="BH345" s="46" t="str">
        <f>'ОВгП_РАО'!$B$19</f>
        <v>#REF!</v>
      </c>
    </row>
    <row r="346" ht="15.75" customHeight="1">
      <c r="A346" s="80">
        <f t="shared" si="2323"/>
        <v>46270</v>
      </c>
      <c r="B346" s="129" t="s">
        <v>140</v>
      </c>
      <c r="C346" s="47" t="s">
        <v>122</v>
      </c>
      <c r="D346" s="47" t="s">
        <v>139</v>
      </c>
      <c r="E346" s="73">
        <f t="shared" si="2274"/>
        <v>1</v>
      </c>
      <c r="F346" s="50">
        <f t="shared" si="2275"/>
        <v>3</v>
      </c>
      <c r="G346" s="73">
        <f t="shared" si="2276"/>
        <v>0</v>
      </c>
      <c r="H346" s="50">
        <f t="shared" si="2277"/>
        <v>0</v>
      </c>
      <c r="I346" s="73">
        <f t="shared" si="2278"/>
        <v>1</v>
      </c>
      <c r="J346" s="50">
        <f t="shared" si="2279"/>
        <v>2</v>
      </c>
      <c r="K346" s="53">
        <f t="shared" si="2280"/>
        <v>1</v>
      </c>
      <c r="L346" s="54">
        <f t="shared" si="2281"/>
        <v>2</v>
      </c>
      <c r="M346" s="53">
        <f t="shared" si="2282"/>
        <v>1</v>
      </c>
      <c r="N346" s="54">
        <f t="shared" si="2283"/>
        <v>2</v>
      </c>
      <c r="O346" s="49">
        <f t="shared" ref="O346:P346" si="2404">SUM(K346,M346)</f>
        <v>2</v>
      </c>
      <c r="P346" s="50">
        <f t="shared" si="2404"/>
        <v>4</v>
      </c>
      <c r="Q346" s="73">
        <f t="shared" si="2285"/>
        <v>1</v>
      </c>
      <c r="R346" s="50">
        <f t="shared" si="2286"/>
        <v>2</v>
      </c>
      <c r="S346" s="53">
        <f t="shared" si="2287"/>
        <v>0</v>
      </c>
      <c r="T346" s="54">
        <f t="shared" si="2288"/>
        <v>0</v>
      </c>
      <c r="U346" s="53">
        <f t="shared" si="2289"/>
        <v>2</v>
      </c>
      <c r="V346" s="54">
        <f t="shared" si="2290"/>
        <v>4</v>
      </c>
      <c r="W346" s="53">
        <f t="shared" si="2291"/>
        <v>0</v>
      </c>
      <c r="X346" s="54">
        <f t="shared" si="2292"/>
        <v>0</v>
      </c>
      <c r="Y346" s="53">
        <f t="shared" si="2293"/>
        <v>2</v>
      </c>
      <c r="Z346" s="54">
        <f t="shared" si="2294"/>
        <v>4</v>
      </c>
      <c r="AA346" s="53">
        <f t="shared" si="2295"/>
        <v>1</v>
      </c>
      <c r="AB346" s="54">
        <f t="shared" si="2296"/>
        <v>2</v>
      </c>
      <c r="AC346" s="49">
        <f t="shared" ref="AC346:AD346" si="2405">SUM(S346,U346,W346,Y346,AA346)</f>
        <v>5</v>
      </c>
      <c r="AD346" s="50">
        <f t="shared" si="2405"/>
        <v>10</v>
      </c>
      <c r="AE346" s="53">
        <f t="shared" si="2298"/>
        <v>0</v>
      </c>
      <c r="AF346" s="54">
        <f t="shared" si="2299"/>
        <v>0</v>
      </c>
      <c r="AG346" s="53">
        <f t="shared" si="2300"/>
        <v>1</v>
      </c>
      <c r="AH346" s="54">
        <f t="shared" si="2301"/>
        <v>2</v>
      </c>
      <c r="AI346" s="53">
        <f t="shared" si="2302"/>
        <v>0</v>
      </c>
      <c r="AJ346" s="54">
        <f t="shared" si="2303"/>
        <v>0</v>
      </c>
      <c r="AK346" s="53">
        <f t="shared" si="2304"/>
        <v>1</v>
      </c>
      <c r="AL346" s="54">
        <f t="shared" si="2305"/>
        <v>3</v>
      </c>
      <c r="AM346" s="53">
        <f t="shared" si="2306"/>
        <v>2</v>
      </c>
      <c r="AN346" s="54">
        <f t="shared" si="2307"/>
        <v>4</v>
      </c>
      <c r="AO346" s="53">
        <f t="shared" si="2308"/>
        <v>2</v>
      </c>
      <c r="AP346" s="54">
        <f t="shared" si="2309"/>
        <v>4</v>
      </c>
      <c r="AQ346" s="49">
        <f t="shared" ref="AQ346:AR346" si="2406">SUM(AG346,AI346,AK346,AM346,AO346)</f>
        <v>6</v>
      </c>
      <c r="AR346" s="50">
        <f t="shared" si="2406"/>
        <v>13</v>
      </c>
      <c r="AS346" s="53">
        <f t="shared" si="2311"/>
        <v>1</v>
      </c>
      <c r="AT346" s="54">
        <f t="shared" si="2312"/>
        <v>2</v>
      </c>
      <c r="AU346" s="53">
        <f t="shared" si="2313"/>
        <v>0</v>
      </c>
      <c r="AV346" s="54">
        <f t="shared" si="2314"/>
        <v>0</v>
      </c>
      <c r="AW346" s="53">
        <f t="shared" si="2315"/>
        <v>0</v>
      </c>
      <c r="AX346" s="54">
        <f t="shared" si="2316"/>
        <v>0</v>
      </c>
      <c r="AY346" s="53">
        <f t="shared" si="2317"/>
        <v>1</v>
      </c>
      <c r="AZ346" s="54">
        <f t="shared" si="2318"/>
        <v>1</v>
      </c>
      <c r="BA346" s="53">
        <f t="shared" si="2319"/>
        <v>2</v>
      </c>
      <c r="BB346" s="54">
        <f t="shared" si="2320"/>
        <v>4</v>
      </c>
      <c r="BC346" s="49">
        <f t="shared" ref="BC346:BD346" si="2407">SUM(AS346,AU346,AW346,AY346,BA346)</f>
        <v>4</v>
      </c>
      <c r="BD346" s="50">
        <f t="shared" si="2407"/>
        <v>7</v>
      </c>
      <c r="BE346" s="68">
        <f t="shared" ref="BE346:BF346" si="2408">SUM(E346,G346,I346,O346,Q346,AC346,AQ346,BC346)</f>
        <v>20</v>
      </c>
      <c r="BF346" s="69">
        <f t="shared" si="2408"/>
        <v>41</v>
      </c>
      <c r="BG346" s="46" t="str">
        <f>BF346*'ОВгП_РАО'!$B$20</f>
        <v>#REF!</v>
      </c>
      <c r="BH346" s="46" t="str">
        <f>'ОВгП_РАО'!$B$20</f>
        <v>#REF!</v>
      </c>
    </row>
    <row r="347" ht="15.75" customHeight="1">
      <c r="A347" s="80">
        <f t="shared" si="2323"/>
        <v>46270</v>
      </c>
      <c r="B347" s="129" t="s">
        <v>141</v>
      </c>
      <c r="C347" s="47" t="s">
        <v>122</v>
      </c>
      <c r="D347" s="47" t="s">
        <v>139</v>
      </c>
      <c r="E347" s="73">
        <f t="shared" si="2274"/>
        <v>1</v>
      </c>
      <c r="F347" s="50">
        <f t="shared" si="2275"/>
        <v>3</v>
      </c>
      <c r="G347" s="73">
        <f t="shared" si="2276"/>
        <v>1</v>
      </c>
      <c r="H347" s="50">
        <f t="shared" si="2277"/>
        <v>3</v>
      </c>
      <c r="I347" s="73">
        <f t="shared" si="2278"/>
        <v>0</v>
      </c>
      <c r="J347" s="50">
        <f t="shared" si="2279"/>
        <v>0</v>
      </c>
      <c r="K347" s="53">
        <f t="shared" si="2280"/>
        <v>0</v>
      </c>
      <c r="L347" s="54">
        <f t="shared" si="2281"/>
        <v>0</v>
      </c>
      <c r="M347" s="53">
        <f t="shared" si="2282"/>
        <v>1</v>
      </c>
      <c r="N347" s="54">
        <f t="shared" si="2283"/>
        <v>3</v>
      </c>
      <c r="O347" s="49">
        <f t="shared" ref="O347:P347" si="2409">SUM(K347,M347)</f>
        <v>1</v>
      </c>
      <c r="P347" s="50">
        <f t="shared" si="2409"/>
        <v>3</v>
      </c>
      <c r="Q347" s="73">
        <f t="shared" si="2285"/>
        <v>1</v>
      </c>
      <c r="R347" s="50">
        <f t="shared" si="2286"/>
        <v>1</v>
      </c>
      <c r="S347" s="53">
        <f t="shared" si="2287"/>
        <v>1</v>
      </c>
      <c r="T347" s="54">
        <f t="shared" si="2288"/>
        <v>1</v>
      </c>
      <c r="U347" s="53">
        <f t="shared" si="2289"/>
        <v>1</v>
      </c>
      <c r="V347" s="54">
        <f t="shared" si="2290"/>
        <v>1</v>
      </c>
      <c r="W347" s="53">
        <f t="shared" si="2291"/>
        <v>0</v>
      </c>
      <c r="X347" s="54">
        <f t="shared" si="2292"/>
        <v>0</v>
      </c>
      <c r="Y347" s="53">
        <f t="shared" si="2293"/>
        <v>1</v>
      </c>
      <c r="Z347" s="54">
        <f t="shared" si="2294"/>
        <v>2</v>
      </c>
      <c r="AA347" s="53">
        <f t="shared" si="2295"/>
        <v>1</v>
      </c>
      <c r="AB347" s="54">
        <f t="shared" si="2296"/>
        <v>3</v>
      </c>
      <c r="AC347" s="49">
        <f t="shared" ref="AC347:AD347" si="2410">SUM(S347,U347,W347,Y347,AA347)</f>
        <v>4</v>
      </c>
      <c r="AD347" s="50">
        <f t="shared" si="2410"/>
        <v>7</v>
      </c>
      <c r="AE347" s="53">
        <f t="shared" si="2298"/>
        <v>2</v>
      </c>
      <c r="AF347" s="54">
        <f t="shared" si="2299"/>
        <v>4</v>
      </c>
      <c r="AG347" s="53">
        <f t="shared" si="2300"/>
        <v>2</v>
      </c>
      <c r="AH347" s="54">
        <f t="shared" si="2301"/>
        <v>4</v>
      </c>
      <c r="AI347" s="53">
        <f t="shared" si="2302"/>
        <v>1</v>
      </c>
      <c r="AJ347" s="54">
        <f t="shared" si="2303"/>
        <v>2</v>
      </c>
      <c r="AK347" s="53">
        <f t="shared" si="2304"/>
        <v>1</v>
      </c>
      <c r="AL347" s="54">
        <f t="shared" si="2305"/>
        <v>1</v>
      </c>
      <c r="AM347" s="53">
        <f t="shared" si="2306"/>
        <v>0</v>
      </c>
      <c r="AN347" s="54">
        <f t="shared" si="2307"/>
        <v>0</v>
      </c>
      <c r="AO347" s="53">
        <f t="shared" si="2308"/>
        <v>1</v>
      </c>
      <c r="AP347" s="54">
        <f t="shared" si="2309"/>
        <v>3</v>
      </c>
      <c r="AQ347" s="49">
        <f t="shared" ref="AQ347:AR347" si="2411">SUM(AG347,AI347,AK347,AM347,AO347)</f>
        <v>5</v>
      </c>
      <c r="AR347" s="50">
        <f t="shared" si="2411"/>
        <v>10</v>
      </c>
      <c r="AS347" s="53">
        <f t="shared" si="2311"/>
        <v>2</v>
      </c>
      <c r="AT347" s="54">
        <f t="shared" si="2312"/>
        <v>4</v>
      </c>
      <c r="AU347" s="53">
        <f t="shared" si="2313"/>
        <v>2</v>
      </c>
      <c r="AV347" s="54">
        <f t="shared" si="2314"/>
        <v>4</v>
      </c>
      <c r="AW347" s="53">
        <f t="shared" si="2315"/>
        <v>1</v>
      </c>
      <c r="AX347" s="54">
        <f t="shared" si="2316"/>
        <v>1</v>
      </c>
      <c r="AY347" s="53">
        <f t="shared" si="2317"/>
        <v>1</v>
      </c>
      <c r="AZ347" s="54">
        <f t="shared" si="2318"/>
        <v>2</v>
      </c>
      <c r="BA347" s="53">
        <f t="shared" si="2319"/>
        <v>1</v>
      </c>
      <c r="BB347" s="54">
        <f t="shared" si="2320"/>
        <v>3</v>
      </c>
      <c r="BC347" s="49">
        <f t="shared" ref="BC347:BD347" si="2412">SUM(AS347,AU347,AW347,AY347,BA347)</f>
        <v>7</v>
      </c>
      <c r="BD347" s="50">
        <f t="shared" si="2412"/>
        <v>14</v>
      </c>
      <c r="BE347" s="68">
        <f t="shared" ref="BE347:BF347" si="2413">SUM(E347,G347,I347,O347,Q347,AC347,AQ347,BC347)</f>
        <v>20</v>
      </c>
      <c r="BF347" s="69">
        <f t="shared" si="2413"/>
        <v>41</v>
      </c>
      <c r="BG347" s="46" t="str">
        <f>BF347*'ОВгП_РАО'!$B$21</f>
        <v>#REF!</v>
      </c>
      <c r="BH347" s="46" t="str">
        <f>'ОВгП_РАО'!$B$21</f>
        <v>#REF!</v>
      </c>
    </row>
    <row r="348" ht="15.75" customHeight="1">
      <c r="A348" s="80">
        <f t="shared" si="2323"/>
        <v>46270</v>
      </c>
      <c r="B348" s="47" t="s">
        <v>142</v>
      </c>
      <c r="C348" s="46" t="s">
        <v>96</v>
      </c>
      <c r="D348" s="47" t="s">
        <v>98</v>
      </c>
      <c r="E348" s="73">
        <f t="shared" si="2274"/>
        <v>2</v>
      </c>
      <c r="F348" s="50">
        <f t="shared" si="2275"/>
        <v>4</v>
      </c>
      <c r="G348" s="73">
        <f t="shared" si="2276"/>
        <v>2</v>
      </c>
      <c r="H348" s="50">
        <f t="shared" si="2277"/>
        <v>4</v>
      </c>
      <c r="I348" s="73">
        <f t="shared" si="2278"/>
        <v>2</v>
      </c>
      <c r="J348" s="50">
        <f t="shared" si="2279"/>
        <v>4</v>
      </c>
      <c r="K348" s="53">
        <f t="shared" si="2280"/>
        <v>0</v>
      </c>
      <c r="L348" s="54">
        <f t="shared" si="2281"/>
        <v>0</v>
      </c>
      <c r="M348" s="53">
        <f t="shared" si="2282"/>
        <v>1</v>
      </c>
      <c r="N348" s="54">
        <f t="shared" si="2283"/>
        <v>1</v>
      </c>
      <c r="O348" s="49">
        <f t="shared" ref="O348:P348" si="2414">SUM(K348,M348)</f>
        <v>1</v>
      </c>
      <c r="P348" s="50">
        <f t="shared" si="2414"/>
        <v>1</v>
      </c>
      <c r="Q348" s="73">
        <f t="shared" si="2285"/>
        <v>0</v>
      </c>
      <c r="R348" s="50">
        <f t="shared" si="2286"/>
        <v>0</v>
      </c>
      <c r="S348" s="53">
        <f t="shared" si="2287"/>
        <v>0</v>
      </c>
      <c r="T348" s="54">
        <f t="shared" si="2288"/>
        <v>0</v>
      </c>
      <c r="U348" s="53">
        <f t="shared" si="2289"/>
        <v>2</v>
      </c>
      <c r="V348" s="54">
        <f t="shared" si="2290"/>
        <v>4</v>
      </c>
      <c r="W348" s="53">
        <f t="shared" si="2291"/>
        <v>2</v>
      </c>
      <c r="X348" s="54">
        <f t="shared" si="2292"/>
        <v>4</v>
      </c>
      <c r="Y348" s="53">
        <f t="shared" si="2293"/>
        <v>0</v>
      </c>
      <c r="Z348" s="54">
        <f t="shared" si="2294"/>
        <v>0</v>
      </c>
      <c r="AA348" s="53">
        <f t="shared" si="2295"/>
        <v>2</v>
      </c>
      <c r="AB348" s="54">
        <f t="shared" si="2296"/>
        <v>4</v>
      </c>
      <c r="AC348" s="49">
        <f t="shared" ref="AC348:AD348" si="2415">SUM(S348,U348,W348,Y348,AA348)</f>
        <v>6</v>
      </c>
      <c r="AD348" s="50">
        <f t="shared" si="2415"/>
        <v>12</v>
      </c>
      <c r="AE348" s="53">
        <f t="shared" si="2298"/>
        <v>2</v>
      </c>
      <c r="AF348" s="54">
        <f t="shared" si="2299"/>
        <v>4</v>
      </c>
      <c r="AG348" s="53">
        <f t="shared" si="2300"/>
        <v>1</v>
      </c>
      <c r="AH348" s="54">
        <f t="shared" si="2301"/>
        <v>1</v>
      </c>
      <c r="AI348" s="53">
        <f t="shared" si="2302"/>
        <v>0</v>
      </c>
      <c r="AJ348" s="54">
        <f t="shared" si="2303"/>
        <v>0</v>
      </c>
      <c r="AK348" s="53">
        <f t="shared" si="2304"/>
        <v>1</v>
      </c>
      <c r="AL348" s="54">
        <f t="shared" si="2305"/>
        <v>1</v>
      </c>
      <c r="AM348" s="53">
        <f t="shared" si="2306"/>
        <v>1</v>
      </c>
      <c r="AN348" s="54">
        <f t="shared" si="2307"/>
        <v>2</v>
      </c>
      <c r="AO348" s="53">
        <f t="shared" si="2308"/>
        <v>1</v>
      </c>
      <c r="AP348" s="54">
        <f t="shared" si="2309"/>
        <v>1</v>
      </c>
      <c r="AQ348" s="49">
        <f t="shared" ref="AQ348:AR348" si="2416">SUM(AG348,AI348,AK348,AM348,AO348)</f>
        <v>4</v>
      </c>
      <c r="AR348" s="50">
        <f t="shared" si="2416"/>
        <v>5</v>
      </c>
      <c r="AS348" s="53">
        <f t="shared" si="2311"/>
        <v>0</v>
      </c>
      <c r="AT348" s="54">
        <f t="shared" si="2312"/>
        <v>0</v>
      </c>
      <c r="AU348" s="53">
        <f t="shared" si="2313"/>
        <v>2</v>
      </c>
      <c r="AV348" s="54">
        <f t="shared" si="2314"/>
        <v>4</v>
      </c>
      <c r="AW348" s="53">
        <f t="shared" si="2315"/>
        <v>1</v>
      </c>
      <c r="AX348" s="54">
        <f t="shared" si="2316"/>
        <v>1</v>
      </c>
      <c r="AY348" s="53">
        <f t="shared" si="2317"/>
        <v>1</v>
      </c>
      <c r="AZ348" s="54">
        <f t="shared" si="2318"/>
        <v>3</v>
      </c>
      <c r="BA348" s="53">
        <f t="shared" si="2319"/>
        <v>0</v>
      </c>
      <c r="BB348" s="54">
        <f t="shared" si="2320"/>
        <v>0</v>
      </c>
      <c r="BC348" s="49">
        <f t="shared" ref="BC348:BD348" si="2417">SUM(AS348,AU348,AW348,AY348,BA348)</f>
        <v>4</v>
      </c>
      <c r="BD348" s="50">
        <f t="shared" si="2417"/>
        <v>8</v>
      </c>
      <c r="BE348" s="68">
        <f t="shared" ref="BE348:BF348" si="2418">SUM(E348,G348,I348,O348,Q348,AC348,AQ348,BC348)</f>
        <v>21</v>
      </c>
      <c r="BF348" s="69">
        <f t="shared" si="2418"/>
        <v>38</v>
      </c>
      <c r="BG348" s="46" t="str">
        <f>BF348*'ОВгП_РАО'!$B$22</f>
        <v>#REF!</v>
      </c>
      <c r="BH348" s="46" t="str">
        <f>'ОВгП_РАО'!$B$22</f>
        <v>#REF!</v>
      </c>
    </row>
    <row r="349" ht="15.75" customHeight="1">
      <c r="A349" s="80">
        <f t="shared" si="2323"/>
        <v>46270</v>
      </c>
      <c r="B349" s="47" t="s">
        <v>143</v>
      </c>
      <c r="C349" s="46" t="s">
        <v>96</v>
      </c>
      <c r="D349" s="47" t="s">
        <v>98</v>
      </c>
      <c r="E349" s="73">
        <f t="shared" si="2274"/>
        <v>2</v>
      </c>
      <c r="F349" s="50">
        <f t="shared" si="2275"/>
        <v>4</v>
      </c>
      <c r="G349" s="73">
        <f t="shared" si="2276"/>
        <v>1</v>
      </c>
      <c r="H349" s="50">
        <f t="shared" si="2277"/>
        <v>2</v>
      </c>
      <c r="I349" s="73">
        <f t="shared" si="2278"/>
        <v>1</v>
      </c>
      <c r="J349" s="50">
        <f t="shared" si="2279"/>
        <v>2</v>
      </c>
      <c r="K349" s="53">
        <f t="shared" si="2280"/>
        <v>0</v>
      </c>
      <c r="L349" s="54">
        <f t="shared" si="2281"/>
        <v>0</v>
      </c>
      <c r="M349" s="53">
        <f t="shared" si="2282"/>
        <v>1</v>
      </c>
      <c r="N349" s="54">
        <f t="shared" si="2283"/>
        <v>2</v>
      </c>
      <c r="O349" s="49">
        <f t="shared" ref="O349:P349" si="2419">SUM(K349,M349)</f>
        <v>1</v>
      </c>
      <c r="P349" s="50">
        <f t="shared" si="2419"/>
        <v>2</v>
      </c>
      <c r="Q349" s="73">
        <f t="shared" si="2285"/>
        <v>1</v>
      </c>
      <c r="R349" s="50">
        <f t="shared" si="2286"/>
        <v>3</v>
      </c>
      <c r="S349" s="53">
        <f t="shared" si="2287"/>
        <v>1</v>
      </c>
      <c r="T349" s="54">
        <f t="shared" si="2288"/>
        <v>2</v>
      </c>
      <c r="U349" s="53">
        <f t="shared" si="2289"/>
        <v>1</v>
      </c>
      <c r="V349" s="54">
        <f t="shared" si="2290"/>
        <v>2</v>
      </c>
      <c r="W349" s="53">
        <f t="shared" si="2291"/>
        <v>1</v>
      </c>
      <c r="X349" s="54">
        <f t="shared" si="2292"/>
        <v>2</v>
      </c>
      <c r="Y349" s="53">
        <f t="shared" si="2293"/>
        <v>2</v>
      </c>
      <c r="Z349" s="54">
        <f t="shared" si="2294"/>
        <v>4</v>
      </c>
      <c r="AA349" s="53">
        <f t="shared" si="2295"/>
        <v>1</v>
      </c>
      <c r="AB349" s="54">
        <f t="shared" si="2296"/>
        <v>1</v>
      </c>
      <c r="AC349" s="49">
        <f t="shared" ref="AC349:AD349" si="2420">SUM(S349,U349,W349,Y349,AA349)</f>
        <v>6</v>
      </c>
      <c r="AD349" s="50">
        <f t="shared" si="2420"/>
        <v>11</v>
      </c>
      <c r="AE349" s="53">
        <f t="shared" si="2298"/>
        <v>2</v>
      </c>
      <c r="AF349" s="54">
        <f t="shared" si="2299"/>
        <v>4</v>
      </c>
      <c r="AG349" s="53">
        <f t="shared" si="2300"/>
        <v>1</v>
      </c>
      <c r="AH349" s="54">
        <f t="shared" si="2301"/>
        <v>3</v>
      </c>
      <c r="AI349" s="53">
        <f t="shared" si="2302"/>
        <v>0</v>
      </c>
      <c r="AJ349" s="54">
        <f t="shared" si="2303"/>
        <v>0</v>
      </c>
      <c r="AK349" s="53">
        <f t="shared" si="2304"/>
        <v>1</v>
      </c>
      <c r="AL349" s="54">
        <f t="shared" si="2305"/>
        <v>1</v>
      </c>
      <c r="AM349" s="53">
        <f t="shared" si="2306"/>
        <v>1</v>
      </c>
      <c r="AN349" s="54">
        <f t="shared" si="2307"/>
        <v>1</v>
      </c>
      <c r="AO349" s="53">
        <f t="shared" si="2308"/>
        <v>1</v>
      </c>
      <c r="AP349" s="54">
        <f t="shared" si="2309"/>
        <v>1</v>
      </c>
      <c r="AQ349" s="49">
        <f t="shared" ref="AQ349:AR349" si="2421">SUM(AG349,AI349,AK349,AM349,AO349)</f>
        <v>4</v>
      </c>
      <c r="AR349" s="50">
        <f t="shared" si="2421"/>
        <v>6</v>
      </c>
      <c r="AS349" s="53">
        <f t="shared" si="2311"/>
        <v>1</v>
      </c>
      <c r="AT349" s="54">
        <f t="shared" si="2312"/>
        <v>1</v>
      </c>
      <c r="AU349" s="53">
        <f t="shared" si="2313"/>
        <v>1</v>
      </c>
      <c r="AV349" s="54">
        <f t="shared" si="2314"/>
        <v>2</v>
      </c>
      <c r="AW349" s="53">
        <f t="shared" si="2315"/>
        <v>0</v>
      </c>
      <c r="AX349" s="54">
        <f t="shared" si="2316"/>
        <v>0</v>
      </c>
      <c r="AY349" s="53">
        <f t="shared" si="2317"/>
        <v>1</v>
      </c>
      <c r="AZ349" s="54">
        <f t="shared" si="2318"/>
        <v>1</v>
      </c>
      <c r="BA349" s="53">
        <f t="shared" si="2319"/>
        <v>1</v>
      </c>
      <c r="BB349" s="54">
        <f t="shared" si="2320"/>
        <v>1</v>
      </c>
      <c r="BC349" s="49">
        <f t="shared" ref="BC349:BD349" si="2422">SUM(AS349,AU349,AW349,AY349,BA349)</f>
        <v>4</v>
      </c>
      <c r="BD349" s="50">
        <f t="shared" si="2422"/>
        <v>5</v>
      </c>
      <c r="BE349" s="68">
        <f t="shared" ref="BE349:BF349" si="2423">SUM(E349,G349,I349,O349,Q349,AC349,AQ349,BC349)</f>
        <v>20</v>
      </c>
      <c r="BF349" s="69">
        <f t="shared" si="2423"/>
        <v>35</v>
      </c>
      <c r="BG349" s="46" t="str">
        <f>BF349*'ОВгП_РАО'!$B$23</f>
        <v>#REF!</v>
      </c>
      <c r="BH349" s="46" t="str">
        <f>'ОВгП_РАО'!$B$23</f>
        <v>#REF!</v>
      </c>
    </row>
    <row r="350" ht="15.75" customHeight="1">
      <c r="A350" s="80">
        <f t="shared" si="2323"/>
        <v>46270</v>
      </c>
      <c r="B350" s="47" t="s">
        <v>144</v>
      </c>
      <c r="C350" s="46" t="s">
        <v>96</v>
      </c>
      <c r="D350" s="47" t="s">
        <v>145</v>
      </c>
      <c r="E350" s="73">
        <f t="shared" si="2274"/>
        <v>1</v>
      </c>
      <c r="F350" s="50">
        <f t="shared" si="2275"/>
        <v>1</v>
      </c>
      <c r="G350" s="73">
        <f t="shared" si="2276"/>
        <v>1</v>
      </c>
      <c r="H350" s="50">
        <f t="shared" si="2277"/>
        <v>3</v>
      </c>
      <c r="I350" s="73">
        <f t="shared" si="2278"/>
        <v>1</v>
      </c>
      <c r="J350" s="50">
        <f t="shared" si="2279"/>
        <v>3</v>
      </c>
      <c r="K350" s="53">
        <f t="shared" si="2280"/>
        <v>1</v>
      </c>
      <c r="L350" s="54">
        <f t="shared" si="2281"/>
        <v>3</v>
      </c>
      <c r="M350" s="53">
        <f t="shared" si="2282"/>
        <v>2</v>
      </c>
      <c r="N350" s="54">
        <f t="shared" si="2283"/>
        <v>4</v>
      </c>
      <c r="O350" s="49">
        <f t="shared" ref="O350:P350" si="2424">SUM(K350,M350)</f>
        <v>3</v>
      </c>
      <c r="P350" s="50">
        <f t="shared" si="2424"/>
        <v>7</v>
      </c>
      <c r="Q350" s="73">
        <f t="shared" si="2285"/>
        <v>1</v>
      </c>
      <c r="R350" s="50">
        <f t="shared" si="2286"/>
        <v>2</v>
      </c>
      <c r="S350" s="53">
        <f t="shared" si="2287"/>
        <v>1</v>
      </c>
      <c r="T350" s="54">
        <f t="shared" si="2288"/>
        <v>3</v>
      </c>
      <c r="U350" s="53">
        <f t="shared" si="2289"/>
        <v>1</v>
      </c>
      <c r="V350" s="54">
        <f t="shared" si="2290"/>
        <v>1</v>
      </c>
      <c r="W350" s="53">
        <f t="shared" si="2291"/>
        <v>1</v>
      </c>
      <c r="X350" s="54">
        <f t="shared" si="2292"/>
        <v>2</v>
      </c>
      <c r="Y350" s="53">
        <f t="shared" si="2293"/>
        <v>1</v>
      </c>
      <c r="Z350" s="54">
        <f t="shared" si="2294"/>
        <v>3</v>
      </c>
      <c r="AA350" s="53">
        <f t="shared" si="2295"/>
        <v>2</v>
      </c>
      <c r="AB350" s="54">
        <f t="shared" si="2296"/>
        <v>4</v>
      </c>
      <c r="AC350" s="49">
        <f t="shared" ref="AC350:AD350" si="2425">SUM(S350,U350,W350,Y350,AA350)</f>
        <v>6</v>
      </c>
      <c r="AD350" s="50">
        <f t="shared" si="2425"/>
        <v>13</v>
      </c>
      <c r="AE350" s="53">
        <f t="shared" si="2298"/>
        <v>2</v>
      </c>
      <c r="AF350" s="54">
        <f t="shared" si="2299"/>
        <v>4</v>
      </c>
      <c r="AG350" s="53">
        <f t="shared" si="2300"/>
        <v>2</v>
      </c>
      <c r="AH350" s="54">
        <f t="shared" si="2301"/>
        <v>4</v>
      </c>
      <c r="AI350" s="53">
        <f t="shared" si="2302"/>
        <v>2</v>
      </c>
      <c r="AJ350" s="54">
        <f t="shared" si="2303"/>
        <v>4</v>
      </c>
      <c r="AK350" s="53">
        <f t="shared" si="2304"/>
        <v>1</v>
      </c>
      <c r="AL350" s="54">
        <f t="shared" si="2305"/>
        <v>2</v>
      </c>
      <c r="AM350" s="53">
        <f t="shared" si="2306"/>
        <v>1</v>
      </c>
      <c r="AN350" s="54">
        <f t="shared" si="2307"/>
        <v>2</v>
      </c>
      <c r="AO350" s="53">
        <f t="shared" si="2308"/>
        <v>1</v>
      </c>
      <c r="AP350" s="54">
        <f t="shared" si="2309"/>
        <v>3</v>
      </c>
      <c r="AQ350" s="49">
        <f t="shared" ref="AQ350:AR350" si="2426">SUM(AG350,AI350,AK350,AM350,AO350)</f>
        <v>7</v>
      </c>
      <c r="AR350" s="50">
        <f t="shared" si="2426"/>
        <v>15</v>
      </c>
      <c r="AS350" s="53">
        <f t="shared" si="2311"/>
        <v>1</v>
      </c>
      <c r="AT350" s="54">
        <f t="shared" si="2312"/>
        <v>1</v>
      </c>
      <c r="AU350" s="53">
        <f t="shared" si="2313"/>
        <v>1</v>
      </c>
      <c r="AV350" s="54">
        <f t="shared" si="2314"/>
        <v>2</v>
      </c>
      <c r="AW350" s="53">
        <f t="shared" si="2315"/>
        <v>1</v>
      </c>
      <c r="AX350" s="54">
        <f t="shared" si="2316"/>
        <v>1</v>
      </c>
      <c r="AY350" s="53">
        <f t="shared" si="2317"/>
        <v>1</v>
      </c>
      <c r="AZ350" s="54">
        <f t="shared" si="2318"/>
        <v>3</v>
      </c>
      <c r="BA350" s="53">
        <f t="shared" si="2319"/>
        <v>2</v>
      </c>
      <c r="BB350" s="54">
        <f t="shared" si="2320"/>
        <v>4</v>
      </c>
      <c r="BC350" s="49">
        <f t="shared" ref="BC350:BD350" si="2427">SUM(AS350,AU350,AW350,AY350,BA350)</f>
        <v>6</v>
      </c>
      <c r="BD350" s="50">
        <f t="shared" si="2427"/>
        <v>11</v>
      </c>
      <c r="BE350" s="68">
        <f t="shared" ref="BE350:BF350" si="2428">SUM(E350,G350,I350,O350,Q350,AC350,AQ350,BC350)</f>
        <v>26</v>
      </c>
      <c r="BF350" s="69">
        <f t="shared" si="2428"/>
        <v>55</v>
      </c>
      <c r="BG350" s="46" t="str">
        <f>BF350*'ОВгП_РАО'!$B$24</f>
        <v>#REF!</v>
      </c>
      <c r="BH350" s="46" t="str">
        <f>'ОВгП_РАО'!$B$24</f>
        <v>#REF!</v>
      </c>
    </row>
    <row r="351" ht="15.75" customHeight="1">
      <c r="A351" s="80">
        <f t="shared" si="2323"/>
        <v>46270</v>
      </c>
      <c r="B351" s="47" t="s">
        <v>146</v>
      </c>
      <c r="C351" s="46" t="s">
        <v>96</v>
      </c>
      <c r="D351" s="47" t="s">
        <v>145</v>
      </c>
      <c r="E351" s="73">
        <f t="shared" si="2274"/>
        <v>0</v>
      </c>
      <c r="F351" s="50">
        <f t="shared" si="2275"/>
        <v>0</v>
      </c>
      <c r="G351" s="73">
        <f t="shared" si="2276"/>
        <v>1</v>
      </c>
      <c r="H351" s="50">
        <f t="shared" si="2277"/>
        <v>2</v>
      </c>
      <c r="I351" s="73">
        <f t="shared" si="2278"/>
        <v>0</v>
      </c>
      <c r="J351" s="50">
        <f t="shared" si="2279"/>
        <v>0</v>
      </c>
      <c r="K351" s="53">
        <f t="shared" si="2280"/>
        <v>1</v>
      </c>
      <c r="L351" s="54">
        <f t="shared" si="2281"/>
        <v>1</v>
      </c>
      <c r="M351" s="53">
        <f t="shared" si="2282"/>
        <v>1</v>
      </c>
      <c r="N351" s="54">
        <f t="shared" si="2283"/>
        <v>3</v>
      </c>
      <c r="O351" s="49">
        <f t="shared" ref="O351:P351" si="2429">SUM(K351,M351)</f>
        <v>2</v>
      </c>
      <c r="P351" s="50">
        <f t="shared" si="2429"/>
        <v>4</v>
      </c>
      <c r="Q351" s="73">
        <f t="shared" si="2285"/>
        <v>1</v>
      </c>
      <c r="R351" s="50">
        <f t="shared" si="2286"/>
        <v>1</v>
      </c>
      <c r="S351" s="53">
        <f t="shared" si="2287"/>
        <v>1</v>
      </c>
      <c r="T351" s="54">
        <f t="shared" si="2288"/>
        <v>1</v>
      </c>
      <c r="U351" s="53">
        <f t="shared" si="2289"/>
        <v>0</v>
      </c>
      <c r="V351" s="54">
        <f t="shared" si="2290"/>
        <v>0</v>
      </c>
      <c r="W351" s="53">
        <f t="shared" si="2291"/>
        <v>1</v>
      </c>
      <c r="X351" s="54">
        <f t="shared" si="2292"/>
        <v>2</v>
      </c>
      <c r="Y351" s="53">
        <f t="shared" si="2293"/>
        <v>1</v>
      </c>
      <c r="Z351" s="54">
        <f t="shared" si="2294"/>
        <v>3</v>
      </c>
      <c r="AA351" s="53">
        <f t="shared" si="2295"/>
        <v>1</v>
      </c>
      <c r="AB351" s="54">
        <f t="shared" si="2296"/>
        <v>2</v>
      </c>
      <c r="AC351" s="49">
        <f t="shared" ref="AC351:AD351" si="2430">SUM(S351,U351,W351,Y351,AA351)</f>
        <v>4</v>
      </c>
      <c r="AD351" s="50">
        <f t="shared" si="2430"/>
        <v>8</v>
      </c>
      <c r="AE351" s="53">
        <f t="shared" si="2298"/>
        <v>2</v>
      </c>
      <c r="AF351" s="54">
        <f t="shared" si="2299"/>
        <v>4</v>
      </c>
      <c r="AG351" s="53">
        <f t="shared" si="2300"/>
        <v>1</v>
      </c>
      <c r="AH351" s="54">
        <f t="shared" si="2301"/>
        <v>1</v>
      </c>
      <c r="AI351" s="53">
        <f t="shared" si="2302"/>
        <v>1</v>
      </c>
      <c r="AJ351" s="54">
        <f t="shared" si="2303"/>
        <v>2</v>
      </c>
      <c r="AK351" s="53">
        <f t="shared" si="2304"/>
        <v>2</v>
      </c>
      <c r="AL351" s="54">
        <f t="shared" si="2305"/>
        <v>4</v>
      </c>
      <c r="AM351" s="53">
        <f t="shared" si="2306"/>
        <v>1</v>
      </c>
      <c r="AN351" s="54">
        <f t="shared" si="2307"/>
        <v>3</v>
      </c>
      <c r="AO351" s="53">
        <f t="shared" si="2308"/>
        <v>1</v>
      </c>
      <c r="AP351" s="54">
        <f t="shared" si="2309"/>
        <v>3</v>
      </c>
      <c r="AQ351" s="49">
        <f t="shared" ref="AQ351:AR351" si="2431">SUM(AG351,AI351,AK351,AM351,AO351)</f>
        <v>6</v>
      </c>
      <c r="AR351" s="50">
        <f t="shared" si="2431"/>
        <v>13</v>
      </c>
      <c r="AS351" s="53">
        <f t="shared" si="2311"/>
        <v>1</v>
      </c>
      <c r="AT351" s="54">
        <f t="shared" si="2312"/>
        <v>3</v>
      </c>
      <c r="AU351" s="53">
        <f t="shared" si="2313"/>
        <v>1</v>
      </c>
      <c r="AV351" s="54">
        <f t="shared" si="2314"/>
        <v>1</v>
      </c>
      <c r="AW351" s="53">
        <f t="shared" si="2315"/>
        <v>1</v>
      </c>
      <c r="AX351" s="54">
        <f t="shared" si="2316"/>
        <v>3</v>
      </c>
      <c r="AY351" s="53">
        <f t="shared" si="2317"/>
        <v>1</v>
      </c>
      <c r="AZ351" s="54">
        <f t="shared" si="2318"/>
        <v>2</v>
      </c>
      <c r="BA351" s="53">
        <f t="shared" si="2319"/>
        <v>0</v>
      </c>
      <c r="BB351" s="54">
        <f t="shared" si="2320"/>
        <v>0</v>
      </c>
      <c r="BC351" s="49">
        <f t="shared" ref="BC351:BD351" si="2432">SUM(AS351,AU351,AW351,AY351,BA351)</f>
        <v>4</v>
      </c>
      <c r="BD351" s="50">
        <f t="shared" si="2432"/>
        <v>9</v>
      </c>
      <c r="BE351" s="68">
        <f t="shared" ref="BE351:BF351" si="2433">SUM(E351,G351,I351,O351,Q351,AC351,AQ351,BC351)</f>
        <v>18</v>
      </c>
      <c r="BF351" s="69">
        <f t="shared" si="2433"/>
        <v>37</v>
      </c>
      <c r="BG351" s="46" t="str">
        <f>BF351*'ОВгП_РАО'!$B$25</f>
        <v>#REF!</v>
      </c>
      <c r="BH351" s="46" t="str">
        <f>'ОВгП_РАО'!$B$25</f>
        <v>#REF!</v>
      </c>
    </row>
    <row r="352" ht="15.75" customHeight="1">
      <c r="A352" s="80">
        <f t="shared" si="2323"/>
        <v>46270</v>
      </c>
      <c r="B352" s="47" t="s">
        <v>147</v>
      </c>
      <c r="C352" s="46" t="s">
        <v>96</v>
      </c>
      <c r="D352" s="47" t="s">
        <v>148</v>
      </c>
      <c r="E352" s="73">
        <f t="shared" si="2274"/>
        <v>0</v>
      </c>
      <c r="F352" s="50">
        <f t="shared" si="2275"/>
        <v>0</v>
      </c>
      <c r="G352" s="73">
        <f t="shared" si="2276"/>
        <v>1</v>
      </c>
      <c r="H352" s="50">
        <f t="shared" si="2277"/>
        <v>2</v>
      </c>
      <c r="I352" s="73">
        <f t="shared" si="2278"/>
        <v>1</v>
      </c>
      <c r="J352" s="50">
        <f t="shared" si="2279"/>
        <v>1</v>
      </c>
      <c r="K352" s="53">
        <f t="shared" si="2280"/>
        <v>1</v>
      </c>
      <c r="L352" s="54">
        <f t="shared" si="2281"/>
        <v>1</v>
      </c>
      <c r="M352" s="53">
        <f t="shared" si="2282"/>
        <v>2</v>
      </c>
      <c r="N352" s="54">
        <f t="shared" si="2283"/>
        <v>4</v>
      </c>
      <c r="O352" s="49">
        <f t="shared" ref="O352:P352" si="2434">SUM(K352,M352)</f>
        <v>3</v>
      </c>
      <c r="P352" s="50">
        <f t="shared" si="2434"/>
        <v>5</v>
      </c>
      <c r="Q352" s="73">
        <f t="shared" si="2285"/>
        <v>1</v>
      </c>
      <c r="R352" s="50">
        <f t="shared" si="2286"/>
        <v>3</v>
      </c>
      <c r="S352" s="53">
        <f t="shared" si="2287"/>
        <v>1</v>
      </c>
      <c r="T352" s="54">
        <f t="shared" si="2288"/>
        <v>2</v>
      </c>
      <c r="U352" s="53">
        <f t="shared" si="2289"/>
        <v>0</v>
      </c>
      <c r="V352" s="54">
        <f t="shared" si="2290"/>
        <v>0</v>
      </c>
      <c r="W352" s="53">
        <f t="shared" si="2291"/>
        <v>0</v>
      </c>
      <c r="X352" s="54">
        <f t="shared" si="2292"/>
        <v>0</v>
      </c>
      <c r="Y352" s="53">
        <f t="shared" si="2293"/>
        <v>2</v>
      </c>
      <c r="Z352" s="54">
        <f t="shared" si="2294"/>
        <v>4</v>
      </c>
      <c r="AA352" s="53">
        <f t="shared" si="2295"/>
        <v>0</v>
      </c>
      <c r="AB352" s="54">
        <f t="shared" si="2296"/>
        <v>0</v>
      </c>
      <c r="AC352" s="49">
        <f t="shared" ref="AC352:AD352" si="2435">SUM(S352,U352,W352,Y352,AA352)</f>
        <v>3</v>
      </c>
      <c r="AD352" s="50">
        <f t="shared" si="2435"/>
        <v>6</v>
      </c>
      <c r="AE352" s="53">
        <f t="shared" si="2298"/>
        <v>1</v>
      </c>
      <c r="AF352" s="54">
        <f t="shared" si="2299"/>
        <v>1</v>
      </c>
      <c r="AG352" s="53">
        <f t="shared" si="2300"/>
        <v>1</v>
      </c>
      <c r="AH352" s="54">
        <f t="shared" si="2301"/>
        <v>3</v>
      </c>
      <c r="AI352" s="53">
        <f t="shared" si="2302"/>
        <v>0</v>
      </c>
      <c r="AJ352" s="54">
        <f t="shared" si="2303"/>
        <v>0</v>
      </c>
      <c r="AK352" s="53">
        <f t="shared" si="2304"/>
        <v>0</v>
      </c>
      <c r="AL352" s="54">
        <f t="shared" si="2305"/>
        <v>0</v>
      </c>
      <c r="AM352" s="53">
        <f t="shared" si="2306"/>
        <v>1</v>
      </c>
      <c r="AN352" s="54">
        <f t="shared" si="2307"/>
        <v>3</v>
      </c>
      <c r="AO352" s="53">
        <f t="shared" si="2308"/>
        <v>2</v>
      </c>
      <c r="AP352" s="54">
        <f t="shared" si="2309"/>
        <v>4</v>
      </c>
      <c r="AQ352" s="49">
        <f t="shared" ref="AQ352:AR352" si="2436">SUM(AG352,AI352,AK352,AM352,AO352)</f>
        <v>4</v>
      </c>
      <c r="AR352" s="50">
        <f t="shared" si="2436"/>
        <v>10</v>
      </c>
      <c r="AS352" s="53">
        <f t="shared" si="2311"/>
        <v>1</v>
      </c>
      <c r="AT352" s="54">
        <f t="shared" si="2312"/>
        <v>1</v>
      </c>
      <c r="AU352" s="53">
        <f t="shared" si="2313"/>
        <v>1</v>
      </c>
      <c r="AV352" s="54">
        <f t="shared" si="2314"/>
        <v>1</v>
      </c>
      <c r="AW352" s="53">
        <f t="shared" si="2315"/>
        <v>2</v>
      </c>
      <c r="AX352" s="54">
        <f t="shared" si="2316"/>
        <v>4</v>
      </c>
      <c r="AY352" s="53">
        <f t="shared" si="2317"/>
        <v>1</v>
      </c>
      <c r="AZ352" s="54">
        <f t="shared" si="2318"/>
        <v>2</v>
      </c>
      <c r="BA352" s="53">
        <f t="shared" si="2319"/>
        <v>2</v>
      </c>
      <c r="BB352" s="54">
        <f t="shared" si="2320"/>
        <v>4</v>
      </c>
      <c r="BC352" s="49">
        <f t="shared" ref="BC352:BD352" si="2437">SUM(AS352,AU352,AW352,AY352,BA352)</f>
        <v>7</v>
      </c>
      <c r="BD352" s="50">
        <f t="shared" si="2437"/>
        <v>12</v>
      </c>
      <c r="BE352" s="68">
        <f t="shared" ref="BE352:BF352" si="2438">SUM(E352,G352,I352,O352,Q352,AC352,AQ352,BC352)</f>
        <v>20</v>
      </c>
      <c r="BF352" s="69">
        <f t="shared" si="2438"/>
        <v>39</v>
      </c>
      <c r="BG352" s="46" t="str">
        <f>BF352*'ОВгП_РАО'!$B$26</f>
        <v>#REF!</v>
      </c>
      <c r="BH352" s="46" t="str">
        <f>'ОВгП_РАО'!$B$26</f>
        <v>#REF!</v>
      </c>
    </row>
    <row r="353" ht="15.75" customHeight="1">
      <c r="A353" s="80">
        <f t="shared" si="2323"/>
        <v>46270</v>
      </c>
      <c r="B353" s="47" t="s">
        <v>149</v>
      </c>
      <c r="C353" s="47" t="s">
        <v>122</v>
      </c>
      <c r="D353" s="47" t="s">
        <v>150</v>
      </c>
      <c r="E353" s="73">
        <f t="shared" si="2274"/>
        <v>2</v>
      </c>
      <c r="F353" s="50">
        <f t="shared" si="2275"/>
        <v>4</v>
      </c>
      <c r="G353" s="73">
        <f t="shared" si="2276"/>
        <v>1</v>
      </c>
      <c r="H353" s="50">
        <f t="shared" si="2277"/>
        <v>2</v>
      </c>
      <c r="I353" s="73">
        <f t="shared" si="2278"/>
        <v>1</v>
      </c>
      <c r="J353" s="50">
        <f t="shared" si="2279"/>
        <v>2</v>
      </c>
      <c r="K353" s="53">
        <f t="shared" si="2280"/>
        <v>1</v>
      </c>
      <c r="L353" s="54">
        <f t="shared" si="2281"/>
        <v>1</v>
      </c>
      <c r="M353" s="53">
        <f t="shared" si="2282"/>
        <v>0</v>
      </c>
      <c r="N353" s="54">
        <f t="shared" si="2283"/>
        <v>0</v>
      </c>
      <c r="O353" s="49">
        <f t="shared" ref="O353:P353" si="2439">SUM(K353,M353)</f>
        <v>1</v>
      </c>
      <c r="P353" s="50">
        <f t="shared" si="2439"/>
        <v>1</v>
      </c>
      <c r="Q353" s="73">
        <f t="shared" si="2285"/>
        <v>1</v>
      </c>
      <c r="R353" s="50">
        <f t="shared" si="2286"/>
        <v>3</v>
      </c>
      <c r="S353" s="53">
        <f t="shared" si="2287"/>
        <v>1</v>
      </c>
      <c r="T353" s="54">
        <f t="shared" si="2288"/>
        <v>3</v>
      </c>
      <c r="U353" s="53">
        <f t="shared" si="2289"/>
        <v>0</v>
      </c>
      <c r="V353" s="54">
        <f t="shared" si="2290"/>
        <v>0</v>
      </c>
      <c r="W353" s="53">
        <f t="shared" si="2291"/>
        <v>2</v>
      </c>
      <c r="X353" s="54">
        <f t="shared" si="2292"/>
        <v>4</v>
      </c>
      <c r="Y353" s="53">
        <f t="shared" si="2293"/>
        <v>1</v>
      </c>
      <c r="Z353" s="54">
        <f t="shared" si="2294"/>
        <v>3</v>
      </c>
      <c r="AA353" s="53">
        <f t="shared" si="2295"/>
        <v>0</v>
      </c>
      <c r="AB353" s="54">
        <f t="shared" si="2296"/>
        <v>0</v>
      </c>
      <c r="AC353" s="49">
        <f t="shared" ref="AC353:AD353" si="2440">SUM(S353,U353,W353,Y353,AA353)</f>
        <v>4</v>
      </c>
      <c r="AD353" s="50">
        <f t="shared" si="2440"/>
        <v>10</v>
      </c>
      <c r="AE353" s="53">
        <f t="shared" si="2298"/>
        <v>2</v>
      </c>
      <c r="AF353" s="54">
        <f t="shared" si="2299"/>
        <v>4</v>
      </c>
      <c r="AG353" s="53">
        <f t="shared" si="2300"/>
        <v>1</v>
      </c>
      <c r="AH353" s="54">
        <f t="shared" si="2301"/>
        <v>1</v>
      </c>
      <c r="AI353" s="53">
        <f t="shared" si="2302"/>
        <v>1</v>
      </c>
      <c r="AJ353" s="54">
        <f t="shared" si="2303"/>
        <v>3</v>
      </c>
      <c r="AK353" s="53">
        <f t="shared" si="2304"/>
        <v>2</v>
      </c>
      <c r="AL353" s="54">
        <f t="shared" si="2305"/>
        <v>4</v>
      </c>
      <c r="AM353" s="53">
        <f t="shared" si="2306"/>
        <v>1</v>
      </c>
      <c r="AN353" s="54">
        <f t="shared" si="2307"/>
        <v>2</v>
      </c>
      <c r="AO353" s="53">
        <f t="shared" si="2308"/>
        <v>0</v>
      </c>
      <c r="AP353" s="54">
        <f t="shared" si="2309"/>
        <v>0</v>
      </c>
      <c r="AQ353" s="49">
        <f t="shared" ref="AQ353:AR353" si="2441">SUM(AG353,AI353,AK353,AM353,AO353)</f>
        <v>5</v>
      </c>
      <c r="AR353" s="50">
        <f t="shared" si="2441"/>
        <v>10</v>
      </c>
      <c r="AS353" s="53">
        <f t="shared" si="2311"/>
        <v>1</v>
      </c>
      <c r="AT353" s="54">
        <f t="shared" si="2312"/>
        <v>2</v>
      </c>
      <c r="AU353" s="53">
        <f t="shared" si="2313"/>
        <v>0</v>
      </c>
      <c r="AV353" s="54">
        <f t="shared" si="2314"/>
        <v>0</v>
      </c>
      <c r="AW353" s="53">
        <f t="shared" si="2315"/>
        <v>2</v>
      </c>
      <c r="AX353" s="54">
        <f t="shared" si="2316"/>
        <v>4</v>
      </c>
      <c r="AY353" s="53">
        <f t="shared" si="2317"/>
        <v>1</v>
      </c>
      <c r="AZ353" s="54">
        <f t="shared" si="2318"/>
        <v>3</v>
      </c>
      <c r="BA353" s="53">
        <f t="shared" si="2319"/>
        <v>1</v>
      </c>
      <c r="BB353" s="54">
        <f t="shared" si="2320"/>
        <v>2</v>
      </c>
      <c r="BC353" s="49">
        <f t="shared" ref="BC353:BD353" si="2442">SUM(AS353,AU353,AW353,AY353,BA353)</f>
        <v>5</v>
      </c>
      <c r="BD353" s="50">
        <f t="shared" si="2442"/>
        <v>11</v>
      </c>
      <c r="BE353" s="68">
        <f t="shared" ref="BE353:BF353" si="2443">SUM(E353,G353,I353,O353,Q353,AC353,AQ353,BC353)</f>
        <v>20</v>
      </c>
      <c r="BF353" s="69">
        <f t="shared" si="2443"/>
        <v>43</v>
      </c>
      <c r="BG353" s="46" t="str">
        <f>BF353*'ОВгП_РАО'!$B$27</f>
        <v>#REF!</v>
      </c>
      <c r="BH353" s="46" t="str">
        <f>'ОВгП_РАО'!$B$27</f>
        <v>#REF!</v>
      </c>
    </row>
    <row r="354" ht="15.75" customHeight="1">
      <c r="A354" s="80">
        <f t="shared" si="2323"/>
        <v>46270</v>
      </c>
      <c r="B354" s="47" t="s">
        <v>151</v>
      </c>
      <c r="C354" s="47" t="s">
        <v>122</v>
      </c>
      <c r="D354" s="47" t="s">
        <v>152</v>
      </c>
      <c r="E354" s="73">
        <f t="shared" si="2274"/>
        <v>29</v>
      </c>
      <c r="F354" s="50">
        <f t="shared" ref="F354:F362" si="2449">RANDBETWEEN(0,100)</f>
        <v>87</v>
      </c>
      <c r="G354" s="73">
        <f t="shared" si="2276"/>
        <v>19</v>
      </c>
      <c r="H354" s="50">
        <f t="shared" ref="H354:H362" si="2450">RANDBETWEEN(0,100)</f>
        <v>57</v>
      </c>
      <c r="I354" s="73">
        <f t="shared" si="2278"/>
        <v>14</v>
      </c>
      <c r="J354" s="50">
        <f t="shared" ref="J354:J362" si="2451">RANDBETWEEN(0,100)</f>
        <v>40</v>
      </c>
      <c r="K354" s="53">
        <f t="shared" si="2280"/>
        <v>22</v>
      </c>
      <c r="L354" s="54">
        <f t="shared" ref="L354:L362" si="2452">RANDBETWEEN(0,100)</f>
        <v>64</v>
      </c>
      <c r="M354" s="53">
        <f t="shared" si="2282"/>
        <v>5</v>
      </c>
      <c r="N354" s="54">
        <f t="shared" ref="N354:N362" si="2453">RANDBETWEEN(0,100)</f>
        <v>13</v>
      </c>
      <c r="O354" s="49">
        <f t="shared" ref="O354:P354" si="2444">SUM(K354,M354)</f>
        <v>27</v>
      </c>
      <c r="P354" s="50">
        <f t="shared" si="2444"/>
        <v>77</v>
      </c>
      <c r="Q354" s="73">
        <f t="shared" si="2285"/>
        <v>5</v>
      </c>
      <c r="R354" s="50">
        <f t="shared" ref="R354:R362" si="2455">RANDBETWEEN(0,100)</f>
        <v>13</v>
      </c>
      <c r="S354" s="53">
        <f t="shared" si="2287"/>
        <v>15</v>
      </c>
      <c r="T354" s="54">
        <f t="shared" ref="T354:T362" si="2456">RANDBETWEEN(0,300)</f>
        <v>43</v>
      </c>
      <c r="U354" s="53">
        <f t="shared" si="2289"/>
        <v>35</v>
      </c>
      <c r="V354" s="54">
        <f t="shared" ref="V354:V362" si="2457">RANDBETWEEN(0,300)</f>
        <v>105</v>
      </c>
      <c r="W354" s="53">
        <f t="shared" si="2291"/>
        <v>29</v>
      </c>
      <c r="X354" s="54">
        <f t="shared" ref="X354:X362" si="2458">RANDBETWEEN(0,300)</f>
        <v>85</v>
      </c>
      <c r="Y354" s="53">
        <f t="shared" si="2293"/>
        <v>96</v>
      </c>
      <c r="Z354" s="54">
        <f t="shared" ref="Z354:Z362" si="2459">RANDBETWEEN(0,300)</f>
        <v>287</v>
      </c>
      <c r="AA354" s="53">
        <f t="shared" si="2295"/>
        <v>10</v>
      </c>
      <c r="AB354" s="54">
        <f t="shared" ref="AB354:AB362" si="2460">RANDBETWEEN(0,300)</f>
        <v>30</v>
      </c>
      <c r="AC354" s="49">
        <f t="shared" ref="AC354:AD354" si="2445">SUM(S354,U354,W354,Y354,AA354)</f>
        <v>185</v>
      </c>
      <c r="AD354" s="50">
        <f t="shared" si="2445"/>
        <v>550</v>
      </c>
      <c r="AE354" s="53">
        <f t="shared" si="2298"/>
        <v>89</v>
      </c>
      <c r="AF354" s="54">
        <f>RANDBETWEEN(100,500)</f>
        <v>267</v>
      </c>
      <c r="AG354" s="53">
        <f t="shared" si="2300"/>
        <v>54</v>
      </c>
      <c r="AH354" s="54">
        <f>RANDBETWEEN(100,500)</f>
        <v>162</v>
      </c>
      <c r="AI354" s="53">
        <f t="shared" si="2302"/>
        <v>117</v>
      </c>
      <c r="AJ354" s="54">
        <f>RANDBETWEEN(100,500)</f>
        <v>350</v>
      </c>
      <c r="AK354" s="53">
        <f t="shared" si="2304"/>
        <v>100</v>
      </c>
      <c r="AL354" s="54">
        <f>RANDBETWEEN(100,500)</f>
        <v>298</v>
      </c>
      <c r="AM354" s="53">
        <f t="shared" si="2306"/>
        <v>88</v>
      </c>
      <c r="AN354" s="54">
        <f>RANDBETWEEN(100,500)</f>
        <v>264</v>
      </c>
      <c r="AO354" s="53">
        <f t="shared" si="2308"/>
        <v>95</v>
      </c>
      <c r="AP354" s="54">
        <f>RANDBETWEEN(100,500)</f>
        <v>284</v>
      </c>
      <c r="AQ354" s="49">
        <f t="shared" ref="AQ354:AR354" si="2446">SUM(AG354,AI354,AK354,AM354,AO354)</f>
        <v>454</v>
      </c>
      <c r="AR354" s="50">
        <f t="shared" si="2446"/>
        <v>1358</v>
      </c>
      <c r="AS354" s="53">
        <f t="shared" si="2311"/>
        <v>156</v>
      </c>
      <c r="AT354" s="54">
        <f>RANDBETWEEN(100,500)</f>
        <v>467</v>
      </c>
      <c r="AU354" s="53">
        <f t="shared" si="2313"/>
        <v>116</v>
      </c>
      <c r="AV354" s="54">
        <f>RANDBETWEEN(100,500)</f>
        <v>346</v>
      </c>
      <c r="AW354" s="53">
        <f t="shared" si="2315"/>
        <v>41</v>
      </c>
      <c r="AX354" s="54">
        <f>RANDBETWEEN(100,500)</f>
        <v>121</v>
      </c>
      <c r="AY354" s="53">
        <f t="shared" si="2317"/>
        <v>158</v>
      </c>
      <c r="AZ354" s="54">
        <f>RANDBETWEEN(100,500)</f>
        <v>473</v>
      </c>
      <c r="BA354" s="53">
        <f t="shared" si="2319"/>
        <v>157</v>
      </c>
      <c r="BB354" s="54">
        <f>RANDBETWEEN(100,500)</f>
        <v>471</v>
      </c>
      <c r="BC354" s="49">
        <f t="shared" ref="BC354:BD354" si="2447">SUM(AS354,AU354,AW354,AY354,BA354)</f>
        <v>628</v>
      </c>
      <c r="BD354" s="50">
        <f t="shared" si="2447"/>
        <v>1878</v>
      </c>
      <c r="BE354" s="68">
        <f t="shared" ref="BE354:BF354" si="2448">SUM(E354,G354,I354,O354,Q354,AC354,AQ354,BC354)</f>
        <v>1361</v>
      </c>
      <c r="BF354" s="69">
        <f t="shared" si="2448"/>
        <v>4060</v>
      </c>
      <c r="BG354" s="46" t="str">
        <f>BF354*'ОВгП_РАО'!$B$28</f>
        <v>#REF!</v>
      </c>
      <c r="BH354" s="46" t="str">
        <f>'ОВгП_РАО'!$B$28</f>
        <v>#REF!</v>
      </c>
    </row>
    <row r="355" ht="15.75" customHeight="1">
      <c r="A355" s="80">
        <f t="shared" si="2323"/>
        <v>46270</v>
      </c>
      <c r="B355" s="47" t="s">
        <v>153</v>
      </c>
      <c r="C355" s="47" t="s">
        <v>122</v>
      </c>
      <c r="D355" s="47" t="s">
        <v>152</v>
      </c>
      <c r="E355" s="73">
        <f t="shared" si="2274"/>
        <v>21</v>
      </c>
      <c r="F355" s="50">
        <f t="shared" si="2449"/>
        <v>63</v>
      </c>
      <c r="G355" s="73">
        <f t="shared" si="2276"/>
        <v>5</v>
      </c>
      <c r="H355" s="50">
        <f t="shared" si="2450"/>
        <v>13</v>
      </c>
      <c r="I355" s="73">
        <f t="shared" si="2278"/>
        <v>19</v>
      </c>
      <c r="J355" s="50">
        <f t="shared" si="2451"/>
        <v>57</v>
      </c>
      <c r="K355" s="53">
        <f t="shared" si="2280"/>
        <v>25</v>
      </c>
      <c r="L355" s="54">
        <f t="shared" si="2452"/>
        <v>73</v>
      </c>
      <c r="M355" s="53">
        <f t="shared" si="2282"/>
        <v>31</v>
      </c>
      <c r="N355" s="54">
        <f t="shared" si="2453"/>
        <v>91</v>
      </c>
      <c r="O355" s="49">
        <f t="shared" ref="O355:P355" si="2454">SUM(K355,M355)</f>
        <v>56</v>
      </c>
      <c r="P355" s="50">
        <f t="shared" si="2454"/>
        <v>164</v>
      </c>
      <c r="Q355" s="73">
        <f t="shared" si="2285"/>
        <v>33</v>
      </c>
      <c r="R355" s="50">
        <f t="shared" si="2455"/>
        <v>97</v>
      </c>
      <c r="S355" s="53">
        <f t="shared" si="2287"/>
        <v>29</v>
      </c>
      <c r="T355" s="54">
        <f t="shared" si="2456"/>
        <v>86</v>
      </c>
      <c r="U355" s="53">
        <f t="shared" si="2289"/>
        <v>69</v>
      </c>
      <c r="V355" s="54">
        <f t="shared" si="2457"/>
        <v>207</v>
      </c>
      <c r="W355" s="53">
        <f t="shared" si="2291"/>
        <v>89</v>
      </c>
      <c r="X355" s="54">
        <f t="shared" si="2458"/>
        <v>265</v>
      </c>
      <c r="Y355" s="53">
        <f t="shared" si="2293"/>
        <v>5</v>
      </c>
      <c r="Z355" s="54">
        <f t="shared" si="2459"/>
        <v>14</v>
      </c>
      <c r="AA355" s="53">
        <f t="shared" si="2295"/>
        <v>64</v>
      </c>
      <c r="AB355" s="54">
        <f t="shared" si="2460"/>
        <v>192</v>
      </c>
      <c r="AC355" s="49">
        <f t="shared" ref="AC355:AD355" si="2461">SUM(S355,U355,W355,Y355,AA355)</f>
        <v>256</v>
      </c>
      <c r="AD355" s="50">
        <f t="shared" si="2461"/>
        <v>764</v>
      </c>
      <c r="AE355" s="53">
        <f t="shared" si="2298"/>
        <v>43</v>
      </c>
      <c r="AF355" s="54">
        <f t="shared" ref="AF355:AF362" si="2467">RANDBETWEEN(0,300)</f>
        <v>127</v>
      </c>
      <c r="AG355" s="53">
        <f t="shared" si="2300"/>
        <v>90</v>
      </c>
      <c r="AH355" s="54">
        <f t="shared" ref="AH355:AH362" si="2468">RANDBETWEEN(0,300)</f>
        <v>270</v>
      </c>
      <c r="AI355" s="53">
        <f t="shared" si="2302"/>
        <v>16</v>
      </c>
      <c r="AJ355" s="54">
        <f t="shared" ref="AJ355:AJ362" si="2469">RANDBETWEEN(0,300)</f>
        <v>46</v>
      </c>
      <c r="AK355" s="53">
        <f t="shared" si="2304"/>
        <v>64</v>
      </c>
      <c r="AL355" s="54">
        <f t="shared" ref="AL355:AL362" si="2470">RANDBETWEEN(0,300)</f>
        <v>191</v>
      </c>
      <c r="AM355" s="53">
        <f t="shared" si="2306"/>
        <v>94</v>
      </c>
      <c r="AN355" s="54">
        <f t="shared" ref="AN355:AN362" si="2471">RANDBETWEEN(0,300)</f>
        <v>281</v>
      </c>
      <c r="AO355" s="53">
        <f t="shared" si="2308"/>
        <v>99</v>
      </c>
      <c r="AP355" s="54">
        <f t="shared" ref="AP355:AP362" si="2472">RANDBETWEEN(0,300)</f>
        <v>295</v>
      </c>
      <c r="AQ355" s="49">
        <f t="shared" ref="AQ355:AR355" si="2462">SUM(AG355,AI355,AK355,AM355,AO355)</f>
        <v>363</v>
      </c>
      <c r="AR355" s="50">
        <f t="shared" si="2462"/>
        <v>1083</v>
      </c>
      <c r="AS355" s="53">
        <f t="shared" si="2311"/>
        <v>15</v>
      </c>
      <c r="AT355" s="54">
        <f t="shared" ref="AT355:AT356" si="2474">RANDBETWEEN(0,300)</f>
        <v>44</v>
      </c>
      <c r="AU355" s="53">
        <f t="shared" si="2313"/>
        <v>93</v>
      </c>
      <c r="AV355" s="54">
        <f t="shared" ref="AV355:AV356" si="2475">RANDBETWEEN(0,300)</f>
        <v>279</v>
      </c>
      <c r="AW355" s="53">
        <f t="shared" si="2315"/>
        <v>7</v>
      </c>
      <c r="AX355" s="54">
        <f t="shared" ref="AX355:AX356" si="2476">RANDBETWEEN(0,300)</f>
        <v>21</v>
      </c>
      <c r="AY355" s="53">
        <f t="shared" si="2317"/>
        <v>85</v>
      </c>
      <c r="AZ355" s="54">
        <f t="shared" ref="AZ355:AZ356" si="2477">RANDBETWEEN(0,300)</f>
        <v>255</v>
      </c>
      <c r="BA355" s="53">
        <f t="shared" si="2319"/>
        <v>17</v>
      </c>
      <c r="BB355" s="54">
        <f t="shared" ref="BB355:BB356" si="2478">RANDBETWEEN(0,300)</f>
        <v>50</v>
      </c>
      <c r="BC355" s="49">
        <f t="shared" ref="BC355:BD355" si="2463">SUM(AS355,AU355,AW355,AY355,BA355)</f>
        <v>217</v>
      </c>
      <c r="BD355" s="50">
        <f t="shared" si="2463"/>
        <v>649</v>
      </c>
      <c r="BE355" s="68">
        <f t="shared" ref="BE355:BF355" si="2464">SUM(E355,G355,I355,O355,Q355,AC355,AQ355,BC355)</f>
        <v>970</v>
      </c>
      <c r="BF355" s="69">
        <f t="shared" si="2464"/>
        <v>2890</v>
      </c>
      <c r="BG355" s="46" t="str">
        <f>BF355*'ОВгП_РАО'!$B$29</f>
        <v>#REF!</v>
      </c>
      <c r="BH355" s="46" t="str">
        <f>'ОВгП_РАО'!$B$29</f>
        <v>#REF!</v>
      </c>
    </row>
    <row r="356" ht="15.75" customHeight="1">
      <c r="A356" s="80">
        <f t="shared" si="2323"/>
        <v>46270</v>
      </c>
      <c r="B356" s="47" t="s">
        <v>154</v>
      </c>
      <c r="C356" s="47" t="s">
        <v>122</v>
      </c>
      <c r="D356" s="47" t="s">
        <v>152</v>
      </c>
      <c r="E356" s="73">
        <f t="shared" si="2274"/>
        <v>7</v>
      </c>
      <c r="F356" s="50">
        <f t="shared" si="2449"/>
        <v>20</v>
      </c>
      <c r="G356" s="73">
        <f t="shared" si="2276"/>
        <v>22</v>
      </c>
      <c r="H356" s="50">
        <f t="shared" si="2450"/>
        <v>64</v>
      </c>
      <c r="I356" s="73">
        <f t="shared" si="2278"/>
        <v>4</v>
      </c>
      <c r="J356" s="50">
        <f t="shared" si="2451"/>
        <v>12</v>
      </c>
      <c r="K356" s="53">
        <f t="shared" si="2280"/>
        <v>27</v>
      </c>
      <c r="L356" s="54">
        <f t="shared" si="2452"/>
        <v>79</v>
      </c>
      <c r="M356" s="53">
        <f t="shared" si="2282"/>
        <v>29</v>
      </c>
      <c r="N356" s="54">
        <f t="shared" si="2453"/>
        <v>86</v>
      </c>
      <c r="O356" s="49">
        <f t="shared" ref="O356:P356" si="2465">SUM(K356,M356)</f>
        <v>56</v>
      </c>
      <c r="P356" s="50">
        <f t="shared" si="2465"/>
        <v>165</v>
      </c>
      <c r="Q356" s="73">
        <f t="shared" si="2285"/>
        <v>31</v>
      </c>
      <c r="R356" s="50">
        <f t="shared" si="2455"/>
        <v>91</v>
      </c>
      <c r="S356" s="53">
        <f t="shared" si="2287"/>
        <v>82</v>
      </c>
      <c r="T356" s="54">
        <f t="shared" si="2456"/>
        <v>246</v>
      </c>
      <c r="U356" s="53">
        <f t="shared" si="2289"/>
        <v>53</v>
      </c>
      <c r="V356" s="54">
        <f t="shared" si="2457"/>
        <v>159</v>
      </c>
      <c r="W356" s="53">
        <f t="shared" si="2291"/>
        <v>41</v>
      </c>
      <c r="X356" s="54">
        <f t="shared" si="2458"/>
        <v>122</v>
      </c>
      <c r="Y356" s="53">
        <f t="shared" si="2293"/>
        <v>45</v>
      </c>
      <c r="Z356" s="54">
        <f t="shared" si="2459"/>
        <v>133</v>
      </c>
      <c r="AA356" s="53">
        <f t="shared" si="2295"/>
        <v>91</v>
      </c>
      <c r="AB356" s="54">
        <f t="shared" si="2460"/>
        <v>272</v>
      </c>
      <c r="AC356" s="49">
        <f t="shared" ref="AC356:AD356" si="2466">SUM(S356,U356,W356,Y356,AA356)</f>
        <v>312</v>
      </c>
      <c r="AD356" s="50">
        <f t="shared" si="2466"/>
        <v>932</v>
      </c>
      <c r="AE356" s="53">
        <f t="shared" si="2298"/>
        <v>31</v>
      </c>
      <c r="AF356" s="54">
        <f t="shared" si="2467"/>
        <v>93</v>
      </c>
      <c r="AG356" s="53">
        <f t="shared" si="2300"/>
        <v>86</v>
      </c>
      <c r="AH356" s="54">
        <f t="shared" si="2468"/>
        <v>257</v>
      </c>
      <c r="AI356" s="53">
        <f t="shared" si="2302"/>
        <v>57</v>
      </c>
      <c r="AJ356" s="54">
        <f t="shared" si="2469"/>
        <v>171</v>
      </c>
      <c r="AK356" s="53">
        <f t="shared" si="2304"/>
        <v>41</v>
      </c>
      <c r="AL356" s="54">
        <f t="shared" si="2470"/>
        <v>122</v>
      </c>
      <c r="AM356" s="53">
        <f t="shared" si="2306"/>
        <v>53</v>
      </c>
      <c r="AN356" s="54">
        <f t="shared" si="2471"/>
        <v>157</v>
      </c>
      <c r="AO356" s="53">
        <f t="shared" si="2308"/>
        <v>90</v>
      </c>
      <c r="AP356" s="54">
        <f t="shared" si="2472"/>
        <v>268</v>
      </c>
      <c r="AQ356" s="49">
        <f t="shared" ref="AQ356:AR356" si="2473">SUM(AG356,AI356,AK356,AM356,AO356)</f>
        <v>327</v>
      </c>
      <c r="AR356" s="50">
        <f t="shared" si="2473"/>
        <v>975</v>
      </c>
      <c r="AS356" s="53">
        <f t="shared" si="2311"/>
        <v>88</v>
      </c>
      <c r="AT356" s="54">
        <f t="shared" si="2474"/>
        <v>264</v>
      </c>
      <c r="AU356" s="53">
        <f t="shared" si="2313"/>
        <v>5</v>
      </c>
      <c r="AV356" s="54">
        <f t="shared" si="2475"/>
        <v>14</v>
      </c>
      <c r="AW356" s="53">
        <f t="shared" si="2315"/>
        <v>74</v>
      </c>
      <c r="AX356" s="54">
        <f t="shared" si="2476"/>
        <v>222</v>
      </c>
      <c r="AY356" s="53">
        <f t="shared" si="2317"/>
        <v>31</v>
      </c>
      <c r="AZ356" s="54">
        <f t="shared" si="2477"/>
        <v>92</v>
      </c>
      <c r="BA356" s="53">
        <f t="shared" si="2319"/>
        <v>13</v>
      </c>
      <c r="BB356" s="54">
        <f t="shared" si="2478"/>
        <v>38</v>
      </c>
      <c r="BC356" s="49">
        <f t="shared" ref="BC356:BD356" si="2479">SUM(AS356,AU356,AW356,AY356,BA356)</f>
        <v>211</v>
      </c>
      <c r="BD356" s="50">
        <f t="shared" si="2479"/>
        <v>630</v>
      </c>
      <c r="BE356" s="68">
        <f t="shared" ref="BE356:BF356" si="2480">SUM(E356,G356,I356,O356,Q356,AC356,AQ356,BC356)</f>
        <v>970</v>
      </c>
      <c r="BF356" s="69">
        <f t="shared" si="2480"/>
        <v>2889</v>
      </c>
      <c r="BG356" s="46" t="str">
        <f>BF356*'ОВгП_РАО'!$B$30</f>
        <v>#REF!</v>
      </c>
      <c r="BH356" s="46" t="str">
        <f>'ОВгП_РАО'!$B$30</f>
        <v>#REF!</v>
      </c>
    </row>
    <row r="357" ht="15.75" customHeight="1">
      <c r="A357" s="80">
        <f t="shared" si="2323"/>
        <v>46270</v>
      </c>
      <c r="B357" s="47" t="s">
        <v>155</v>
      </c>
      <c r="C357" s="47" t="s">
        <v>122</v>
      </c>
      <c r="D357" s="47" t="s">
        <v>156</v>
      </c>
      <c r="E357" s="73">
        <f t="shared" si="2274"/>
        <v>12</v>
      </c>
      <c r="F357" s="50">
        <f t="shared" si="2449"/>
        <v>34</v>
      </c>
      <c r="G357" s="73">
        <f t="shared" si="2276"/>
        <v>29</v>
      </c>
      <c r="H357" s="50">
        <f t="shared" si="2450"/>
        <v>86</v>
      </c>
      <c r="I357" s="73">
        <f t="shared" si="2278"/>
        <v>0</v>
      </c>
      <c r="J357" s="50">
        <f t="shared" si="2451"/>
        <v>0</v>
      </c>
      <c r="K357" s="53">
        <f t="shared" si="2280"/>
        <v>16</v>
      </c>
      <c r="L357" s="54">
        <f t="shared" si="2452"/>
        <v>48</v>
      </c>
      <c r="M357" s="53">
        <f t="shared" si="2282"/>
        <v>34</v>
      </c>
      <c r="N357" s="54">
        <f t="shared" si="2453"/>
        <v>100</v>
      </c>
      <c r="O357" s="49">
        <f t="shared" ref="O357:P357" si="2481">SUM(K357,M357)</f>
        <v>50</v>
      </c>
      <c r="P357" s="50">
        <f t="shared" si="2481"/>
        <v>148</v>
      </c>
      <c r="Q357" s="73">
        <f t="shared" si="2285"/>
        <v>26</v>
      </c>
      <c r="R357" s="50">
        <f t="shared" si="2455"/>
        <v>77</v>
      </c>
      <c r="S357" s="53">
        <f t="shared" si="2287"/>
        <v>51</v>
      </c>
      <c r="T357" s="54">
        <f t="shared" si="2456"/>
        <v>152</v>
      </c>
      <c r="U357" s="53">
        <f t="shared" si="2289"/>
        <v>73</v>
      </c>
      <c r="V357" s="54">
        <f t="shared" si="2457"/>
        <v>219</v>
      </c>
      <c r="W357" s="53">
        <f t="shared" si="2291"/>
        <v>65</v>
      </c>
      <c r="X357" s="54">
        <f t="shared" si="2458"/>
        <v>193</v>
      </c>
      <c r="Y357" s="53">
        <f t="shared" si="2293"/>
        <v>39</v>
      </c>
      <c r="Z357" s="54">
        <f t="shared" si="2459"/>
        <v>117</v>
      </c>
      <c r="AA357" s="53">
        <f t="shared" si="2295"/>
        <v>55</v>
      </c>
      <c r="AB357" s="54">
        <f t="shared" si="2460"/>
        <v>163</v>
      </c>
      <c r="AC357" s="49">
        <f t="shared" ref="AC357:AD357" si="2482">SUM(S357,U357,W357,Y357,AA357)</f>
        <v>283</v>
      </c>
      <c r="AD357" s="50">
        <f t="shared" si="2482"/>
        <v>844</v>
      </c>
      <c r="AE357" s="53">
        <f t="shared" si="2298"/>
        <v>36</v>
      </c>
      <c r="AF357" s="54">
        <f t="shared" si="2467"/>
        <v>106</v>
      </c>
      <c r="AG357" s="53">
        <f t="shared" si="2300"/>
        <v>74</v>
      </c>
      <c r="AH357" s="54">
        <f t="shared" si="2468"/>
        <v>220</v>
      </c>
      <c r="AI357" s="53">
        <f t="shared" si="2302"/>
        <v>4</v>
      </c>
      <c r="AJ357" s="54">
        <f t="shared" si="2469"/>
        <v>10</v>
      </c>
      <c r="AK357" s="53">
        <f t="shared" si="2304"/>
        <v>63</v>
      </c>
      <c r="AL357" s="54">
        <f t="shared" si="2470"/>
        <v>189</v>
      </c>
      <c r="AM357" s="53">
        <f t="shared" si="2306"/>
        <v>67</v>
      </c>
      <c r="AN357" s="54">
        <f t="shared" si="2471"/>
        <v>200</v>
      </c>
      <c r="AO357" s="53">
        <f t="shared" si="2308"/>
        <v>23</v>
      </c>
      <c r="AP357" s="54">
        <f t="shared" si="2472"/>
        <v>69</v>
      </c>
      <c r="AQ357" s="49">
        <f t="shared" ref="AQ357:AR357" si="2483">SUM(AG357,AI357,AK357,AM357,AO357)</f>
        <v>231</v>
      </c>
      <c r="AR357" s="50">
        <f t="shared" si="2483"/>
        <v>688</v>
      </c>
      <c r="AS357" s="53">
        <f t="shared" si="2311"/>
        <v>4</v>
      </c>
      <c r="AT357" s="54">
        <f t="shared" ref="AT357:AT359" si="2489">RANDBETWEEN(0,100)</f>
        <v>12</v>
      </c>
      <c r="AU357" s="53">
        <f t="shared" si="2313"/>
        <v>12</v>
      </c>
      <c r="AV357" s="54">
        <f t="shared" ref="AV357:AV359" si="2490">RANDBETWEEN(0,100)</f>
        <v>36</v>
      </c>
      <c r="AW357" s="53">
        <f t="shared" si="2315"/>
        <v>22</v>
      </c>
      <c r="AX357" s="54">
        <f t="shared" ref="AX357:AX359" si="2491">RANDBETWEEN(0,100)</f>
        <v>64</v>
      </c>
      <c r="AY357" s="53">
        <f t="shared" si="2317"/>
        <v>24</v>
      </c>
      <c r="AZ357" s="54">
        <f t="shared" ref="AZ357:AZ359" si="2492">RANDBETWEEN(0,100)</f>
        <v>71</v>
      </c>
      <c r="BA357" s="53">
        <f t="shared" si="2319"/>
        <v>33</v>
      </c>
      <c r="BB357" s="54">
        <f t="shared" ref="BB357:BB359" si="2493">RANDBETWEEN(0,100)</f>
        <v>99</v>
      </c>
      <c r="BC357" s="49">
        <f t="shared" ref="BC357:BD357" si="2484">SUM(AS357,AU357,AW357,AY357,BA357)</f>
        <v>95</v>
      </c>
      <c r="BD357" s="50">
        <f t="shared" si="2484"/>
        <v>282</v>
      </c>
      <c r="BE357" s="68">
        <f t="shared" ref="BE357:BF357" si="2485">SUM(E357,G357,I357,O357,Q357,AC357,AQ357,BC357)</f>
        <v>726</v>
      </c>
      <c r="BF357" s="69">
        <f t="shared" si="2485"/>
        <v>2159</v>
      </c>
      <c r="BG357" s="46" t="str">
        <f>BF357*'ОВгП_РАО'!$B$31</f>
        <v>#REF!</v>
      </c>
      <c r="BH357" s="46" t="str">
        <f>'ОВгП_РАО'!$B$31</f>
        <v>#REF!</v>
      </c>
    </row>
    <row r="358" ht="15.75" customHeight="1">
      <c r="A358" s="80">
        <f t="shared" si="2323"/>
        <v>46270</v>
      </c>
      <c r="B358" s="47" t="s">
        <v>158</v>
      </c>
      <c r="C358" s="47" t="s">
        <v>122</v>
      </c>
      <c r="D358" s="47" t="s">
        <v>156</v>
      </c>
      <c r="E358" s="73">
        <f t="shared" si="2274"/>
        <v>14</v>
      </c>
      <c r="F358" s="50">
        <f t="shared" si="2449"/>
        <v>41</v>
      </c>
      <c r="G358" s="73">
        <f t="shared" si="2276"/>
        <v>22</v>
      </c>
      <c r="H358" s="50">
        <f t="shared" si="2450"/>
        <v>65</v>
      </c>
      <c r="I358" s="73">
        <f t="shared" si="2278"/>
        <v>22</v>
      </c>
      <c r="J358" s="50">
        <f t="shared" si="2451"/>
        <v>66</v>
      </c>
      <c r="K358" s="53">
        <f t="shared" si="2280"/>
        <v>1</v>
      </c>
      <c r="L358" s="54">
        <f t="shared" si="2452"/>
        <v>1</v>
      </c>
      <c r="M358" s="53">
        <f t="shared" si="2282"/>
        <v>4</v>
      </c>
      <c r="N358" s="54">
        <f t="shared" si="2453"/>
        <v>10</v>
      </c>
      <c r="O358" s="49">
        <f t="shared" ref="O358:P358" si="2486">SUM(K358,M358)</f>
        <v>5</v>
      </c>
      <c r="P358" s="50">
        <f t="shared" si="2486"/>
        <v>11</v>
      </c>
      <c r="Q358" s="73">
        <f t="shared" si="2285"/>
        <v>2</v>
      </c>
      <c r="R358" s="50">
        <f t="shared" si="2455"/>
        <v>6</v>
      </c>
      <c r="S358" s="53">
        <f t="shared" si="2287"/>
        <v>68</v>
      </c>
      <c r="T358" s="54">
        <f t="shared" si="2456"/>
        <v>202</v>
      </c>
      <c r="U358" s="53">
        <f t="shared" si="2289"/>
        <v>78</v>
      </c>
      <c r="V358" s="54">
        <f t="shared" si="2457"/>
        <v>233</v>
      </c>
      <c r="W358" s="53">
        <f t="shared" si="2291"/>
        <v>98</v>
      </c>
      <c r="X358" s="54">
        <f t="shared" si="2458"/>
        <v>292</v>
      </c>
      <c r="Y358" s="53">
        <f t="shared" si="2293"/>
        <v>64</v>
      </c>
      <c r="Z358" s="54">
        <f t="shared" si="2459"/>
        <v>192</v>
      </c>
      <c r="AA358" s="53">
        <f t="shared" si="2295"/>
        <v>37</v>
      </c>
      <c r="AB358" s="54">
        <f t="shared" si="2460"/>
        <v>110</v>
      </c>
      <c r="AC358" s="49">
        <f t="shared" ref="AC358:AD358" si="2487">SUM(S358,U358,W358,Y358,AA358)</f>
        <v>345</v>
      </c>
      <c r="AD358" s="50">
        <f t="shared" si="2487"/>
        <v>1029</v>
      </c>
      <c r="AE358" s="53">
        <f t="shared" si="2298"/>
        <v>75</v>
      </c>
      <c r="AF358" s="54">
        <f t="shared" si="2467"/>
        <v>224</v>
      </c>
      <c r="AG358" s="53">
        <f t="shared" si="2300"/>
        <v>99</v>
      </c>
      <c r="AH358" s="54">
        <f t="shared" si="2468"/>
        <v>296</v>
      </c>
      <c r="AI358" s="53">
        <f t="shared" si="2302"/>
        <v>84</v>
      </c>
      <c r="AJ358" s="54">
        <f t="shared" si="2469"/>
        <v>250</v>
      </c>
      <c r="AK358" s="53">
        <f t="shared" si="2304"/>
        <v>38</v>
      </c>
      <c r="AL358" s="54">
        <f t="shared" si="2470"/>
        <v>112</v>
      </c>
      <c r="AM358" s="53">
        <f t="shared" si="2306"/>
        <v>79</v>
      </c>
      <c r="AN358" s="54">
        <f t="shared" si="2471"/>
        <v>237</v>
      </c>
      <c r="AO358" s="53">
        <f t="shared" si="2308"/>
        <v>86</v>
      </c>
      <c r="AP358" s="54">
        <f t="shared" si="2472"/>
        <v>258</v>
      </c>
      <c r="AQ358" s="49">
        <f t="shared" ref="AQ358:AR358" si="2488">SUM(AG358,AI358,AK358,AM358,AO358)</f>
        <v>386</v>
      </c>
      <c r="AR358" s="50">
        <f t="shared" si="2488"/>
        <v>1153</v>
      </c>
      <c r="AS358" s="53">
        <f t="shared" si="2311"/>
        <v>14</v>
      </c>
      <c r="AT358" s="54">
        <f t="shared" si="2489"/>
        <v>40</v>
      </c>
      <c r="AU358" s="53">
        <f t="shared" si="2313"/>
        <v>17</v>
      </c>
      <c r="AV358" s="54">
        <f t="shared" si="2490"/>
        <v>50</v>
      </c>
      <c r="AW358" s="53">
        <f t="shared" si="2315"/>
        <v>4</v>
      </c>
      <c r="AX358" s="54">
        <f t="shared" si="2491"/>
        <v>10</v>
      </c>
      <c r="AY358" s="53">
        <f t="shared" si="2317"/>
        <v>8</v>
      </c>
      <c r="AZ358" s="54">
        <f t="shared" si="2492"/>
        <v>22</v>
      </c>
      <c r="BA358" s="53">
        <f t="shared" si="2319"/>
        <v>14</v>
      </c>
      <c r="BB358" s="54">
        <f t="shared" si="2493"/>
        <v>40</v>
      </c>
      <c r="BC358" s="49">
        <f t="shared" ref="BC358:BD358" si="2494">SUM(AS358,AU358,AW358,AY358,BA358)</f>
        <v>57</v>
      </c>
      <c r="BD358" s="50">
        <f t="shared" si="2494"/>
        <v>162</v>
      </c>
      <c r="BE358" s="68">
        <f t="shared" ref="BE358:BF358" si="2495">SUM(E358,G358,I358,O358,Q358,AC358,AQ358,BC358)</f>
        <v>853</v>
      </c>
      <c r="BF358" s="69">
        <f t="shared" si="2495"/>
        <v>2533</v>
      </c>
      <c r="BG358" s="46" t="str">
        <f>BF358*'ОВгП_РАО'!$B$32</f>
        <v>#REF!</v>
      </c>
      <c r="BH358" s="46" t="str">
        <f>'ОВгП_РАО'!$B$32</f>
        <v>#REF!</v>
      </c>
    </row>
    <row r="359" ht="15.75" customHeight="1">
      <c r="A359" s="80">
        <f t="shared" si="2323"/>
        <v>46270</v>
      </c>
      <c r="B359" s="47" t="s">
        <v>159</v>
      </c>
      <c r="C359" s="47" t="s">
        <v>122</v>
      </c>
      <c r="D359" s="47" t="s">
        <v>156</v>
      </c>
      <c r="E359" s="73">
        <f t="shared" si="2274"/>
        <v>4</v>
      </c>
      <c r="F359" s="50">
        <f t="shared" si="2449"/>
        <v>12</v>
      </c>
      <c r="G359" s="73">
        <f t="shared" si="2276"/>
        <v>29</v>
      </c>
      <c r="H359" s="50">
        <f t="shared" si="2450"/>
        <v>86</v>
      </c>
      <c r="I359" s="73">
        <f t="shared" si="2278"/>
        <v>23</v>
      </c>
      <c r="J359" s="50">
        <f t="shared" si="2451"/>
        <v>68</v>
      </c>
      <c r="K359" s="53">
        <f t="shared" si="2280"/>
        <v>19</v>
      </c>
      <c r="L359" s="54">
        <f t="shared" si="2452"/>
        <v>57</v>
      </c>
      <c r="M359" s="53">
        <f t="shared" si="2282"/>
        <v>3</v>
      </c>
      <c r="N359" s="54">
        <f t="shared" si="2453"/>
        <v>8</v>
      </c>
      <c r="O359" s="49">
        <f t="shared" ref="O359:P359" si="2496">SUM(K359,M359)</f>
        <v>22</v>
      </c>
      <c r="P359" s="50">
        <f t="shared" si="2496"/>
        <v>65</v>
      </c>
      <c r="Q359" s="73">
        <f t="shared" si="2285"/>
        <v>15</v>
      </c>
      <c r="R359" s="50">
        <f t="shared" si="2455"/>
        <v>44</v>
      </c>
      <c r="S359" s="53">
        <f t="shared" si="2287"/>
        <v>76</v>
      </c>
      <c r="T359" s="54">
        <f t="shared" si="2456"/>
        <v>228</v>
      </c>
      <c r="U359" s="53">
        <f t="shared" si="2289"/>
        <v>38</v>
      </c>
      <c r="V359" s="54">
        <f t="shared" si="2457"/>
        <v>113</v>
      </c>
      <c r="W359" s="53">
        <f t="shared" si="2291"/>
        <v>18</v>
      </c>
      <c r="X359" s="54">
        <f t="shared" si="2458"/>
        <v>54</v>
      </c>
      <c r="Y359" s="53">
        <f t="shared" si="2293"/>
        <v>63</v>
      </c>
      <c r="Z359" s="54">
        <f t="shared" si="2459"/>
        <v>187</v>
      </c>
      <c r="AA359" s="53">
        <f t="shared" si="2295"/>
        <v>89</v>
      </c>
      <c r="AB359" s="54">
        <f t="shared" si="2460"/>
        <v>265</v>
      </c>
      <c r="AC359" s="49">
        <f t="shared" ref="AC359:AD359" si="2497">SUM(S359,U359,W359,Y359,AA359)</f>
        <v>284</v>
      </c>
      <c r="AD359" s="50">
        <f t="shared" si="2497"/>
        <v>847</v>
      </c>
      <c r="AE359" s="53">
        <f t="shared" si="2298"/>
        <v>86</v>
      </c>
      <c r="AF359" s="54">
        <f t="shared" si="2467"/>
        <v>257</v>
      </c>
      <c r="AG359" s="53">
        <f t="shared" si="2300"/>
        <v>17</v>
      </c>
      <c r="AH359" s="54">
        <f t="shared" si="2468"/>
        <v>51</v>
      </c>
      <c r="AI359" s="53">
        <f t="shared" si="2302"/>
        <v>19</v>
      </c>
      <c r="AJ359" s="54">
        <f t="shared" si="2469"/>
        <v>56</v>
      </c>
      <c r="AK359" s="53">
        <f t="shared" si="2304"/>
        <v>95</v>
      </c>
      <c r="AL359" s="54">
        <f t="shared" si="2470"/>
        <v>285</v>
      </c>
      <c r="AM359" s="53">
        <f t="shared" si="2306"/>
        <v>44</v>
      </c>
      <c r="AN359" s="54">
        <f t="shared" si="2471"/>
        <v>131</v>
      </c>
      <c r="AO359" s="53">
        <f t="shared" si="2308"/>
        <v>31</v>
      </c>
      <c r="AP359" s="54">
        <f t="shared" si="2472"/>
        <v>92</v>
      </c>
      <c r="AQ359" s="49">
        <f t="shared" ref="AQ359:AR359" si="2498">SUM(AG359,AI359,AK359,AM359,AO359)</f>
        <v>206</v>
      </c>
      <c r="AR359" s="50">
        <f t="shared" si="2498"/>
        <v>615</v>
      </c>
      <c r="AS359" s="53">
        <f t="shared" si="2311"/>
        <v>17</v>
      </c>
      <c r="AT359" s="54">
        <f t="shared" si="2489"/>
        <v>49</v>
      </c>
      <c r="AU359" s="53">
        <f t="shared" si="2313"/>
        <v>33</v>
      </c>
      <c r="AV359" s="54">
        <f t="shared" si="2490"/>
        <v>98</v>
      </c>
      <c r="AW359" s="53">
        <f t="shared" si="2315"/>
        <v>4</v>
      </c>
      <c r="AX359" s="54">
        <f t="shared" si="2491"/>
        <v>10</v>
      </c>
      <c r="AY359" s="53">
        <f t="shared" si="2317"/>
        <v>10</v>
      </c>
      <c r="AZ359" s="54">
        <f t="shared" si="2492"/>
        <v>28</v>
      </c>
      <c r="BA359" s="53">
        <f t="shared" si="2319"/>
        <v>3</v>
      </c>
      <c r="BB359" s="54">
        <f t="shared" si="2493"/>
        <v>7</v>
      </c>
      <c r="BC359" s="49">
        <f t="shared" ref="BC359:BD359" si="2499">SUM(AS359,AU359,AW359,AY359,BA359)</f>
        <v>67</v>
      </c>
      <c r="BD359" s="50">
        <f t="shared" si="2499"/>
        <v>192</v>
      </c>
      <c r="BE359" s="68">
        <f t="shared" ref="BE359:BF359" si="2500">SUM(E359,G359,I359,O359,Q359,AC359,AQ359,BC359)</f>
        <v>650</v>
      </c>
      <c r="BF359" s="69">
        <f t="shared" si="2500"/>
        <v>1929</v>
      </c>
      <c r="BG359" s="46" t="str">
        <f>BF359*'ОВгП_РАО'!$B$33</f>
        <v>#REF!</v>
      </c>
      <c r="BH359" s="46" t="str">
        <f>'ОВгП_РАО'!$B$33</f>
        <v>#REF!</v>
      </c>
    </row>
    <row r="360" ht="15.75" customHeight="1">
      <c r="A360" s="80">
        <f t="shared" si="2323"/>
        <v>46270</v>
      </c>
      <c r="B360" s="47" t="s">
        <v>160</v>
      </c>
      <c r="C360" s="47" t="s">
        <v>161</v>
      </c>
      <c r="D360" s="47" t="s">
        <v>98</v>
      </c>
      <c r="E360" s="73">
        <f t="shared" si="2274"/>
        <v>18</v>
      </c>
      <c r="F360" s="50">
        <f t="shared" si="2449"/>
        <v>54</v>
      </c>
      <c r="G360" s="73">
        <f t="shared" si="2276"/>
        <v>7</v>
      </c>
      <c r="H360" s="50">
        <f t="shared" si="2450"/>
        <v>21</v>
      </c>
      <c r="I360" s="73">
        <f t="shared" si="2278"/>
        <v>34</v>
      </c>
      <c r="J360" s="50">
        <f t="shared" si="2451"/>
        <v>100</v>
      </c>
      <c r="K360" s="53">
        <f t="shared" si="2280"/>
        <v>8</v>
      </c>
      <c r="L360" s="54">
        <f t="shared" si="2452"/>
        <v>22</v>
      </c>
      <c r="M360" s="53">
        <f t="shared" si="2282"/>
        <v>21</v>
      </c>
      <c r="N360" s="54">
        <f t="shared" si="2453"/>
        <v>62</v>
      </c>
      <c r="O360" s="49">
        <f t="shared" ref="O360:P360" si="2501">SUM(K360,M360)</f>
        <v>29</v>
      </c>
      <c r="P360" s="50">
        <f t="shared" si="2501"/>
        <v>84</v>
      </c>
      <c r="Q360" s="73">
        <f t="shared" si="2285"/>
        <v>28</v>
      </c>
      <c r="R360" s="50">
        <f t="shared" si="2455"/>
        <v>83</v>
      </c>
      <c r="S360" s="53">
        <f t="shared" si="2287"/>
        <v>67</v>
      </c>
      <c r="T360" s="54">
        <f t="shared" si="2456"/>
        <v>200</v>
      </c>
      <c r="U360" s="53">
        <f t="shared" si="2289"/>
        <v>29</v>
      </c>
      <c r="V360" s="54">
        <f t="shared" si="2457"/>
        <v>86</v>
      </c>
      <c r="W360" s="53">
        <f t="shared" si="2291"/>
        <v>91</v>
      </c>
      <c r="X360" s="54">
        <f t="shared" si="2458"/>
        <v>271</v>
      </c>
      <c r="Y360" s="53">
        <f t="shared" si="2293"/>
        <v>42</v>
      </c>
      <c r="Z360" s="54">
        <f t="shared" si="2459"/>
        <v>124</v>
      </c>
      <c r="AA360" s="53">
        <f t="shared" si="2295"/>
        <v>36</v>
      </c>
      <c r="AB360" s="54">
        <f t="shared" si="2460"/>
        <v>107</v>
      </c>
      <c r="AC360" s="49">
        <f t="shared" ref="AC360:AD360" si="2502">SUM(S360,U360,W360,Y360,AA360)</f>
        <v>265</v>
      </c>
      <c r="AD360" s="50">
        <f t="shared" si="2502"/>
        <v>788</v>
      </c>
      <c r="AE360" s="53">
        <f t="shared" si="2298"/>
        <v>84</v>
      </c>
      <c r="AF360" s="54">
        <f t="shared" si="2467"/>
        <v>250</v>
      </c>
      <c r="AG360" s="53">
        <f t="shared" si="2300"/>
        <v>25</v>
      </c>
      <c r="AH360" s="54">
        <f t="shared" si="2468"/>
        <v>74</v>
      </c>
      <c r="AI360" s="53">
        <f t="shared" si="2302"/>
        <v>76</v>
      </c>
      <c r="AJ360" s="54">
        <f t="shared" si="2469"/>
        <v>226</v>
      </c>
      <c r="AK360" s="53">
        <f t="shared" si="2304"/>
        <v>16</v>
      </c>
      <c r="AL360" s="54">
        <f t="shared" si="2470"/>
        <v>47</v>
      </c>
      <c r="AM360" s="53">
        <f t="shared" si="2306"/>
        <v>52</v>
      </c>
      <c r="AN360" s="54">
        <f t="shared" si="2471"/>
        <v>154</v>
      </c>
      <c r="AO360" s="53">
        <f t="shared" si="2308"/>
        <v>89</v>
      </c>
      <c r="AP360" s="54">
        <f t="shared" si="2472"/>
        <v>266</v>
      </c>
      <c r="AQ360" s="49">
        <f t="shared" ref="AQ360:AR360" si="2503">SUM(AG360,AI360,AK360,AM360,AO360)</f>
        <v>258</v>
      </c>
      <c r="AR360" s="50">
        <f t="shared" si="2503"/>
        <v>767</v>
      </c>
      <c r="AS360" s="53">
        <f t="shared" si="2311"/>
        <v>44</v>
      </c>
      <c r="AT360" s="54">
        <f t="shared" ref="AT360:AT362" si="2509">RANDBETWEEN(0,300)</f>
        <v>131</v>
      </c>
      <c r="AU360" s="53">
        <f t="shared" si="2313"/>
        <v>24</v>
      </c>
      <c r="AV360" s="54">
        <f t="shared" ref="AV360:AV362" si="2510">RANDBETWEEN(0,300)</f>
        <v>70</v>
      </c>
      <c r="AW360" s="53">
        <f t="shared" si="2315"/>
        <v>27</v>
      </c>
      <c r="AX360" s="54">
        <f t="shared" ref="AX360:AX362" si="2511">RANDBETWEEN(0,300)</f>
        <v>80</v>
      </c>
      <c r="AY360" s="53">
        <f t="shared" si="2317"/>
        <v>19</v>
      </c>
      <c r="AZ360" s="54">
        <f t="shared" ref="AZ360:AZ362" si="2512">RANDBETWEEN(0,300)</f>
        <v>56</v>
      </c>
      <c r="BA360" s="53">
        <f t="shared" si="2319"/>
        <v>5</v>
      </c>
      <c r="BB360" s="54">
        <f t="shared" ref="BB360:BB362" si="2513">RANDBETWEEN(0,300)</f>
        <v>15</v>
      </c>
      <c r="BC360" s="49">
        <f t="shared" ref="BC360:BD360" si="2504">SUM(AS360,AU360,AW360,AY360,BA360)</f>
        <v>119</v>
      </c>
      <c r="BD360" s="50">
        <f t="shared" si="2504"/>
        <v>352</v>
      </c>
      <c r="BE360" s="68">
        <f t="shared" ref="BE360:BF360" si="2505">SUM(E360,G360,I360,O360,Q360,AC360,AQ360,BC360)</f>
        <v>758</v>
      </c>
      <c r="BF360" s="69">
        <f t="shared" si="2505"/>
        <v>2249</v>
      </c>
      <c r="BG360" s="46" t="str">
        <f>BF360*'ОВгП_РАО'!$B$34</f>
        <v>#REF!</v>
      </c>
      <c r="BH360" s="46" t="str">
        <f>'ОВгП_РАО'!$B$34</f>
        <v>#REF!</v>
      </c>
    </row>
    <row r="361" ht="15.75" customHeight="1">
      <c r="A361" s="80">
        <f t="shared" si="2323"/>
        <v>46270</v>
      </c>
      <c r="B361" s="47" t="s">
        <v>163</v>
      </c>
      <c r="C361" s="47" t="s">
        <v>161</v>
      </c>
      <c r="D361" s="47" t="s">
        <v>145</v>
      </c>
      <c r="E361" s="73">
        <f t="shared" si="2274"/>
        <v>18</v>
      </c>
      <c r="F361" s="50">
        <f t="shared" si="2449"/>
        <v>52</v>
      </c>
      <c r="G361" s="73">
        <f t="shared" si="2276"/>
        <v>6</v>
      </c>
      <c r="H361" s="50">
        <f t="shared" si="2450"/>
        <v>16</v>
      </c>
      <c r="I361" s="73">
        <f t="shared" si="2278"/>
        <v>3</v>
      </c>
      <c r="J361" s="50">
        <f t="shared" si="2451"/>
        <v>9</v>
      </c>
      <c r="K361" s="53">
        <f t="shared" si="2280"/>
        <v>31</v>
      </c>
      <c r="L361" s="54">
        <f t="shared" si="2452"/>
        <v>91</v>
      </c>
      <c r="M361" s="53">
        <f t="shared" si="2282"/>
        <v>7</v>
      </c>
      <c r="N361" s="54">
        <f t="shared" si="2453"/>
        <v>19</v>
      </c>
      <c r="O361" s="49">
        <f t="shared" ref="O361:P361" si="2506">SUM(K361,M361)</f>
        <v>38</v>
      </c>
      <c r="P361" s="50">
        <f t="shared" si="2506"/>
        <v>110</v>
      </c>
      <c r="Q361" s="73">
        <f t="shared" si="2285"/>
        <v>13</v>
      </c>
      <c r="R361" s="50">
        <f t="shared" si="2455"/>
        <v>39</v>
      </c>
      <c r="S361" s="53">
        <f t="shared" si="2287"/>
        <v>5</v>
      </c>
      <c r="T361" s="54">
        <f t="shared" si="2456"/>
        <v>13</v>
      </c>
      <c r="U361" s="53">
        <f t="shared" si="2289"/>
        <v>15</v>
      </c>
      <c r="V361" s="54">
        <f t="shared" si="2457"/>
        <v>45</v>
      </c>
      <c r="W361" s="53">
        <f t="shared" si="2291"/>
        <v>98</v>
      </c>
      <c r="X361" s="54">
        <f t="shared" si="2458"/>
        <v>292</v>
      </c>
      <c r="Y361" s="53">
        <f t="shared" si="2293"/>
        <v>79</v>
      </c>
      <c r="Z361" s="54">
        <f t="shared" si="2459"/>
        <v>236</v>
      </c>
      <c r="AA361" s="53">
        <f t="shared" si="2295"/>
        <v>50</v>
      </c>
      <c r="AB361" s="54">
        <f t="shared" si="2460"/>
        <v>148</v>
      </c>
      <c r="AC361" s="49">
        <f t="shared" ref="AC361:AD361" si="2507">SUM(S361,U361,W361,Y361,AA361)</f>
        <v>247</v>
      </c>
      <c r="AD361" s="50">
        <f t="shared" si="2507"/>
        <v>734</v>
      </c>
      <c r="AE361" s="53">
        <f t="shared" si="2298"/>
        <v>60</v>
      </c>
      <c r="AF361" s="54">
        <f t="shared" si="2467"/>
        <v>180</v>
      </c>
      <c r="AG361" s="53">
        <f t="shared" si="2300"/>
        <v>34</v>
      </c>
      <c r="AH361" s="54">
        <f t="shared" si="2468"/>
        <v>100</v>
      </c>
      <c r="AI361" s="53">
        <f t="shared" si="2302"/>
        <v>88</v>
      </c>
      <c r="AJ361" s="54">
        <f t="shared" si="2469"/>
        <v>262</v>
      </c>
      <c r="AK361" s="53">
        <f t="shared" si="2304"/>
        <v>90</v>
      </c>
      <c r="AL361" s="54">
        <f t="shared" si="2470"/>
        <v>268</v>
      </c>
      <c r="AM361" s="53">
        <f t="shared" si="2306"/>
        <v>6</v>
      </c>
      <c r="AN361" s="54">
        <f t="shared" si="2471"/>
        <v>16</v>
      </c>
      <c r="AO361" s="53">
        <f t="shared" si="2308"/>
        <v>38</v>
      </c>
      <c r="AP361" s="54">
        <f t="shared" si="2472"/>
        <v>112</v>
      </c>
      <c r="AQ361" s="49">
        <f t="shared" ref="AQ361:AR361" si="2508">SUM(AG361,AI361,AK361,AM361,AO361)</f>
        <v>256</v>
      </c>
      <c r="AR361" s="50">
        <f t="shared" si="2508"/>
        <v>758</v>
      </c>
      <c r="AS361" s="53">
        <f t="shared" si="2311"/>
        <v>28</v>
      </c>
      <c r="AT361" s="54">
        <f t="shared" si="2509"/>
        <v>83</v>
      </c>
      <c r="AU361" s="53">
        <f t="shared" si="2313"/>
        <v>5</v>
      </c>
      <c r="AV361" s="54">
        <f t="shared" si="2510"/>
        <v>13</v>
      </c>
      <c r="AW361" s="53">
        <f t="shared" si="2315"/>
        <v>2</v>
      </c>
      <c r="AX361" s="54">
        <f t="shared" si="2511"/>
        <v>6</v>
      </c>
      <c r="AY361" s="53">
        <f t="shared" si="2317"/>
        <v>73</v>
      </c>
      <c r="AZ361" s="54">
        <f t="shared" si="2512"/>
        <v>217</v>
      </c>
      <c r="BA361" s="53">
        <f t="shared" si="2319"/>
        <v>81</v>
      </c>
      <c r="BB361" s="54">
        <f t="shared" si="2513"/>
        <v>242</v>
      </c>
      <c r="BC361" s="49">
        <f t="shared" ref="BC361:BD361" si="2514">SUM(AS361,AU361,AW361,AY361,BA361)</f>
        <v>189</v>
      </c>
      <c r="BD361" s="50">
        <f t="shared" si="2514"/>
        <v>561</v>
      </c>
      <c r="BE361" s="68">
        <f t="shared" ref="BE361:BF361" si="2515">SUM(E361,G361,I361,O361,Q361,AC361,AQ361,BC361)</f>
        <v>770</v>
      </c>
      <c r="BF361" s="69">
        <f t="shared" si="2515"/>
        <v>2279</v>
      </c>
      <c r="BG361" s="46" t="str">
        <f>BF361*'ОВгП_РАО'!$B$35</f>
        <v>#REF!</v>
      </c>
      <c r="BH361" s="46" t="str">
        <f>'ОВгП_РАО'!$B$35</f>
        <v>#REF!</v>
      </c>
    </row>
    <row r="362" ht="15.75" customHeight="1">
      <c r="A362" s="80">
        <f t="shared" si="2323"/>
        <v>46270</v>
      </c>
      <c r="B362" s="47" t="s">
        <v>164</v>
      </c>
      <c r="C362" s="47" t="s">
        <v>161</v>
      </c>
      <c r="D362" s="47" t="s">
        <v>148</v>
      </c>
      <c r="E362" s="73">
        <f t="shared" si="2274"/>
        <v>22</v>
      </c>
      <c r="F362" s="50">
        <f t="shared" si="2449"/>
        <v>65</v>
      </c>
      <c r="G362" s="73">
        <f t="shared" si="2276"/>
        <v>27</v>
      </c>
      <c r="H362" s="50">
        <f t="shared" si="2450"/>
        <v>80</v>
      </c>
      <c r="I362" s="73">
        <f t="shared" si="2278"/>
        <v>7</v>
      </c>
      <c r="J362" s="50">
        <f t="shared" si="2451"/>
        <v>19</v>
      </c>
      <c r="K362" s="53">
        <f t="shared" si="2280"/>
        <v>23</v>
      </c>
      <c r="L362" s="54">
        <f t="shared" si="2452"/>
        <v>69</v>
      </c>
      <c r="M362" s="53">
        <f t="shared" si="2282"/>
        <v>19</v>
      </c>
      <c r="N362" s="54">
        <f t="shared" si="2453"/>
        <v>56</v>
      </c>
      <c r="O362" s="49">
        <f t="shared" ref="O362:P362" si="2516">SUM(K362,M362)</f>
        <v>42</v>
      </c>
      <c r="P362" s="50">
        <f t="shared" si="2516"/>
        <v>125</v>
      </c>
      <c r="Q362" s="73">
        <f t="shared" si="2285"/>
        <v>21</v>
      </c>
      <c r="R362" s="50">
        <f t="shared" si="2455"/>
        <v>62</v>
      </c>
      <c r="S362" s="53">
        <f t="shared" si="2287"/>
        <v>24</v>
      </c>
      <c r="T362" s="54">
        <f t="shared" si="2456"/>
        <v>72</v>
      </c>
      <c r="U362" s="53">
        <f t="shared" si="2289"/>
        <v>65</v>
      </c>
      <c r="V362" s="54">
        <f t="shared" si="2457"/>
        <v>195</v>
      </c>
      <c r="W362" s="53">
        <f t="shared" si="2291"/>
        <v>21</v>
      </c>
      <c r="X362" s="54">
        <f t="shared" si="2458"/>
        <v>62</v>
      </c>
      <c r="Y362" s="53">
        <f t="shared" si="2293"/>
        <v>76</v>
      </c>
      <c r="Z362" s="54">
        <f t="shared" si="2459"/>
        <v>226</v>
      </c>
      <c r="AA362" s="53">
        <f t="shared" si="2295"/>
        <v>9</v>
      </c>
      <c r="AB362" s="54">
        <f t="shared" si="2460"/>
        <v>25</v>
      </c>
      <c r="AC362" s="49">
        <f t="shared" ref="AC362:AD362" si="2517">SUM(S362,U362,W362,Y362,AA362)</f>
        <v>195</v>
      </c>
      <c r="AD362" s="50">
        <f t="shared" si="2517"/>
        <v>580</v>
      </c>
      <c r="AE362" s="53">
        <f t="shared" si="2298"/>
        <v>18</v>
      </c>
      <c r="AF362" s="54">
        <f t="shared" si="2467"/>
        <v>52</v>
      </c>
      <c r="AG362" s="53">
        <f t="shared" si="2300"/>
        <v>60</v>
      </c>
      <c r="AH362" s="54">
        <f t="shared" si="2468"/>
        <v>179</v>
      </c>
      <c r="AI362" s="53">
        <f t="shared" si="2302"/>
        <v>64</v>
      </c>
      <c r="AJ362" s="54">
        <f t="shared" si="2469"/>
        <v>192</v>
      </c>
      <c r="AK362" s="53">
        <f t="shared" si="2304"/>
        <v>20</v>
      </c>
      <c r="AL362" s="54">
        <f t="shared" si="2470"/>
        <v>59</v>
      </c>
      <c r="AM362" s="53">
        <f t="shared" si="2306"/>
        <v>9</v>
      </c>
      <c r="AN362" s="54">
        <f t="shared" si="2471"/>
        <v>26</v>
      </c>
      <c r="AO362" s="53">
        <f t="shared" si="2308"/>
        <v>16</v>
      </c>
      <c r="AP362" s="54">
        <f t="shared" si="2472"/>
        <v>47</v>
      </c>
      <c r="AQ362" s="49">
        <f t="shared" ref="AQ362:AR362" si="2518">SUM(AG362,AI362,AK362,AM362,AO362)</f>
        <v>169</v>
      </c>
      <c r="AR362" s="50">
        <f t="shared" si="2518"/>
        <v>503</v>
      </c>
      <c r="AS362" s="53">
        <f t="shared" si="2311"/>
        <v>12</v>
      </c>
      <c r="AT362" s="54">
        <f t="shared" si="2509"/>
        <v>34</v>
      </c>
      <c r="AU362" s="53">
        <f t="shared" si="2313"/>
        <v>36</v>
      </c>
      <c r="AV362" s="54">
        <f t="shared" si="2510"/>
        <v>106</v>
      </c>
      <c r="AW362" s="53">
        <f t="shared" si="2315"/>
        <v>71</v>
      </c>
      <c r="AX362" s="54">
        <f t="shared" si="2511"/>
        <v>212</v>
      </c>
      <c r="AY362" s="53">
        <f t="shared" si="2317"/>
        <v>79</v>
      </c>
      <c r="AZ362" s="54">
        <f t="shared" si="2512"/>
        <v>235</v>
      </c>
      <c r="BA362" s="53">
        <f t="shared" si="2319"/>
        <v>45</v>
      </c>
      <c r="BB362" s="54">
        <f t="shared" si="2513"/>
        <v>133</v>
      </c>
      <c r="BC362" s="49">
        <f t="shared" ref="BC362:BD362" si="2519">SUM(AS362,AU362,AW362,AY362,BA362)</f>
        <v>243</v>
      </c>
      <c r="BD362" s="50">
        <f t="shared" si="2519"/>
        <v>720</v>
      </c>
      <c r="BE362" s="68">
        <f t="shared" ref="BE362:BF362" si="2520">SUM(E362,G362,I362,O362,Q362,AC362,AQ362,BC362)</f>
        <v>726</v>
      </c>
      <c r="BF362" s="69">
        <f t="shared" si="2520"/>
        <v>2154</v>
      </c>
      <c r="BG362" s="46" t="str">
        <f>BF362*'ОВгП_РАО'!$B$36</f>
        <v>#REF!</v>
      </c>
      <c r="BH362" s="46" t="str">
        <f>'ОВгП_РАО'!B360</f>
        <v>#REF!</v>
      </c>
    </row>
    <row r="363" ht="15.75" customHeight="1">
      <c r="A363" s="161"/>
      <c r="B363" s="162"/>
      <c r="C363" s="162"/>
      <c r="D363" s="162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  <c r="BC363" s="40"/>
      <c r="BD363" s="40"/>
      <c r="BE363" s="40"/>
      <c r="BF363" s="42"/>
    </row>
    <row r="364" ht="15.75" customHeight="1">
      <c r="A364" s="44">
        <f>A362+1</f>
        <v>46271</v>
      </c>
      <c r="B364" s="163" t="s">
        <v>95</v>
      </c>
      <c r="C364" s="46" t="s">
        <v>96</v>
      </c>
      <c r="D364" s="47" t="s">
        <v>98</v>
      </c>
      <c r="E364" s="49">
        <f t="shared" ref="E364:E398" si="2526">ROUNDUP(F364/3,0)</f>
        <v>0</v>
      </c>
      <c r="F364" s="50">
        <f t="shared" ref="F364:F389" si="2527">RANDBETWEEN(0,4)</f>
        <v>0</v>
      </c>
      <c r="G364" s="49">
        <f t="shared" ref="G364:G398" si="2528">ROUNDUP(H364/3,0)</f>
        <v>1</v>
      </c>
      <c r="H364" s="50">
        <f t="shared" ref="H364:H389" si="2529">RANDBETWEEN(0,4)</f>
        <v>3</v>
      </c>
      <c r="I364" s="49">
        <f t="shared" ref="I364:I398" si="2530">ROUNDUP(J364/3,0)</f>
        <v>0</v>
      </c>
      <c r="J364" s="50">
        <f t="shared" ref="J364:J389" si="2531">RANDBETWEEN(0,4)</f>
        <v>0</v>
      </c>
      <c r="K364" s="53">
        <f t="shared" ref="K364:K398" si="2532">ROUNDUP(L364/3,0)</f>
        <v>0</v>
      </c>
      <c r="L364" s="54">
        <f t="shared" ref="L364:L389" si="2533">RANDBETWEEN(0,4)</f>
        <v>0</v>
      </c>
      <c r="M364" s="53">
        <f t="shared" ref="M364:M398" si="2534">ROUNDUP(N364/3,0)</f>
        <v>2</v>
      </c>
      <c r="N364" s="54">
        <f t="shared" ref="N364:N389" si="2535">RANDBETWEEN(0,4)</f>
        <v>4</v>
      </c>
      <c r="O364" s="49">
        <f t="shared" ref="O364:P364" si="2521">SUM(K364,M364)</f>
        <v>2</v>
      </c>
      <c r="P364" s="50">
        <f t="shared" si="2521"/>
        <v>4</v>
      </c>
      <c r="Q364" s="49">
        <f t="shared" ref="Q364:Q398" si="2537">ROUNDUP(R364/3,0)</f>
        <v>1</v>
      </c>
      <c r="R364" s="50">
        <f t="shared" ref="R364:R389" si="2538">RANDBETWEEN(0,4)</f>
        <v>3</v>
      </c>
      <c r="S364" s="53">
        <f t="shared" ref="S364:S398" si="2539">ROUNDUP(T364/3,0)</f>
        <v>1</v>
      </c>
      <c r="T364" s="54">
        <f t="shared" ref="T364:T389" si="2540">RANDBETWEEN(0,4)</f>
        <v>1</v>
      </c>
      <c r="U364" s="53">
        <f t="shared" ref="U364:U398" si="2541">ROUNDUP(V364/3,0)</f>
        <v>1</v>
      </c>
      <c r="V364" s="54">
        <f t="shared" ref="V364:V389" si="2542">RANDBETWEEN(0,4)</f>
        <v>2</v>
      </c>
      <c r="W364" s="53">
        <f t="shared" ref="W364:W398" si="2543">ROUNDUP(X364/3,0)</f>
        <v>0</v>
      </c>
      <c r="X364" s="54">
        <f t="shared" ref="X364:X389" si="2544">RANDBETWEEN(0,4)</f>
        <v>0</v>
      </c>
      <c r="Y364" s="53">
        <f t="shared" ref="Y364:Y398" si="2545">ROUNDUP(Z364/3,0)</f>
        <v>2</v>
      </c>
      <c r="Z364" s="54">
        <f t="shared" ref="Z364:Z389" si="2546">RANDBETWEEN(0,4)</f>
        <v>4</v>
      </c>
      <c r="AA364" s="53">
        <f t="shared" ref="AA364:AA398" si="2547">ROUNDUP(AB364/3,0)</f>
        <v>1</v>
      </c>
      <c r="AB364" s="54">
        <f t="shared" ref="AB364:AB389" si="2548">RANDBETWEEN(0,4)</f>
        <v>3</v>
      </c>
      <c r="AC364" s="49">
        <f t="shared" ref="AC364:AD364" si="2522">SUM(S364,U364,W364,Y364,AA364)</f>
        <v>5</v>
      </c>
      <c r="AD364" s="50">
        <f t="shared" si="2522"/>
        <v>10</v>
      </c>
      <c r="AE364" s="53">
        <f t="shared" ref="AE364:AE398" si="2550">ROUNDUP(AF364/3,0)</f>
        <v>1</v>
      </c>
      <c r="AF364" s="54">
        <f t="shared" ref="AF364:AF389" si="2551">RANDBETWEEN(0,4)</f>
        <v>2</v>
      </c>
      <c r="AG364" s="53">
        <f t="shared" ref="AG364:AG398" si="2552">ROUNDUP(AH364/3,0)</f>
        <v>1</v>
      </c>
      <c r="AH364" s="54">
        <f t="shared" ref="AH364:AH389" si="2553">RANDBETWEEN(0,4)</f>
        <v>3</v>
      </c>
      <c r="AI364" s="53">
        <f t="shared" ref="AI364:AI398" si="2554">ROUNDUP(AJ364/3,0)</f>
        <v>1</v>
      </c>
      <c r="AJ364" s="54">
        <f t="shared" ref="AJ364:AJ389" si="2555">RANDBETWEEN(0,4)</f>
        <v>1</v>
      </c>
      <c r="AK364" s="53">
        <f t="shared" ref="AK364:AK398" si="2556">ROUNDUP(AL364/3,0)</f>
        <v>1</v>
      </c>
      <c r="AL364" s="54">
        <f t="shared" ref="AL364:AL389" si="2557">RANDBETWEEN(0,4)</f>
        <v>3</v>
      </c>
      <c r="AM364" s="53">
        <f t="shared" ref="AM364:AM398" si="2558">ROUNDUP(AN364/3,0)</f>
        <v>1</v>
      </c>
      <c r="AN364" s="54">
        <f t="shared" ref="AN364:AN389" si="2559">RANDBETWEEN(0,4)</f>
        <v>1</v>
      </c>
      <c r="AO364" s="53">
        <f t="shared" ref="AO364:AO398" si="2560">ROUNDUP(AP364/3,0)</f>
        <v>0</v>
      </c>
      <c r="AP364" s="54">
        <f t="shared" ref="AP364:AP389" si="2561">RANDBETWEEN(0,4)</f>
        <v>0</v>
      </c>
      <c r="AQ364" s="49">
        <f t="shared" ref="AQ364:AR364" si="2523">SUM(AG364,AI364,AK364,AM364,AO364)</f>
        <v>4</v>
      </c>
      <c r="AR364" s="50">
        <f t="shared" si="2523"/>
        <v>8</v>
      </c>
      <c r="AS364" s="53">
        <f t="shared" ref="AS364:AS398" si="2563">ROUNDUP(AT364/3,0)</f>
        <v>2</v>
      </c>
      <c r="AT364" s="54">
        <f t="shared" ref="AT364:AT389" si="2564">RANDBETWEEN(0,4)</f>
        <v>4</v>
      </c>
      <c r="AU364" s="53">
        <f t="shared" ref="AU364:AU398" si="2565">ROUNDUP(AV364/3,0)</f>
        <v>2</v>
      </c>
      <c r="AV364" s="54">
        <f t="shared" ref="AV364:AV389" si="2566">RANDBETWEEN(0,4)</f>
        <v>4</v>
      </c>
      <c r="AW364" s="53">
        <f t="shared" ref="AW364:AW398" si="2567">ROUNDUP(AX364/3,0)</f>
        <v>0</v>
      </c>
      <c r="AX364" s="54">
        <f t="shared" ref="AX364:AX389" si="2568">RANDBETWEEN(0,4)</f>
        <v>0</v>
      </c>
      <c r="AY364" s="53">
        <f t="shared" ref="AY364:AY398" si="2569">ROUNDUP(AZ364/3,0)</f>
        <v>0</v>
      </c>
      <c r="AZ364" s="54">
        <f t="shared" ref="AZ364:AZ389" si="2570">RANDBETWEEN(0,4)</f>
        <v>0</v>
      </c>
      <c r="BA364" s="53">
        <f t="shared" ref="BA364:BA398" si="2571">ROUNDUP(BB364/3,0)</f>
        <v>1</v>
      </c>
      <c r="BB364" s="54">
        <f t="shared" ref="BB364:BB389" si="2572">RANDBETWEEN(0,4)</f>
        <v>3</v>
      </c>
      <c r="BC364" s="49">
        <f t="shared" ref="BC364:BD364" si="2524">SUM(AS364,AU364,AW364,AY364,BA364)</f>
        <v>5</v>
      </c>
      <c r="BD364" s="50">
        <f t="shared" si="2524"/>
        <v>11</v>
      </c>
      <c r="BE364" s="68">
        <f t="shared" ref="BE364:BF364" si="2525">SUM(E364,G364,I364,O364,Q364,AC364,AQ364,BC364)</f>
        <v>18</v>
      </c>
      <c r="BF364" s="69">
        <f t="shared" si="2525"/>
        <v>39</v>
      </c>
      <c r="BG364" s="46" t="str">
        <f>BF364*'ОВгП_РАО'!$B$2</f>
        <v>#REF!</v>
      </c>
      <c r="BH364" s="46" t="str">
        <f>'ОВгП_РАО'!$B$2</f>
        <v>#REF!</v>
      </c>
    </row>
    <row r="365" ht="15.75" customHeight="1">
      <c r="A365" s="71">
        <f t="shared" ref="A365:A398" si="2575">A364</f>
        <v>46271</v>
      </c>
      <c r="B365" s="45" t="s">
        <v>115</v>
      </c>
      <c r="C365" s="46" t="s">
        <v>96</v>
      </c>
      <c r="D365" s="47" t="s">
        <v>98</v>
      </c>
      <c r="E365" s="73">
        <f t="shared" si="2526"/>
        <v>1</v>
      </c>
      <c r="F365" s="50">
        <f t="shared" si="2527"/>
        <v>3</v>
      </c>
      <c r="G365" s="73">
        <f t="shared" si="2528"/>
        <v>1</v>
      </c>
      <c r="H365" s="50">
        <f t="shared" si="2529"/>
        <v>2</v>
      </c>
      <c r="I365" s="73">
        <f t="shared" si="2530"/>
        <v>1</v>
      </c>
      <c r="J365" s="50">
        <f t="shared" si="2531"/>
        <v>3</v>
      </c>
      <c r="K365" s="53">
        <f t="shared" si="2532"/>
        <v>2</v>
      </c>
      <c r="L365" s="54">
        <f t="shared" si="2533"/>
        <v>4</v>
      </c>
      <c r="M365" s="53">
        <f t="shared" si="2534"/>
        <v>2</v>
      </c>
      <c r="N365" s="54">
        <f t="shared" si="2535"/>
        <v>4</v>
      </c>
      <c r="O365" s="49">
        <f t="shared" ref="O365:P365" si="2536">SUM(K365,M365)</f>
        <v>4</v>
      </c>
      <c r="P365" s="50">
        <f t="shared" si="2536"/>
        <v>8</v>
      </c>
      <c r="Q365" s="73">
        <f t="shared" si="2537"/>
        <v>2</v>
      </c>
      <c r="R365" s="50">
        <f t="shared" si="2538"/>
        <v>4</v>
      </c>
      <c r="S365" s="53">
        <f t="shared" si="2539"/>
        <v>0</v>
      </c>
      <c r="T365" s="54">
        <f t="shared" si="2540"/>
        <v>0</v>
      </c>
      <c r="U365" s="53">
        <f t="shared" si="2541"/>
        <v>1</v>
      </c>
      <c r="V365" s="54">
        <f t="shared" si="2542"/>
        <v>3</v>
      </c>
      <c r="W365" s="53">
        <f t="shared" si="2543"/>
        <v>1</v>
      </c>
      <c r="X365" s="54">
        <f t="shared" si="2544"/>
        <v>3</v>
      </c>
      <c r="Y365" s="53">
        <f t="shared" si="2545"/>
        <v>1</v>
      </c>
      <c r="Z365" s="54">
        <f t="shared" si="2546"/>
        <v>1</v>
      </c>
      <c r="AA365" s="53">
        <f t="shared" si="2547"/>
        <v>0</v>
      </c>
      <c r="AB365" s="54">
        <f t="shared" si="2548"/>
        <v>0</v>
      </c>
      <c r="AC365" s="49">
        <f t="shared" ref="AC365:AD365" si="2549">SUM(S365,U365,W365,Y365,AA365)</f>
        <v>3</v>
      </c>
      <c r="AD365" s="50">
        <f t="shared" si="2549"/>
        <v>7</v>
      </c>
      <c r="AE365" s="53">
        <f t="shared" si="2550"/>
        <v>2</v>
      </c>
      <c r="AF365" s="54">
        <f t="shared" si="2551"/>
        <v>4</v>
      </c>
      <c r="AG365" s="53">
        <f t="shared" si="2552"/>
        <v>1</v>
      </c>
      <c r="AH365" s="54">
        <f t="shared" si="2553"/>
        <v>3</v>
      </c>
      <c r="AI365" s="53">
        <f t="shared" si="2554"/>
        <v>0</v>
      </c>
      <c r="AJ365" s="54">
        <f t="shared" si="2555"/>
        <v>0</v>
      </c>
      <c r="AK365" s="53">
        <f t="shared" si="2556"/>
        <v>0</v>
      </c>
      <c r="AL365" s="54">
        <f t="shared" si="2557"/>
        <v>0</v>
      </c>
      <c r="AM365" s="53">
        <f t="shared" si="2558"/>
        <v>2</v>
      </c>
      <c r="AN365" s="54">
        <f t="shared" si="2559"/>
        <v>4</v>
      </c>
      <c r="AO365" s="53">
        <f t="shared" si="2560"/>
        <v>1</v>
      </c>
      <c r="AP365" s="54">
        <f t="shared" si="2561"/>
        <v>2</v>
      </c>
      <c r="AQ365" s="49">
        <f t="shared" ref="AQ365:AR365" si="2562">SUM(AG365,AI365,AK365,AM365,AO365)</f>
        <v>4</v>
      </c>
      <c r="AR365" s="50">
        <f t="shared" si="2562"/>
        <v>9</v>
      </c>
      <c r="AS365" s="53">
        <f t="shared" si="2563"/>
        <v>0</v>
      </c>
      <c r="AT365" s="54">
        <f t="shared" si="2564"/>
        <v>0</v>
      </c>
      <c r="AU365" s="53">
        <f t="shared" si="2565"/>
        <v>1</v>
      </c>
      <c r="AV365" s="54">
        <f t="shared" si="2566"/>
        <v>2</v>
      </c>
      <c r="AW365" s="53">
        <f t="shared" si="2567"/>
        <v>1</v>
      </c>
      <c r="AX365" s="54">
        <f t="shared" si="2568"/>
        <v>3</v>
      </c>
      <c r="AY365" s="53">
        <f t="shared" si="2569"/>
        <v>1</v>
      </c>
      <c r="AZ365" s="54">
        <f t="shared" si="2570"/>
        <v>1</v>
      </c>
      <c r="BA365" s="53">
        <f t="shared" si="2571"/>
        <v>1</v>
      </c>
      <c r="BB365" s="54">
        <f t="shared" si="2572"/>
        <v>3</v>
      </c>
      <c r="BC365" s="49">
        <f t="shared" ref="BC365:BD365" si="2573">SUM(AS365,AU365,AW365,AY365,BA365)</f>
        <v>4</v>
      </c>
      <c r="BD365" s="50">
        <f t="shared" si="2573"/>
        <v>9</v>
      </c>
      <c r="BE365" s="68">
        <f t="shared" ref="BE365:BF365" si="2574">SUM(E365,G365,I365,O365,Q365,AC365,AQ365,BC365)</f>
        <v>20</v>
      </c>
      <c r="BF365" s="69">
        <f t="shared" si="2574"/>
        <v>45</v>
      </c>
      <c r="BG365" s="46" t="str">
        <f>BF365*'ОВгП_РАО'!$B$3</f>
        <v>#REF!</v>
      </c>
      <c r="BH365" s="46" t="str">
        <f>'ОВгП_РАО'!$B$3</f>
        <v>#REF!</v>
      </c>
    </row>
    <row r="366" ht="15.75" customHeight="1">
      <c r="A366" s="80">
        <f t="shared" si="2575"/>
        <v>46271</v>
      </c>
      <c r="B366" s="45" t="s">
        <v>116</v>
      </c>
      <c r="C366" s="46" t="s">
        <v>96</v>
      </c>
      <c r="D366" s="47" t="s">
        <v>98</v>
      </c>
      <c r="E366" s="73">
        <f t="shared" si="2526"/>
        <v>2</v>
      </c>
      <c r="F366" s="50">
        <f t="shared" si="2527"/>
        <v>4</v>
      </c>
      <c r="G366" s="73">
        <f t="shared" si="2528"/>
        <v>1</v>
      </c>
      <c r="H366" s="50">
        <f t="shared" si="2529"/>
        <v>3</v>
      </c>
      <c r="I366" s="73">
        <f t="shared" si="2530"/>
        <v>1</v>
      </c>
      <c r="J366" s="50">
        <f t="shared" si="2531"/>
        <v>1</v>
      </c>
      <c r="K366" s="53">
        <f t="shared" si="2532"/>
        <v>2</v>
      </c>
      <c r="L366" s="54">
        <f t="shared" si="2533"/>
        <v>4</v>
      </c>
      <c r="M366" s="53">
        <f t="shared" si="2534"/>
        <v>1</v>
      </c>
      <c r="N366" s="54">
        <f t="shared" si="2535"/>
        <v>3</v>
      </c>
      <c r="O366" s="49">
        <f t="shared" ref="O366:P366" si="2576">SUM(K366,M366)</f>
        <v>3</v>
      </c>
      <c r="P366" s="50">
        <f t="shared" si="2576"/>
        <v>7</v>
      </c>
      <c r="Q366" s="73">
        <f t="shared" si="2537"/>
        <v>1</v>
      </c>
      <c r="R366" s="50">
        <f t="shared" si="2538"/>
        <v>2</v>
      </c>
      <c r="S366" s="53">
        <f t="shared" si="2539"/>
        <v>0</v>
      </c>
      <c r="T366" s="54">
        <f t="shared" si="2540"/>
        <v>0</v>
      </c>
      <c r="U366" s="53">
        <f t="shared" si="2541"/>
        <v>2</v>
      </c>
      <c r="V366" s="54">
        <f t="shared" si="2542"/>
        <v>4</v>
      </c>
      <c r="W366" s="53">
        <f t="shared" si="2543"/>
        <v>0</v>
      </c>
      <c r="X366" s="54">
        <f t="shared" si="2544"/>
        <v>0</v>
      </c>
      <c r="Y366" s="53">
        <f t="shared" si="2545"/>
        <v>1</v>
      </c>
      <c r="Z366" s="54">
        <f t="shared" si="2546"/>
        <v>1</v>
      </c>
      <c r="AA366" s="53">
        <f t="shared" si="2547"/>
        <v>1</v>
      </c>
      <c r="AB366" s="54">
        <f t="shared" si="2548"/>
        <v>1</v>
      </c>
      <c r="AC366" s="49">
        <f t="shared" ref="AC366:AD366" si="2577">SUM(S366,U366,W366,Y366,AA366)</f>
        <v>4</v>
      </c>
      <c r="AD366" s="50">
        <f t="shared" si="2577"/>
        <v>6</v>
      </c>
      <c r="AE366" s="53">
        <f t="shared" si="2550"/>
        <v>1</v>
      </c>
      <c r="AF366" s="54">
        <f t="shared" si="2551"/>
        <v>1</v>
      </c>
      <c r="AG366" s="53">
        <f t="shared" si="2552"/>
        <v>1</v>
      </c>
      <c r="AH366" s="54">
        <f t="shared" si="2553"/>
        <v>2</v>
      </c>
      <c r="AI366" s="53">
        <f t="shared" si="2554"/>
        <v>2</v>
      </c>
      <c r="AJ366" s="54">
        <f t="shared" si="2555"/>
        <v>4</v>
      </c>
      <c r="AK366" s="53">
        <f t="shared" si="2556"/>
        <v>1</v>
      </c>
      <c r="AL366" s="54">
        <f t="shared" si="2557"/>
        <v>3</v>
      </c>
      <c r="AM366" s="53">
        <f t="shared" si="2558"/>
        <v>1</v>
      </c>
      <c r="AN366" s="54">
        <f t="shared" si="2559"/>
        <v>1</v>
      </c>
      <c r="AO366" s="53">
        <f t="shared" si="2560"/>
        <v>1</v>
      </c>
      <c r="AP366" s="54">
        <f t="shared" si="2561"/>
        <v>3</v>
      </c>
      <c r="AQ366" s="49">
        <f t="shared" ref="AQ366:AR366" si="2578">SUM(AG366,AI366,AK366,AM366,AO366)</f>
        <v>6</v>
      </c>
      <c r="AR366" s="50">
        <f t="shared" si="2578"/>
        <v>13</v>
      </c>
      <c r="AS366" s="53">
        <f t="shared" si="2563"/>
        <v>2</v>
      </c>
      <c r="AT366" s="54">
        <f t="shared" si="2564"/>
        <v>4</v>
      </c>
      <c r="AU366" s="53">
        <f t="shared" si="2565"/>
        <v>0</v>
      </c>
      <c r="AV366" s="54">
        <f t="shared" si="2566"/>
        <v>0</v>
      </c>
      <c r="AW366" s="53">
        <f t="shared" si="2567"/>
        <v>1</v>
      </c>
      <c r="AX366" s="54">
        <f t="shared" si="2568"/>
        <v>3</v>
      </c>
      <c r="AY366" s="53">
        <f t="shared" si="2569"/>
        <v>1</v>
      </c>
      <c r="AZ366" s="54">
        <f t="shared" si="2570"/>
        <v>1</v>
      </c>
      <c r="BA366" s="53">
        <f t="shared" si="2571"/>
        <v>1</v>
      </c>
      <c r="BB366" s="54">
        <f t="shared" si="2572"/>
        <v>1</v>
      </c>
      <c r="BC366" s="49">
        <f t="shared" ref="BC366:BD366" si="2579">SUM(AS366,AU366,AW366,AY366,BA366)</f>
        <v>5</v>
      </c>
      <c r="BD366" s="50">
        <f t="shared" si="2579"/>
        <v>9</v>
      </c>
      <c r="BE366" s="68">
        <f t="shared" ref="BE366:BF366" si="2580">SUM(E366,G366,I366,O366,Q366,AC366,AQ366,BC366)</f>
        <v>23</v>
      </c>
      <c r="BF366" s="69">
        <f t="shared" si="2580"/>
        <v>45</v>
      </c>
      <c r="BG366" s="46" t="str">
        <f>BF366*'ОВгП_РАО'!$B$4</f>
        <v>#REF!</v>
      </c>
      <c r="BH366" s="46" t="str">
        <f>'ОВгП_РАО'!$B$4</f>
        <v>#REF!</v>
      </c>
    </row>
    <row r="367" ht="15.75" customHeight="1">
      <c r="A367" s="80">
        <f t="shared" si="2575"/>
        <v>46271</v>
      </c>
      <c r="B367" s="45" t="s">
        <v>117</v>
      </c>
      <c r="C367" s="46" t="s">
        <v>96</v>
      </c>
      <c r="D367" s="47" t="s">
        <v>98</v>
      </c>
      <c r="E367" s="73">
        <f t="shared" si="2526"/>
        <v>0</v>
      </c>
      <c r="F367" s="50">
        <f t="shared" si="2527"/>
        <v>0</v>
      </c>
      <c r="G367" s="73">
        <f t="shared" si="2528"/>
        <v>2</v>
      </c>
      <c r="H367" s="50">
        <f t="shared" si="2529"/>
        <v>4</v>
      </c>
      <c r="I367" s="73">
        <f t="shared" si="2530"/>
        <v>1</v>
      </c>
      <c r="J367" s="50">
        <f t="shared" si="2531"/>
        <v>2</v>
      </c>
      <c r="K367" s="53">
        <f t="shared" si="2532"/>
        <v>1</v>
      </c>
      <c r="L367" s="54">
        <f t="shared" si="2533"/>
        <v>1</v>
      </c>
      <c r="M367" s="53">
        <f t="shared" si="2534"/>
        <v>0</v>
      </c>
      <c r="N367" s="54">
        <f t="shared" si="2535"/>
        <v>0</v>
      </c>
      <c r="O367" s="49">
        <f t="shared" ref="O367:P367" si="2581">SUM(K367,M367)</f>
        <v>1</v>
      </c>
      <c r="P367" s="50">
        <f t="shared" si="2581"/>
        <v>1</v>
      </c>
      <c r="Q367" s="73">
        <f t="shared" si="2537"/>
        <v>1</v>
      </c>
      <c r="R367" s="50">
        <f t="shared" si="2538"/>
        <v>3</v>
      </c>
      <c r="S367" s="53">
        <f t="shared" si="2539"/>
        <v>1</v>
      </c>
      <c r="T367" s="54">
        <f t="shared" si="2540"/>
        <v>2</v>
      </c>
      <c r="U367" s="53">
        <f t="shared" si="2541"/>
        <v>1</v>
      </c>
      <c r="V367" s="54">
        <f t="shared" si="2542"/>
        <v>1</v>
      </c>
      <c r="W367" s="53">
        <f t="shared" si="2543"/>
        <v>1</v>
      </c>
      <c r="X367" s="54">
        <f t="shared" si="2544"/>
        <v>2</v>
      </c>
      <c r="Y367" s="53">
        <f t="shared" si="2545"/>
        <v>1</v>
      </c>
      <c r="Z367" s="54">
        <f t="shared" si="2546"/>
        <v>1</v>
      </c>
      <c r="AA367" s="53">
        <f t="shared" si="2547"/>
        <v>1</v>
      </c>
      <c r="AB367" s="54">
        <f t="shared" si="2548"/>
        <v>2</v>
      </c>
      <c r="AC367" s="49">
        <f t="shared" ref="AC367:AD367" si="2582">SUM(S367,U367,W367,Y367,AA367)</f>
        <v>5</v>
      </c>
      <c r="AD367" s="50">
        <f t="shared" si="2582"/>
        <v>8</v>
      </c>
      <c r="AE367" s="53">
        <f t="shared" si="2550"/>
        <v>0</v>
      </c>
      <c r="AF367" s="54">
        <f t="shared" si="2551"/>
        <v>0</v>
      </c>
      <c r="AG367" s="53">
        <f t="shared" si="2552"/>
        <v>2</v>
      </c>
      <c r="AH367" s="54">
        <f t="shared" si="2553"/>
        <v>4</v>
      </c>
      <c r="AI367" s="53">
        <f t="shared" si="2554"/>
        <v>1</v>
      </c>
      <c r="AJ367" s="54">
        <f t="shared" si="2555"/>
        <v>2</v>
      </c>
      <c r="AK367" s="53">
        <f t="shared" si="2556"/>
        <v>2</v>
      </c>
      <c r="AL367" s="54">
        <f t="shared" si="2557"/>
        <v>4</v>
      </c>
      <c r="AM367" s="53">
        <f t="shared" si="2558"/>
        <v>1</v>
      </c>
      <c r="AN367" s="54">
        <f t="shared" si="2559"/>
        <v>1</v>
      </c>
      <c r="AO367" s="53">
        <f t="shared" si="2560"/>
        <v>0</v>
      </c>
      <c r="AP367" s="54">
        <f t="shared" si="2561"/>
        <v>0</v>
      </c>
      <c r="AQ367" s="49">
        <f t="shared" ref="AQ367:AR367" si="2583">SUM(AG367,AI367,AK367,AM367,AO367)</f>
        <v>6</v>
      </c>
      <c r="AR367" s="50">
        <f t="shared" si="2583"/>
        <v>11</v>
      </c>
      <c r="AS367" s="53">
        <f t="shared" si="2563"/>
        <v>1</v>
      </c>
      <c r="AT367" s="54">
        <f t="shared" si="2564"/>
        <v>3</v>
      </c>
      <c r="AU367" s="53">
        <f t="shared" si="2565"/>
        <v>1</v>
      </c>
      <c r="AV367" s="54">
        <f t="shared" si="2566"/>
        <v>3</v>
      </c>
      <c r="AW367" s="53">
        <f t="shared" si="2567"/>
        <v>2</v>
      </c>
      <c r="AX367" s="54">
        <f t="shared" si="2568"/>
        <v>4</v>
      </c>
      <c r="AY367" s="53">
        <f t="shared" si="2569"/>
        <v>1</v>
      </c>
      <c r="AZ367" s="54">
        <f t="shared" si="2570"/>
        <v>3</v>
      </c>
      <c r="BA367" s="53">
        <f t="shared" si="2571"/>
        <v>1</v>
      </c>
      <c r="BB367" s="54">
        <f t="shared" si="2572"/>
        <v>3</v>
      </c>
      <c r="BC367" s="49">
        <f t="shared" ref="BC367:BD367" si="2584">SUM(AS367,AU367,AW367,AY367,BA367)</f>
        <v>6</v>
      </c>
      <c r="BD367" s="50">
        <f t="shared" si="2584"/>
        <v>16</v>
      </c>
      <c r="BE367" s="68">
        <f t="shared" ref="BE367:BF367" si="2585">SUM(E367,G367,I367,O367,Q367,AC367,AQ367,BC367)</f>
        <v>22</v>
      </c>
      <c r="BF367" s="69">
        <f t="shared" si="2585"/>
        <v>45</v>
      </c>
      <c r="BG367" s="46" t="str">
        <f>BF367*'ОВгП_РАО'!$B$5</f>
        <v>#REF!</v>
      </c>
      <c r="BH367" s="46" t="str">
        <f>'ОВгП_РАО'!$B$5</f>
        <v>#REF!</v>
      </c>
    </row>
    <row r="368" ht="15.75" customHeight="1">
      <c r="A368" s="80">
        <f t="shared" si="2575"/>
        <v>46271</v>
      </c>
      <c r="B368" s="45" t="s">
        <v>118</v>
      </c>
      <c r="C368" s="45" t="s">
        <v>96</v>
      </c>
      <c r="D368" s="47" t="s">
        <v>98</v>
      </c>
      <c r="E368" s="73">
        <f t="shared" si="2526"/>
        <v>2</v>
      </c>
      <c r="F368" s="50">
        <f t="shared" si="2527"/>
        <v>4</v>
      </c>
      <c r="G368" s="73">
        <f t="shared" si="2528"/>
        <v>0</v>
      </c>
      <c r="H368" s="50">
        <f t="shared" si="2529"/>
        <v>0</v>
      </c>
      <c r="I368" s="73">
        <f t="shared" si="2530"/>
        <v>1</v>
      </c>
      <c r="J368" s="50">
        <f t="shared" si="2531"/>
        <v>1</v>
      </c>
      <c r="K368" s="53">
        <f t="shared" si="2532"/>
        <v>1</v>
      </c>
      <c r="L368" s="54">
        <f t="shared" si="2533"/>
        <v>3</v>
      </c>
      <c r="M368" s="53">
        <f t="shared" si="2534"/>
        <v>2</v>
      </c>
      <c r="N368" s="54">
        <f t="shared" si="2535"/>
        <v>4</v>
      </c>
      <c r="O368" s="49">
        <f t="shared" ref="O368:P368" si="2586">SUM(K368,M368)</f>
        <v>3</v>
      </c>
      <c r="P368" s="50">
        <f t="shared" si="2586"/>
        <v>7</v>
      </c>
      <c r="Q368" s="73">
        <f t="shared" si="2537"/>
        <v>1</v>
      </c>
      <c r="R368" s="50">
        <f t="shared" si="2538"/>
        <v>1</v>
      </c>
      <c r="S368" s="53">
        <f t="shared" si="2539"/>
        <v>1</v>
      </c>
      <c r="T368" s="54">
        <f t="shared" si="2540"/>
        <v>1</v>
      </c>
      <c r="U368" s="53">
        <f t="shared" si="2541"/>
        <v>1</v>
      </c>
      <c r="V368" s="54">
        <f t="shared" si="2542"/>
        <v>1</v>
      </c>
      <c r="W368" s="53">
        <f t="shared" si="2543"/>
        <v>2</v>
      </c>
      <c r="X368" s="54">
        <f t="shared" si="2544"/>
        <v>4</v>
      </c>
      <c r="Y368" s="53">
        <f t="shared" si="2545"/>
        <v>1</v>
      </c>
      <c r="Z368" s="54">
        <f t="shared" si="2546"/>
        <v>1</v>
      </c>
      <c r="AA368" s="53">
        <f t="shared" si="2547"/>
        <v>1</v>
      </c>
      <c r="AB368" s="54">
        <f t="shared" si="2548"/>
        <v>3</v>
      </c>
      <c r="AC368" s="49">
        <f t="shared" ref="AC368:AD368" si="2587">SUM(S368,U368,W368,Y368,AA368)</f>
        <v>6</v>
      </c>
      <c r="AD368" s="50">
        <f t="shared" si="2587"/>
        <v>10</v>
      </c>
      <c r="AE368" s="53">
        <f t="shared" si="2550"/>
        <v>0</v>
      </c>
      <c r="AF368" s="54">
        <f t="shared" si="2551"/>
        <v>0</v>
      </c>
      <c r="AG368" s="53">
        <f t="shared" si="2552"/>
        <v>1</v>
      </c>
      <c r="AH368" s="54">
        <f t="shared" si="2553"/>
        <v>1</v>
      </c>
      <c r="AI368" s="53">
        <f t="shared" si="2554"/>
        <v>1</v>
      </c>
      <c r="AJ368" s="54">
        <f t="shared" si="2555"/>
        <v>3</v>
      </c>
      <c r="AK368" s="53">
        <f t="shared" si="2556"/>
        <v>1</v>
      </c>
      <c r="AL368" s="54">
        <f t="shared" si="2557"/>
        <v>1</v>
      </c>
      <c r="AM368" s="53">
        <f t="shared" si="2558"/>
        <v>0</v>
      </c>
      <c r="AN368" s="54">
        <f t="shared" si="2559"/>
        <v>0</v>
      </c>
      <c r="AO368" s="53">
        <f t="shared" si="2560"/>
        <v>1</v>
      </c>
      <c r="AP368" s="54">
        <f t="shared" si="2561"/>
        <v>3</v>
      </c>
      <c r="AQ368" s="49">
        <f t="shared" ref="AQ368:AR368" si="2588">SUM(AG368,AI368,AK368,AM368,AO368)</f>
        <v>4</v>
      </c>
      <c r="AR368" s="50">
        <f t="shared" si="2588"/>
        <v>8</v>
      </c>
      <c r="AS368" s="53">
        <f t="shared" si="2563"/>
        <v>2</v>
      </c>
      <c r="AT368" s="54">
        <f t="shared" si="2564"/>
        <v>4</v>
      </c>
      <c r="AU368" s="53">
        <f t="shared" si="2565"/>
        <v>1</v>
      </c>
      <c r="AV368" s="54">
        <f t="shared" si="2566"/>
        <v>3</v>
      </c>
      <c r="AW368" s="53">
        <f t="shared" si="2567"/>
        <v>1</v>
      </c>
      <c r="AX368" s="54">
        <f t="shared" si="2568"/>
        <v>3</v>
      </c>
      <c r="AY368" s="53">
        <f t="shared" si="2569"/>
        <v>1</v>
      </c>
      <c r="AZ368" s="54">
        <f t="shared" si="2570"/>
        <v>3</v>
      </c>
      <c r="BA368" s="53">
        <f t="shared" si="2571"/>
        <v>1</v>
      </c>
      <c r="BB368" s="54">
        <f t="shared" si="2572"/>
        <v>3</v>
      </c>
      <c r="BC368" s="49">
        <f t="shared" ref="BC368:BD368" si="2589">SUM(AS368,AU368,AW368,AY368,BA368)</f>
        <v>6</v>
      </c>
      <c r="BD368" s="50">
        <f t="shared" si="2589"/>
        <v>16</v>
      </c>
      <c r="BE368" s="68">
        <f t="shared" ref="BE368:BF368" si="2590">SUM(E368,G368,I368,O368,Q368,AC368,AQ368,BC368)</f>
        <v>23</v>
      </c>
      <c r="BF368" s="69">
        <f t="shared" si="2590"/>
        <v>47</v>
      </c>
      <c r="BG368" s="46" t="str">
        <f>BF368*'ОВгП_РАО'!$B$6</f>
        <v>#REF!</v>
      </c>
      <c r="BH368" s="46" t="str">
        <f>'ОВгП_РАО'!$B$6</f>
        <v>#REF!</v>
      </c>
    </row>
    <row r="369" ht="15.75" customHeight="1">
      <c r="A369" s="80">
        <f t="shared" si="2575"/>
        <v>46271</v>
      </c>
      <c r="B369" s="46" t="s">
        <v>119</v>
      </c>
      <c r="C369" s="45" t="s">
        <v>96</v>
      </c>
      <c r="D369" s="47" t="s">
        <v>120</v>
      </c>
      <c r="E369" s="73">
        <f t="shared" si="2526"/>
        <v>1</v>
      </c>
      <c r="F369" s="50">
        <f t="shared" si="2527"/>
        <v>2</v>
      </c>
      <c r="G369" s="73">
        <f t="shared" si="2528"/>
        <v>0</v>
      </c>
      <c r="H369" s="50">
        <f t="shared" si="2529"/>
        <v>0</v>
      </c>
      <c r="I369" s="73">
        <f t="shared" si="2530"/>
        <v>1</v>
      </c>
      <c r="J369" s="50">
        <f t="shared" si="2531"/>
        <v>1</v>
      </c>
      <c r="K369" s="53">
        <f t="shared" si="2532"/>
        <v>1</v>
      </c>
      <c r="L369" s="54">
        <f t="shared" si="2533"/>
        <v>2</v>
      </c>
      <c r="M369" s="53">
        <f t="shared" si="2534"/>
        <v>2</v>
      </c>
      <c r="N369" s="54">
        <f t="shared" si="2535"/>
        <v>4</v>
      </c>
      <c r="O369" s="49">
        <f t="shared" ref="O369:P369" si="2591">SUM(K369,M369)</f>
        <v>3</v>
      </c>
      <c r="P369" s="50">
        <f t="shared" si="2591"/>
        <v>6</v>
      </c>
      <c r="Q369" s="73">
        <f t="shared" si="2537"/>
        <v>1</v>
      </c>
      <c r="R369" s="50">
        <f t="shared" si="2538"/>
        <v>1</v>
      </c>
      <c r="S369" s="53">
        <f t="shared" si="2539"/>
        <v>1</v>
      </c>
      <c r="T369" s="54">
        <f t="shared" si="2540"/>
        <v>3</v>
      </c>
      <c r="U369" s="53">
        <f t="shared" si="2541"/>
        <v>1</v>
      </c>
      <c r="V369" s="54">
        <f t="shared" si="2542"/>
        <v>1</v>
      </c>
      <c r="W369" s="53">
        <f t="shared" si="2543"/>
        <v>1</v>
      </c>
      <c r="X369" s="54">
        <f t="shared" si="2544"/>
        <v>1</v>
      </c>
      <c r="Y369" s="53">
        <f t="shared" si="2545"/>
        <v>0</v>
      </c>
      <c r="Z369" s="54">
        <f t="shared" si="2546"/>
        <v>0</v>
      </c>
      <c r="AA369" s="53">
        <f t="shared" si="2547"/>
        <v>1</v>
      </c>
      <c r="AB369" s="54">
        <f t="shared" si="2548"/>
        <v>1</v>
      </c>
      <c r="AC369" s="49">
        <f t="shared" ref="AC369:AD369" si="2592">SUM(S369,U369,W369,Y369,AA369)</f>
        <v>4</v>
      </c>
      <c r="AD369" s="50">
        <f t="shared" si="2592"/>
        <v>6</v>
      </c>
      <c r="AE369" s="53">
        <f t="shared" si="2550"/>
        <v>0</v>
      </c>
      <c r="AF369" s="54">
        <f t="shared" si="2551"/>
        <v>0</v>
      </c>
      <c r="AG369" s="53">
        <f t="shared" si="2552"/>
        <v>0</v>
      </c>
      <c r="AH369" s="54">
        <f t="shared" si="2553"/>
        <v>0</v>
      </c>
      <c r="AI369" s="53">
        <f t="shared" si="2554"/>
        <v>0</v>
      </c>
      <c r="AJ369" s="54">
        <f t="shared" si="2555"/>
        <v>0</v>
      </c>
      <c r="AK369" s="53">
        <f t="shared" si="2556"/>
        <v>0</v>
      </c>
      <c r="AL369" s="54">
        <f t="shared" si="2557"/>
        <v>0</v>
      </c>
      <c r="AM369" s="53">
        <f t="shared" si="2558"/>
        <v>2</v>
      </c>
      <c r="AN369" s="54">
        <f t="shared" si="2559"/>
        <v>4</v>
      </c>
      <c r="AO369" s="53">
        <f t="shared" si="2560"/>
        <v>0</v>
      </c>
      <c r="AP369" s="54">
        <f t="shared" si="2561"/>
        <v>0</v>
      </c>
      <c r="AQ369" s="49">
        <f t="shared" ref="AQ369:AR369" si="2593">SUM(AG369,AI369,AK369,AM369,AO369)</f>
        <v>2</v>
      </c>
      <c r="AR369" s="50">
        <f t="shared" si="2593"/>
        <v>4</v>
      </c>
      <c r="AS369" s="53">
        <f t="shared" si="2563"/>
        <v>2</v>
      </c>
      <c r="AT369" s="54">
        <f t="shared" si="2564"/>
        <v>4</v>
      </c>
      <c r="AU369" s="53">
        <f t="shared" si="2565"/>
        <v>0</v>
      </c>
      <c r="AV369" s="54">
        <f t="shared" si="2566"/>
        <v>0</v>
      </c>
      <c r="AW369" s="53">
        <f t="shared" si="2567"/>
        <v>1</v>
      </c>
      <c r="AX369" s="54">
        <f t="shared" si="2568"/>
        <v>1</v>
      </c>
      <c r="AY369" s="53">
        <f t="shared" si="2569"/>
        <v>1</v>
      </c>
      <c r="AZ369" s="54">
        <f t="shared" si="2570"/>
        <v>1</v>
      </c>
      <c r="BA369" s="53">
        <f t="shared" si="2571"/>
        <v>0</v>
      </c>
      <c r="BB369" s="54">
        <f t="shared" si="2572"/>
        <v>0</v>
      </c>
      <c r="BC369" s="49">
        <f t="shared" ref="BC369:BD369" si="2594">SUM(AS369,AU369,AW369,AY369,BA369)</f>
        <v>4</v>
      </c>
      <c r="BD369" s="50">
        <f t="shared" si="2594"/>
        <v>6</v>
      </c>
      <c r="BE369" s="68">
        <f t="shared" ref="BE369:BF369" si="2595">SUM(E369,G369,I369,O369,Q369,AC369,AQ369,BC369)</f>
        <v>16</v>
      </c>
      <c r="BF369" s="69">
        <f t="shared" si="2595"/>
        <v>26</v>
      </c>
      <c r="BG369" s="46" t="str">
        <f>BF369*'ОВгП_РАО'!$B$7</f>
        <v>#REF!</v>
      </c>
      <c r="BH369" s="46" t="str">
        <f>'ОВгП_РАО'!$B$7</f>
        <v>#REF!</v>
      </c>
    </row>
    <row r="370" ht="15.75" customHeight="1">
      <c r="A370" s="80">
        <f t="shared" si="2575"/>
        <v>46271</v>
      </c>
      <c r="B370" s="45" t="s">
        <v>121</v>
      </c>
      <c r="C370" s="47" t="s">
        <v>122</v>
      </c>
      <c r="D370" s="47" t="s">
        <v>123</v>
      </c>
      <c r="E370" s="73">
        <f t="shared" si="2526"/>
        <v>1</v>
      </c>
      <c r="F370" s="50">
        <f t="shared" si="2527"/>
        <v>2</v>
      </c>
      <c r="G370" s="73">
        <f t="shared" si="2528"/>
        <v>1</v>
      </c>
      <c r="H370" s="50">
        <f t="shared" si="2529"/>
        <v>2</v>
      </c>
      <c r="I370" s="73">
        <f t="shared" si="2530"/>
        <v>2</v>
      </c>
      <c r="J370" s="50">
        <f t="shared" si="2531"/>
        <v>4</v>
      </c>
      <c r="K370" s="53">
        <f t="shared" si="2532"/>
        <v>1</v>
      </c>
      <c r="L370" s="54">
        <f t="shared" si="2533"/>
        <v>2</v>
      </c>
      <c r="M370" s="53">
        <f t="shared" si="2534"/>
        <v>0</v>
      </c>
      <c r="N370" s="54">
        <f t="shared" si="2535"/>
        <v>0</v>
      </c>
      <c r="O370" s="49">
        <f t="shared" ref="O370:P370" si="2596">SUM(K370,M370)</f>
        <v>1</v>
      </c>
      <c r="P370" s="50">
        <f t="shared" si="2596"/>
        <v>2</v>
      </c>
      <c r="Q370" s="73">
        <f t="shared" si="2537"/>
        <v>0</v>
      </c>
      <c r="R370" s="50">
        <f t="shared" si="2538"/>
        <v>0</v>
      </c>
      <c r="S370" s="53">
        <f t="shared" si="2539"/>
        <v>0</v>
      </c>
      <c r="T370" s="54">
        <f t="shared" si="2540"/>
        <v>0</v>
      </c>
      <c r="U370" s="53">
        <f t="shared" si="2541"/>
        <v>2</v>
      </c>
      <c r="V370" s="54">
        <f t="shared" si="2542"/>
        <v>4</v>
      </c>
      <c r="W370" s="53">
        <f t="shared" si="2543"/>
        <v>1</v>
      </c>
      <c r="X370" s="54">
        <f t="shared" si="2544"/>
        <v>3</v>
      </c>
      <c r="Y370" s="53">
        <f t="shared" si="2545"/>
        <v>1</v>
      </c>
      <c r="Z370" s="54">
        <f t="shared" si="2546"/>
        <v>3</v>
      </c>
      <c r="AA370" s="53">
        <f t="shared" si="2547"/>
        <v>1</v>
      </c>
      <c r="AB370" s="54">
        <f t="shared" si="2548"/>
        <v>3</v>
      </c>
      <c r="AC370" s="49">
        <f t="shared" ref="AC370:AD370" si="2597">SUM(S370,U370,W370,Y370,AA370)</f>
        <v>5</v>
      </c>
      <c r="AD370" s="50">
        <f t="shared" si="2597"/>
        <v>13</v>
      </c>
      <c r="AE370" s="53">
        <f t="shared" si="2550"/>
        <v>1</v>
      </c>
      <c r="AF370" s="54">
        <f t="shared" si="2551"/>
        <v>3</v>
      </c>
      <c r="AG370" s="53">
        <f t="shared" si="2552"/>
        <v>2</v>
      </c>
      <c r="AH370" s="54">
        <f t="shared" si="2553"/>
        <v>4</v>
      </c>
      <c r="AI370" s="53">
        <f t="shared" si="2554"/>
        <v>0</v>
      </c>
      <c r="AJ370" s="54">
        <f t="shared" si="2555"/>
        <v>0</v>
      </c>
      <c r="AK370" s="53">
        <f t="shared" si="2556"/>
        <v>2</v>
      </c>
      <c r="AL370" s="54">
        <f t="shared" si="2557"/>
        <v>4</v>
      </c>
      <c r="AM370" s="53">
        <f t="shared" si="2558"/>
        <v>2</v>
      </c>
      <c r="AN370" s="54">
        <f t="shared" si="2559"/>
        <v>4</v>
      </c>
      <c r="AO370" s="53">
        <f t="shared" si="2560"/>
        <v>2</v>
      </c>
      <c r="AP370" s="54">
        <f t="shared" si="2561"/>
        <v>4</v>
      </c>
      <c r="AQ370" s="49">
        <f t="shared" ref="AQ370:AR370" si="2598">SUM(AG370,AI370,AK370,AM370,AO370)</f>
        <v>8</v>
      </c>
      <c r="AR370" s="50">
        <f t="shared" si="2598"/>
        <v>16</v>
      </c>
      <c r="AS370" s="53">
        <f t="shared" si="2563"/>
        <v>2</v>
      </c>
      <c r="AT370" s="54">
        <f t="shared" si="2564"/>
        <v>4</v>
      </c>
      <c r="AU370" s="53">
        <f t="shared" si="2565"/>
        <v>1</v>
      </c>
      <c r="AV370" s="54">
        <f t="shared" si="2566"/>
        <v>2</v>
      </c>
      <c r="AW370" s="53">
        <f t="shared" si="2567"/>
        <v>2</v>
      </c>
      <c r="AX370" s="54">
        <f t="shared" si="2568"/>
        <v>4</v>
      </c>
      <c r="AY370" s="53">
        <f t="shared" si="2569"/>
        <v>1</v>
      </c>
      <c r="AZ370" s="54">
        <f t="shared" si="2570"/>
        <v>2</v>
      </c>
      <c r="BA370" s="53">
        <f t="shared" si="2571"/>
        <v>1</v>
      </c>
      <c r="BB370" s="54">
        <f t="shared" si="2572"/>
        <v>3</v>
      </c>
      <c r="BC370" s="49">
        <f t="shared" ref="BC370:BD370" si="2599">SUM(AS370,AU370,AW370,AY370,BA370)</f>
        <v>7</v>
      </c>
      <c r="BD370" s="50">
        <f t="shared" si="2599"/>
        <v>15</v>
      </c>
      <c r="BE370" s="68">
        <f t="shared" ref="BE370:BF370" si="2600">SUM(E370,G370,I370,O370,Q370,AC370,AQ370,BC370)</f>
        <v>25</v>
      </c>
      <c r="BF370" s="69">
        <f t="shared" si="2600"/>
        <v>54</v>
      </c>
      <c r="BG370" s="46" t="str">
        <f>BF370*'ОВгП_РАО'!$B$8</f>
        <v>#REF!</v>
      </c>
      <c r="BH370" s="46" t="str">
        <f>'ОВгП_РАО'!$B$8</f>
        <v>#REF!</v>
      </c>
    </row>
    <row r="371" ht="15.75" customHeight="1">
      <c r="A371" s="80">
        <f t="shared" si="2575"/>
        <v>46271</v>
      </c>
      <c r="B371" s="46" t="s">
        <v>124</v>
      </c>
      <c r="C371" s="46" t="s">
        <v>125</v>
      </c>
      <c r="D371" s="46" t="s">
        <v>126</v>
      </c>
      <c r="E371" s="73">
        <f t="shared" si="2526"/>
        <v>0</v>
      </c>
      <c r="F371" s="50">
        <f t="shared" si="2527"/>
        <v>0</v>
      </c>
      <c r="G371" s="73">
        <f t="shared" si="2528"/>
        <v>1</v>
      </c>
      <c r="H371" s="50">
        <f t="shared" si="2529"/>
        <v>1</v>
      </c>
      <c r="I371" s="73">
        <f t="shared" si="2530"/>
        <v>1</v>
      </c>
      <c r="J371" s="50">
        <f t="shared" si="2531"/>
        <v>1</v>
      </c>
      <c r="K371" s="53">
        <f t="shared" si="2532"/>
        <v>1</v>
      </c>
      <c r="L371" s="54">
        <f t="shared" si="2533"/>
        <v>2</v>
      </c>
      <c r="M371" s="53">
        <f t="shared" si="2534"/>
        <v>2</v>
      </c>
      <c r="N371" s="54">
        <f t="shared" si="2535"/>
        <v>4</v>
      </c>
      <c r="O371" s="49">
        <f t="shared" ref="O371:P371" si="2601">SUM(K371,M371)</f>
        <v>3</v>
      </c>
      <c r="P371" s="50">
        <f t="shared" si="2601"/>
        <v>6</v>
      </c>
      <c r="Q371" s="73">
        <f t="shared" si="2537"/>
        <v>1</v>
      </c>
      <c r="R371" s="50">
        <f t="shared" si="2538"/>
        <v>1</v>
      </c>
      <c r="S371" s="53">
        <f t="shared" si="2539"/>
        <v>1</v>
      </c>
      <c r="T371" s="54">
        <f t="shared" si="2540"/>
        <v>3</v>
      </c>
      <c r="U371" s="53">
        <f t="shared" si="2541"/>
        <v>1</v>
      </c>
      <c r="V371" s="54">
        <f t="shared" si="2542"/>
        <v>2</v>
      </c>
      <c r="W371" s="53">
        <f t="shared" si="2543"/>
        <v>2</v>
      </c>
      <c r="X371" s="54">
        <f t="shared" si="2544"/>
        <v>4</v>
      </c>
      <c r="Y371" s="53">
        <f t="shared" si="2545"/>
        <v>1</v>
      </c>
      <c r="Z371" s="54">
        <f t="shared" si="2546"/>
        <v>3</v>
      </c>
      <c r="AA371" s="53">
        <f t="shared" si="2547"/>
        <v>1</v>
      </c>
      <c r="AB371" s="54">
        <f t="shared" si="2548"/>
        <v>1</v>
      </c>
      <c r="AC371" s="49">
        <f t="shared" ref="AC371:AD371" si="2602">SUM(S371,U371,W371,Y371,AA371)</f>
        <v>6</v>
      </c>
      <c r="AD371" s="50">
        <f t="shared" si="2602"/>
        <v>13</v>
      </c>
      <c r="AE371" s="53">
        <f t="shared" si="2550"/>
        <v>0</v>
      </c>
      <c r="AF371" s="54">
        <f t="shared" si="2551"/>
        <v>0</v>
      </c>
      <c r="AG371" s="53">
        <f t="shared" si="2552"/>
        <v>2</v>
      </c>
      <c r="AH371" s="54">
        <f t="shared" si="2553"/>
        <v>4</v>
      </c>
      <c r="AI371" s="53">
        <f t="shared" si="2554"/>
        <v>1</v>
      </c>
      <c r="AJ371" s="54">
        <f t="shared" si="2555"/>
        <v>3</v>
      </c>
      <c r="AK371" s="53">
        <f t="shared" si="2556"/>
        <v>1</v>
      </c>
      <c r="AL371" s="54">
        <f t="shared" si="2557"/>
        <v>3</v>
      </c>
      <c r="AM371" s="53">
        <f t="shared" si="2558"/>
        <v>1</v>
      </c>
      <c r="AN371" s="54">
        <f t="shared" si="2559"/>
        <v>2</v>
      </c>
      <c r="AO371" s="53">
        <f t="shared" si="2560"/>
        <v>1</v>
      </c>
      <c r="AP371" s="54">
        <f t="shared" si="2561"/>
        <v>1</v>
      </c>
      <c r="AQ371" s="49">
        <f t="shared" ref="AQ371:AR371" si="2603">SUM(AG371,AI371,AK371,AM371,AO371)</f>
        <v>6</v>
      </c>
      <c r="AR371" s="50">
        <f t="shared" si="2603"/>
        <v>13</v>
      </c>
      <c r="AS371" s="53">
        <f t="shared" si="2563"/>
        <v>1</v>
      </c>
      <c r="AT371" s="54">
        <f t="shared" si="2564"/>
        <v>2</v>
      </c>
      <c r="AU371" s="53">
        <f t="shared" si="2565"/>
        <v>1</v>
      </c>
      <c r="AV371" s="54">
        <f t="shared" si="2566"/>
        <v>3</v>
      </c>
      <c r="AW371" s="53">
        <f t="shared" si="2567"/>
        <v>1</v>
      </c>
      <c r="AX371" s="54">
        <f t="shared" si="2568"/>
        <v>2</v>
      </c>
      <c r="AY371" s="53">
        <f t="shared" si="2569"/>
        <v>1</v>
      </c>
      <c r="AZ371" s="54">
        <f t="shared" si="2570"/>
        <v>2</v>
      </c>
      <c r="BA371" s="53">
        <f t="shared" si="2571"/>
        <v>1</v>
      </c>
      <c r="BB371" s="54">
        <f t="shared" si="2572"/>
        <v>1</v>
      </c>
      <c r="BC371" s="49">
        <f t="shared" ref="BC371:BD371" si="2604">SUM(AS371,AU371,AW371,AY371,BA371)</f>
        <v>5</v>
      </c>
      <c r="BD371" s="50">
        <f t="shared" si="2604"/>
        <v>10</v>
      </c>
      <c r="BE371" s="68">
        <f t="shared" ref="BE371:BF371" si="2605">SUM(E371,G371,I371,O371,Q371,AC371,AQ371,BC371)</f>
        <v>23</v>
      </c>
      <c r="BF371" s="69">
        <f t="shared" si="2605"/>
        <v>45</v>
      </c>
      <c r="BG371" s="46" t="str">
        <f>BF371*'ОВгП_РАО'!$B$9</f>
        <v>#REF!</v>
      </c>
      <c r="BH371" s="46" t="str">
        <f>'ОВгП_РАО'!$B$9</f>
        <v>#REF!</v>
      </c>
    </row>
    <row r="372" ht="15.75" customHeight="1">
      <c r="A372" s="80">
        <f t="shared" si="2575"/>
        <v>46271</v>
      </c>
      <c r="B372" s="46" t="s">
        <v>127</v>
      </c>
      <c r="C372" s="46" t="s">
        <v>125</v>
      </c>
      <c r="D372" s="46" t="s">
        <v>126</v>
      </c>
      <c r="E372" s="73">
        <f t="shared" si="2526"/>
        <v>1</v>
      </c>
      <c r="F372" s="50">
        <f t="shared" si="2527"/>
        <v>3</v>
      </c>
      <c r="G372" s="73">
        <f t="shared" si="2528"/>
        <v>0</v>
      </c>
      <c r="H372" s="50">
        <f t="shared" si="2529"/>
        <v>0</v>
      </c>
      <c r="I372" s="73">
        <f t="shared" si="2530"/>
        <v>2</v>
      </c>
      <c r="J372" s="50">
        <f t="shared" si="2531"/>
        <v>4</v>
      </c>
      <c r="K372" s="53">
        <f t="shared" si="2532"/>
        <v>0</v>
      </c>
      <c r="L372" s="54">
        <f t="shared" si="2533"/>
        <v>0</v>
      </c>
      <c r="M372" s="53">
        <f t="shared" si="2534"/>
        <v>1</v>
      </c>
      <c r="N372" s="54">
        <f t="shared" si="2535"/>
        <v>2</v>
      </c>
      <c r="O372" s="49">
        <f t="shared" ref="O372:P372" si="2606">SUM(K372,M372)</f>
        <v>1</v>
      </c>
      <c r="P372" s="50">
        <f t="shared" si="2606"/>
        <v>2</v>
      </c>
      <c r="Q372" s="73">
        <f t="shared" si="2537"/>
        <v>2</v>
      </c>
      <c r="R372" s="50">
        <f t="shared" si="2538"/>
        <v>4</v>
      </c>
      <c r="S372" s="53">
        <f t="shared" si="2539"/>
        <v>0</v>
      </c>
      <c r="T372" s="54">
        <f t="shared" si="2540"/>
        <v>0</v>
      </c>
      <c r="U372" s="53">
        <f t="shared" si="2541"/>
        <v>1</v>
      </c>
      <c r="V372" s="54">
        <f t="shared" si="2542"/>
        <v>1</v>
      </c>
      <c r="W372" s="53">
        <f t="shared" si="2543"/>
        <v>0</v>
      </c>
      <c r="X372" s="54">
        <f t="shared" si="2544"/>
        <v>0</v>
      </c>
      <c r="Y372" s="53">
        <f t="shared" si="2545"/>
        <v>1</v>
      </c>
      <c r="Z372" s="54">
        <f t="shared" si="2546"/>
        <v>3</v>
      </c>
      <c r="AA372" s="53">
        <f t="shared" si="2547"/>
        <v>1</v>
      </c>
      <c r="AB372" s="54">
        <f t="shared" si="2548"/>
        <v>2</v>
      </c>
      <c r="AC372" s="49">
        <f t="shared" ref="AC372:AD372" si="2607">SUM(S372,U372,W372,Y372,AA372)</f>
        <v>3</v>
      </c>
      <c r="AD372" s="50">
        <f t="shared" si="2607"/>
        <v>6</v>
      </c>
      <c r="AE372" s="53">
        <f t="shared" si="2550"/>
        <v>1</v>
      </c>
      <c r="AF372" s="54">
        <f t="shared" si="2551"/>
        <v>2</v>
      </c>
      <c r="AG372" s="53">
        <f t="shared" si="2552"/>
        <v>1</v>
      </c>
      <c r="AH372" s="54">
        <f t="shared" si="2553"/>
        <v>3</v>
      </c>
      <c r="AI372" s="53">
        <f t="shared" si="2554"/>
        <v>1</v>
      </c>
      <c r="AJ372" s="54">
        <f t="shared" si="2555"/>
        <v>3</v>
      </c>
      <c r="AK372" s="53">
        <f t="shared" si="2556"/>
        <v>2</v>
      </c>
      <c r="AL372" s="54">
        <f t="shared" si="2557"/>
        <v>4</v>
      </c>
      <c r="AM372" s="53">
        <f t="shared" si="2558"/>
        <v>1</v>
      </c>
      <c r="AN372" s="54">
        <f t="shared" si="2559"/>
        <v>2</v>
      </c>
      <c r="AO372" s="53">
        <f t="shared" si="2560"/>
        <v>1</v>
      </c>
      <c r="AP372" s="54">
        <f t="shared" si="2561"/>
        <v>2</v>
      </c>
      <c r="AQ372" s="49">
        <f t="shared" ref="AQ372:AR372" si="2608">SUM(AG372,AI372,AK372,AM372,AO372)</f>
        <v>6</v>
      </c>
      <c r="AR372" s="50">
        <f t="shared" si="2608"/>
        <v>14</v>
      </c>
      <c r="AS372" s="53">
        <f t="shared" si="2563"/>
        <v>1</v>
      </c>
      <c r="AT372" s="54">
        <f t="shared" si="2564"/>
        <v>2</v>
      </c>
      <c r="AU372" s="53">
        <f t="shared" si="2565"/>
        <v>0</v>
      </c>
      <c r="AV372" s="54">
        <f t="shared" si="2566"/>
        <v>0</v>
      </c>
      <c r="AW372" s="53">
        <f t="shared" si="2567"/>
        <v>0</v>
      </c>
      <c r="AX372" s="54">
        <f t="shared" si="2568"/>
        <v>0</v>
      </c>
      <c r="AY372" s="53">
        <f t="shared" si="2569"/>
        <v>2</v>
      </c>
      <c r="AZ372" s="54">
        <f t="shared" si="2570"/>
        <v>4</v>
      </c>
      <c r="BA372" s="53">
        <f t="shared" si="2571"/>
        <v>1</v>
      </c>
      <c r="BB372" s="54">
        <f t="shared" si="2572"/>
        <v>1</v>
      </c>
      <c r="BC372" s="49">
        <f t="shared" ref="BC372:BD372" si="2609">SUM(AS372,AU372,AW372,AY372,BA372)</f>
        <v>4</v>
      </c>
      <c r="BD372" s="50">
        <f t="shared" si="2609"/>
        <v>7</v>
      </c>
      <c r="BE372" s="68">
        <f t="shared" ref="BE372:BF372" si="2610">SUM(E372,G372,I372,O372,Q372,AC372,AQ372,BC372)</f>
        <v>19</v>
      </c>
      <c r="BF372" s="69">
        <f t="shared" si="2610"/>
        <v>40</v>
      </c>
      <c r="BG372" s="46" t="str">
        <f>BF372*'ОВгП_РАО'!$B$10</f>
        <v>#REF!</v>
      </c>
      <c r="BH372" s="46" t="str">
        <f>'ОВгП_РАО'!$B$10</f>
        <v>#REF!</v>
      </c>
    </row>
    <row r="373" ht="15.75" customHeight="1">
      <c r="A373" s="80">
        <f t="shared" si="2575"/>
        <v>46271</v>
      </c>
      <c r="B373" s="46" t="s">
        <v>128</v>
      </c>
      <c r="C373" s="46" t="s">
        <v>125</v>
      </c>
      <c r="D373" s="46" t="s">
        <v>126</v>
      </c>
      <c r="E373" s="73">
        <f t="shared" si="2526"/>
        <v>1</v>
      </c>
      <c r="F373" s="50">
        <f t="shared" si="2527"/>
        <v>1</v>
      </c>
      <c r="G373" s="73">
        <f t="shared" si="2528"/>
        <v>0</v>
      </c>
      <c r="H373" s="50">
        <f t="shared" si="2529"/>
        <v>0</v>
      </c>
      <c r="I373" s="73">
        <f t="shared" si="2530"/>
        <v>1</v>
      </c>
      <c r="J373" s="50">
        <f t="shared" si="2531"/>
        <v>2</v>
      </c>
      <c r="K373" s="53">
        <f t="shared" si="2532"/>
        <v>0</v>
      </c>
      <c r="L373" s="54">
        <f t="shared" si="2533"/>
        <v>0</v>
      </c>
      <c r="M373" s="53">
        <f t="shared" si="2534"/>
        <v>1</v>
      </c>
      <c r="N373" s="54">
        <f t="shared" si="2535"/>
        <v>2</v>
      </c>
      <c r="O373" s="49">
        <f t="shared" ref="O373:P373" si="2611">SUM(K373,M373)</f>
        <v>1</v>
      </c>
      <c r="P373" s="50">
        <f t="shared" si="2611"/>
        <v>2</v>
      </c>
      <c r="Q373" s="73">
        <f t="shared" si="2537"/>
        <v>1</v>
      </c>
      <c r="R373" s="50">
        <f t="shared" si="2538"/>
        <v>1</v>
      </c>
      <c r="S373" s="53">
        <f t="shared" si="2539"/>
        <v>1</v>
      </c>
      <c r="T373" s="54">
        <f t="shared" si="2540"/>
        <v>3</v>
      </c>
      <c r="U373" s="53">
        <f t="shared" si="2541"/>
        <v>2</v>
      </c>
      <c r="V373" s="54">
        <f t="shared" si="2542"/>
        <v>4</v>
      </c>
      <c r="W373" s="53">
        <f t="shared" si="2543"/>
        <v>1</v>
      </c>
      <c r="X373" s="54">
        <f t="shared" si="2544"/>
        <v>1</v>
      </c>
      <c r="Y373" s="53">
        <f t="shared" si="2545"/>
        <v>1</v>
      </c>
      <c r="Z373" s="54">
        <f t="shared" si="2546"/>
        <v>1</v>
      </c>
      <c r="AA373" s="53">
        <f t="shared" si="2547"/>
        <v>0</v>
      </c>
      <c r="AB373" s="54">
        <f t="shared" si="2548"/>
        <v>0</v>
      </c>
      <c r="AC373" s="49">
        <f t="shared" ref="AC373:AD373" si="2612">SUM(S373,U373,W373,Y373,AA373)</f>
        <v>5</v>
      </c>
      <c r="AD373" s="50">
        <f t="shared" si="2612"/>
        <v>9</v>
      </c>
      <c r="AE373" s="53">
        <f t="shared" si="2550"/>
        <v>2</v>
      </c>
      <c r="AF373" s="54">
        <f t="shared" si="2551"/>
        <v>4</v>
      </c>
      <c r="AG373" s="53">
        <f t="shared" si="2552"/>
        <v>1</v>
      </c>
      <c r="AH373" s="54">
        <f t="shared" si="2553"/>
        <v>1</v>
      </c>
      <c r="AI373" s="53">
        <f t="shared" si="2554"/>
        <v>1</v>
      </c>
      <c r="AJ373" s="54">
        <f t="shared" si="2555"/>
        <v>1</v>
      </c>
      <c r="AK373" s="53">
        <f t="shared" si="2556"/>
        <v>2</v>
      </c>
      <c r="AL373" s="54">
        <f t="shared" si="2557"/>
        <v>4</v>
      </c>
      <c r="AM373" s="53">
        <f t="shared" si="2558"/>
        <v>0</v>
      </c>
      <c r="AN373" s="54">
        <f t="shared" si="2559"/>
        <v>0</v>
      </c>
      <c r="AO373" s="53">
        <f t="shared" si="2560"/>
        <v>1</v>
      </c>
      <c r="AP373" s="54">
        <f t="shared" si="2561"/>
        <v>1</v>
      </c>
      <c r="AQ373" s="49">
        <f t="shared" ref="AQ373:AR373" si="2613">SUM(AG373,AI373,AK373,AM373,AO373)</f>
        <v>5</v>
      </c>
      <c r="AR373" s="50">
        <f t="shared" si="2613"/>
        <v>7</v>
      </c>
      <c r="AS373" s="53">
        <f t="shared" si="2563"/>
        <v>0</v>
      </c>
      <c r="AT373" s="54">
        <f t="shared" si="2564"/>
        <v>0</v>
      </c>
      <c r="AU373" s="53">
        <f t="shared" si="2565"/>
        <v>1</v>
      </c>
      <c r="AV373" s="54">
        <f t="shared" si="2566"/>
        <v>2</v>
      </c>
      <c r="AW373" s="53">
        <f t="shared" si="2567"/>
        <v>1</v>
      </c>
      <c r="AX373" s="54">
        <f t="shared" si="2568"/>
        <v>2</v>
      </c>
      <c r="AY373" s="53">
        <f t="shared" si="2569"/>
        <v>2</v>
      </c>
      <c r="AZ373" s="54">
        <f t="shared" si="2570"/>
        <v>4</v>
      </c>
      <c r="BA373" s="53">
        <f t="shared" si="2571"/>
        <v>2</v>
      </c>
      <c r="BB373" s="54">
        <f t="shared" si="2572"/>
        <v>4</v>
      </c>
      <c r="BC373" s="49">
        <f t="shared" ref="BC373:BD373" si="2614">SUM(AS373,AU373,AW373,AY373,BA373)</f>
        <v>6</v>
      </c>
      <c r="BD373" s="50">
        <f t="shared" si="2614"/>
        <v>12</v>
      </c>
      <c r="BE373" s="68">
        <f t="shared" ref="BE373:BF373" si="2615">SUM(E373,G373,I373,O373,Q373,AC373,AQ373,BC373)</f>
        <v>20</v>
      </c>
      <c r="BF373" s="69">
        <f t="shared" si="2615"/>
        <v>34</v>
      </c>
      <c r="BG373" s="46" t="str">
        <f>BF373*'ОВгП_РАО'!$B$11</f>
        <v>#REF!</v>
      </c>
      <c r="BH373" s="46" t="str">
        <f>'ОВгП_РАО'!$B$11</f>
        <v>#REF!</v>
      </c>
    </row>
    <row r="374" ht="15.75" customHeight="1">
      <c r="A374" s="80">
        <f t="shared" si="2575"/>
        <v>46271</v>
      </c>
      <c r="B374" s="45" t="s">
        <v>129</v>
      </c>
      <c r="C374" s="46" t="s">
        <v>125</v>
      </c>
      <c r="D374" s="45" t="s">
        <v>130</v>
      </c>
      <c r="E374" s="73">
        <f t="shared" si="2526"/>
        <v>2</v>
      </c>
      <c r="F374" s="50">
        <f t="shared" si="2527"/>
        <v>4</v>
      </c>
      <c r="G374" s="73">
        <f t="shared" si="2528"/>
        <v>1</v>
      </c>
      <c r="H374" s="50">
        <f t="shared" si="2529"/>
        <v>1</v>
      </c>
      <c r="I374" s="73">
        <f t="shared" si="2530"/>
        <v>1</v>
      </c>
      <c r="J374" s="50">
        <f t="shared" si="2531"/>
        <v>2</v>
      </c>
      <c r="K374" s="53">
        <f t="shared" si="2532"/>
        <v>1</v>
      </c>
      <c r="L374" s="54">
        <f t="shared" si="2533"/>
        <v>1</v>
      </c>
      <c r="M374" s="53">
        <f t="shared" si="2534"/>
        <v>0</v>
      </c>
      <c r="N374" s="54">
        <f t="shared" si="2535"/>
        <v>0</v>
      </c>
      <c r="O374" s="49">
        <f t="shared" ref="O374:P374" si="2616">SUM(K374,M374)</f>
        <v>1</v>
      </c>
      <c r="P374" s="50">
        <f t="shared" si="2616"/>
        <v>1</v>
      </c>
      <c r="Q374" s="73">
        <f t="shared" si="2537"/>
        <v>0</v>
      </c>
      <c r="R374" s="50">
        <f t="shared" si="2538"/>
        <v>0</v>
      </c>
      <c r="S374" s="53">
        <f t="shared" si="2539"/>
        <v>1</v>
      </c>
      <c r="T374" s="54">
        <f t="shared" si="2540"/>
        <v>3</v>
      </c>
      <c r="U374" s="53">
        <f t="shared" si="2541"/>
        <v>2</v>
      </c>
      <c r="V374" s="54">
        <f t="shared" si="2542"/>
        <v>4</v>
      </c>
      <c r="W374" s="53">
        <f t="shared" si="2543"/>
        <v>1</v>
      </c>
      <c r="X374" s="54">
        <f t="shared" si="2544"/>
        <v>3</v>
      </c>
      <c r="Y374" s="53">
        <f t="shared" si="2545"/>
        <v>0</v>
      </c>
      <c r="Z374" s="54">
        <f t="shared" si="2546"/>
        <v>0</v>
      </c>
      <c r="AA374" s="53">
        <f t="shared" si="2547"/>
        <v>1</v>
      </c>
      <c r="AB374" s="54">
        <f t="shared" si="2548"/>
        <v>2</v>
      </c>
      <c r="AC374" s="49">
        <f t="shared" ref="AC374:AD374" si="2617">SUM(S374,U374,W374,Y374,AA374)</f>
        <v>5</v>
      </c>
      <c r="AD374" s="50">
        <f t="shared" si="2617"/>
        <v>12</v>
      </c>
      <c r="AE374" s="53">
        <f t="shared" si="2550"/>
        <v>0</v>
      </c>
      <c r="AF374" s="54">
        <f t="shared" si="2551"/>
        <v>0</v>
      </c>
      <c r="AG374" s="53">
        <f t="shared" si="2552"/>
        <v>0</v>
      </c>
      <c r="AH374" s="54">
        <f t="shared" si="2553"/>
        <v>0</v>
      </c>
      <c r="AI374" s="53">
        <f t="shared" si="2554"/>
        <v>1</v>
      </c>
      <c r="AJ374" s="54">
        <f t="shared" si="2555"/>
        <v>2</v>
      </c>
      <c r="AK374" s="53">
        <f t="shared" si="2556"/>
        <v>0</v>
      </c>
      <c r="AL374" s="54">
        <f t="shared" si="2557"/>
        <v>0</v>
      </c>
      <c r="AM374" s="53">
        <f t="shared" si="2558"/>
        <v>1</v>
      </c>
      <c r="AN374" s="54">
        <f t="shared" si="2559"/>
        <v>1</v>
      </c>
      <c r="AO374" s="53">
        <f t="shared" si="2560"/>
        <v>0</v>
      </c>
      <c r="AP374" s="54">
        <f t="shared" si="2561"/>
        <v>0</v>
      </c>
      <c r="AQ374" s="49">
        <f t="shared" ref="AQ374:AR374" si="2618">SUM(AG374,AI374,AK374,AM374,AO374)</f>
        <v>2</v>
      </c>
      <c r="AR374" s="50">
        <f t="shared" si="2618"/>
        <v>3</v>
      </c>
      <c r="AS374" s="53">
        <f t="shared" si="2563"/>
        <v>1</v>
      </c>
      <c r="AT374" s="54">
        <f t="shared" si="2564"/>
        <v>2</v>
      </c>
      <c r="AU374" s="53">
        <f t="shared" si="2565"/>
        <v>0</v>
      </c>
      <c r="AV374" s="54">
        <f t="shared" si="2566"/>
        <v>0</v>
      </c>
      <c r="AW374" s="53">
        <f t="shared" si="2567"/>
        <v>2</v>
      </c>
      <c r="AX374" s="54">
        <f t="shared" si="2568"/>
        <v>4</v>
      </c>
      <c r="AY374" s="53">
        <f t="shared" si="2569"/>
        <v>2</v>
      </c>
      <c r="AZ374" s="54">
        <f t="shared" si="2570"/>
        <v>4</v>
      </c>
      <c r="BA374" s="53">
        <f t="shared" si="2571"/>
        <v>1</v>
      </c>
      <c r="BB374" s="54">
        <f t="shared" si="2572"/>
        <v>3</v>
      </c>
      <c r="BC374" s="49">
        <f t="shared" ref="BC374:BD374" si="2619">SUM(AS374,AU374,AW374,AY374,BA374)</f>
        <v>6</v>
      </c>
      <c r="BD374" s="50">
        <f t="shared" si="2619"/>
        <v>13</v>
      </c>
      <c r="BE374" s="68">
        <f t="shared" ref="BE374:BF374" si="2620">SUM(E374,G374,I374,O374,Q374,AC374,AQ374,BC374)</f>
        <v>18</v>
      </c>
      <c r="BF374" s="69">
        <f t="shared" si="2620"/>
        <v>36</v>
      </c>
      <c r="BG374" s="46" t="str">
        <f>BF374*'ОВгП_РАО'!$B$12</f>
        <v>#REF!</v>
      </c>
      <c r="BH374" s="46" t="str">
        <f>'ОВгП_РАО'!$B$12</f>
        <v>#REF!</v>
      </c>
    </row>
    <row r="375" ht="15.75" customHeight="1">
      <c r="A375" s="80">
        <f t="shared" si="2575"/>
        <v>46271</v>
      </c>
      <c r="B375" s="47" t="s">
        <v>131</v>
      </c>
      <c r="C375" s="47" t="s">
        <v>122</v>
      </c>
      <c r="D375" s="47" t="s">
        <v>123</v>
      </c>
      <c r="E375" s="73">
        <f t="shared" si="2526"/>
        <v>2</v>
      </c>
      <c r="F375" s="50">
        <f t="shared" si="2527"/>
        <v>4</v>
      </c>
      <c r="G375" s="73">
        <f t="shared" si="2528"/>
        <v>1</v>
      </c>
      <c r="H375" s="50">
        <f t="shared" si="2529"/>
        <v>2</v>
      </c>
      <c r="I375" s="73">
        <f t="shared" si="2530"/>
        <v>1</v>
      </c>
      <c r="J375" s="50">
        <f t="shared" si="2531"/>
        <v>2</v>
      </c>
      <c r="K375" s="53">
        <f t="shared" si="2532"/>
        <v>1</v>
      </c>
      <c r="L375" s="54">
        <f t="shared" si="2533"/>
        <v>1</v>
      </c>
      <c r="M375" s="53">
        <f t="shared" si="2534"/>
        <v>2</v>
      </c>
      <c r="N375" s="54">
        <f t="shared" si="2535"/>
        <v>4</v>
      </c>
      <c r="O375" s="49">
        <f t="shared" ref="O375:P375" si="2621">SUM(K375,M375)</f>
        <v>3</v>
      </c>
      <c r="P375" s="50">
        <f t="shared" si="2621"/>
        <v>5</v>
      </c>
      <c r="Q375" s="73">
        <f t="shared" si="2537"/>
        <v>1</v>
      </c>
      <c r="R375" s="50">
        <f t="shared" si="2538"/>
        <v>3</v>
      </c>
      <c r="S375" s="53">
        <f t="shared" si="2539"/>
        <v>2</v>
      </c>
      <c r="T375" s="54">
        <f t="shared" si="2540"/>
        <v>4</v>
      </c>
      <c r="U375" s="53">
        <f t="shared" si="2541"/>
        <v>1</v>
      </c>
      <c r="V375" s="54">
        <f t="shared" si="2542"/>
        <v>1</v>
      </c>
      <c r="W375" s="53">
        <f t="shared" si="2543"/>
        <v>0</v>
      </c>
      <c r="X375" s="54">
        <f t="shared" si="2544"/>
        <v>0</v>
      </c>
      <c r="Y375" s="53">
        <f t="shared" si="2545"/>
        <v>1</v>
      </c>
      <c r="Z375" s="54">
        <f t="shared" si="2546"/>
        <v>2</v>
      </c>
      <c r="AA375" s="53">
        <f t="shared" si="2547"/>
        <v>1</v>
      </c>
      <c r="AB375" s="54">
        <f t="shared" si="2548"/>
        <v>3</v>
      </c>
      <c r="AC375" s="49">
        <f t="shared" ref="AC375:AD375" si="2622">SUM(S375,U375,W375,Y375,AA375)</f>
        <v>5</v>
      </c>
      <c r="AD375" s="50">
        <f t="shared" si="2622"/>
        <v>10</v>
      </c>
      <c r="AE375" s="53">
        <f t="shared" si="2550"/>
        <v>2</v>
      </c>
      <c r="AF375" s="54">
        <f t="shared" si="2551"/>
        <v>4</v>
      </c>
      <c r="AG375" s="53">
        <f t="shared" si="2552"/>
        <v>1</v>
      </c>
      <c r="AH375" s="54">
        <f t="shared" si="2553"/>
        <v>1</v>
      </c>
      <c r="AI375" s="53">
        <f t="shared" si="2554"/>
        <v>0</v>
      </c>
      <c r="AJ375" s="54">
        <f t="shared" si="2555"/>
        <v>0</v>
      </c>
      <c r="AK375" s="53">
        <f t="shared" si="2556"/>
        <v>0</v>
      </c>
      <c r="AL375" s="54">
        <f t="shared" si="2557"/>
        <v>0</v>
      </c>
      <c r="AM375" s="53">
        <f t="shared" si="2558"/>
        <v>1</v>
      </c>
      <c r="AN375" s="54">
        <f t="shared" si="2559"/>
        <v>3</v>
      </c>
      <c r="AO375" s="53">
        <f t="shared" si="2560"/>
        <v>2</v>
      </c>
      <c r="AP375" s="54">
        <f t="shared" si="2561"/>
        <v>4</v>
      </c>
      <c r="AQ375" s="49">
        <f t="shared" ref="AQ375:AR375" si="2623">SUM(AG375,AI375,AK375,AM375,AO375)</f>
        <v>4</v>
      </c>
      <c r="AR375" s="50">
        <f t="shared" si="2623"/>
        <v>8</v>
      </c>
      <c r="AS375" s="53">
        <f t="shared" si="2563"/>
        <v>1</v>
      </c>
      <c r="AT375" s="54">
        <f t="shared" si="2564"/>
        <v>1</v>
      </c>
      <c r="AU375" s="53">
        <f t="shared" si="2565"/>
        <v>0</v>
      </c>
      <c r="AV375" s="54">
        <f t="shared" si="2566"/>
        <v>0</v>
      </c>
      <c r="AW375" s="53">
        <f t="shared" si="2567"/>
        <v>1</v>
      </c>
      <c r="AX375" s="54">
        <f t="shared" si="2568"/>
        <v>3</v>
      </c>
      <c r="AY375" s="53">
        <f t="shared" si="2569"/>
        <v>0</v>
      </c>
      <c r="AZ375" s="54">
        <f t="shared" si="2570"/>
        <v>0</v>
      </c>
      <c r="BA375" s="53">
        <f t="shared" si="2571"/>
        <v>0</v>
      </c>
      <c r="BB375" s="54">
        <f t="shared" si="2572"/>
        <v>0</v>
      </c>
      <c r="BC375" s="49">
        <f t="shared" ref="BC375:BD375" si="2624">SUM(AS375,AU375,AW375,AY375,BA375)</f>
        <v>2</v>
      </c>
      <c r="BD375" s="50">
        <f t="shared" si="2624"/>
        <v>4</v>
      </c>
      <c r="BE375" s="68">
        <f t="shared" ref="BE375:BF375" si="2625">SUM(E375,G375,I375,O375,Q375,AC375,AQ375,BC375)</f>
        <v>19</v>
      </c>
      <c r="BF375" s="69">
        <f t="shared" si="2625"/>
        <v>38</v>
      </c>
      <c r="BG375" s="46" t="str">
        <f>BF375*'ОВгП_РАО'!$B$13</f>
        <v>#REF!</v>
      </c>
      <c r="BH375" s="46" t="str">
        <f>'ОВгП_РАО'!$B$13</f>
        <v>#REF!</v>
      </c>
    </row>
    <row r="376" ht="15.75" customHeight="1">
      <c r="A376" s="80">
        <f t="shared" si="2575"/>
        <v>46271</v>
      </c>
      <c r="B376" s="47" t="s">
        <v>132</v>
      </c>
      <c r="C376" s="47" t="s">
        <v>122</v>
      </c>
      <c r="D376" s="47" t="s">
        <v>123</v>
      </c>
      <c r="E376" s="73">
        <f t="shared" si="2526"/>
        <v>1</v>
      </c>
      <c r="F376" s="50">
        <f t="shared" si="2527"/>
        <v>1</v>
      </c>
      <c r="G376" s="73">
        <f t="shared" si="2528"/>
        <v>1</v>
      </c>
      <c r="H376" s="50">
        <f t="shared" si="2529"/>
        <v>1</v>
      </c>
      <c r="I376" s="73">
        <f t="shared" si="2530"/>
        <v>1</v>
      </c>
      <c r="J376" s="50">
        <f t="shared" si="2531"/>
        <v>2</v>
      </c>
      <c r="K376" s="53">
        <f t="shared" si="2532"/>
        <v>1</v>
      </c>
      <c r="L376" s="54">
        <f t="shared" si="2533"/>
        <v>3</v>
      </c>
      <c r="M376" s="53">
        <f t="shared" si="2534"/>
        <v>0</v>
      </c>
      <c r="N376" s="54">
        <f t="shared" si="2535"/>
        <v>0</v>
      </c>
      <c r="O376" s="49">
        <f t="shared" ref="O376:P376" si="2626">SUM(K376,M376)</f>
        <v>1</v>
      </c>
      <c r="P376" s="50">
        <f t="shared" si="2626"/>
        <v>3</v>
      </c>
      <c r="Q376" s="73">
        <f t="shared" si="2537"/>
        <v>1</v>
      </c>
      <c r="R376" s="50">
        <f t="shared" si="2538"/>
        <v>2</v>
      </c>
      <c r="S376" s="53">
        <f t="shared" si="2539"/>
        <v>1</v>
      </c>
      <c r="T376" s="54">
        <f t="shared" si="2540"/>
        <v>3</v>
      </c>
      <c r="U376" s="53">
        <f t="shared" si="2541"/>
        <v>1</v>
      </c>
      <c r="V376" s="54">
        <f t="shared" si="2542"/>
        <v>1</v>
      </c>
      <c r="W376" s="53">
        <f t="shared" si="2543"/>
        <v>1</v>
      </c>
      <c r="X376" s="54">
        <f t="shared" si="2544"/>
        <v>1</v>
      </c>
      <c r="Y376" s="53">
        <f t="shared" si="2545"/>
        <v>1</v>
      </c>
      <c r="Z376" s="54">
        <f t="shared" si="2546"/>
        <v>2</v>
      </c>
      <c r="AA376" s="53">
        <f t="shared" si="2547"/>
        <v>2</v>
      </c>
      <c r="AB376" s="54">
        <f t="shared" si="2548"/>
        <v>4</v>
      </c>
      <c r="AC376" s="49">
        <f t="shared" ref="AC376:AD376" si="2627">SUM(S376,U376,W376,Y376,AA376)</f>
        <v>6</v>
      </c>
      <c r="AD376" s="50">
        <f t="shared" si="2627"/>
        <v>11</v>
      </c>
      <c r="AE376" s="53">
        <f t="shared" si="2550"/>
        <v>0</v>
      </c>
      <c r="AF376" s="54">
        <f t="shared" si="2551"/>
        <v>0</v>
      </c>
      <c r="AG376" s="53">
        <f t="shared" si="2552"/>
        <v>0</v>
      </c>
      <c r="AH376" s="54">
        <f t="shared" si="2553"/>
        <v>0</v>
      </c>
      <c r="AI376" s="53">
        <f t="shared" si="2554"/>
        <v>1</v>
      </c>
      <c r="AJ376" s="54">
        <f t="shared" si="2555"/>
        <v>3</v>
      </c>
      <c r="AK376" s="53">
        <f t="shared" si="2556"/>
        <v>0</v>
      </c>
      <c r="AL376" s="54">
        <f t="shared" si="2557"/>
        <v>0</v>
      </c>
      <c r="AM376" s="53">
        <f t="shared" si="2558"/>
        <v>0</v>
      </c>
      <c r="AN376" s="54">
        <f t="shared" si="2559"/>
        <v>0</v>
      </c>
      <c r="AO376" s="53">
        <f t="shared" si="2560"/>
        <v>1</v>
      </c>
      <c r="AP376" s="54">
        <f t="shared" si="2561"/>
        <v>1</v>
      </c>
      <c r="AQ376" s="49">
        <f t="shared" ref="AQ376:AR376" si="2628">SUM(AG376,AI376,AK376,AM376,AO376)</f>
        <v>2</v>
      </c>
      <c r="AR376" s="50">
        <f t="shared" si="2628"/>
        <v>4</v>
      </c>
      <c r="AS376" s="53">
        <f t="shared" si="2563"/>
        <v>2</v>
      </c>
      <c r="AT376" s="54">
        <f t="shared" si="2564"/>
        <v>4</v>
      </c>
      <c r="AU376" s="53">
        <f t="shared" si="2565"/>
        <v>1</v>
      </c>
      <c r="AV376" s="54">
        <f t="shared" si="2566"/>
        <v>1</v>
      </c>
      <c r="AW376" s="53">
        <f t="shared" si="2567"/>
        <v>2</v>
      </c>
      <c r="AX376" s="54">
        <f t="shared" si="2568"/>
        <v>4</v>
      </c>
      <c r="AY376" s="53">
        <f t="shared" si="2569"/>
        <v>1</v>
      </c>
      <c r="AZ376" s="54">
        <f t="shared" si="2570"/>
        <v>2</v>
      </c>
      <c r="BA376" s="53">
        <f t="shared" si="2571"/>
        <v>0</v>
      </c>
      <c r="BB376" s="54">
        <f t="shared" si="2572"/>
        <v>0</v>
      </c>
      <c r="BC376" s="49">
        <f t="shared" ref="BC376:BD376" si="2629">SUM(AS376,AU376,AW376,AY376,BA376)</f>
        <v>6</v>
      </c>
      <c r="BD376" s="50">
        <f t="shared" si="2629"/>
        <v>11</v>
      </c>
      <c r="BE376" s="68">
        <f t="shared" ref="BE376:BF376" si="2630">SUM(E376,G376,I376,O376,Q376,AC376,AQ376,BC376)</f>
        <v>19</v>
      </c>
      <c r="BF376" s="69">
        <f t="shared" si="2630"/>
        <v>35</v>
      </c>
      <c r="BG376" s="46" t="str">
        <f>BF376*'ОВгП_РАО'!$B$14</f>
        <v>#REF!</v>
      </c>
      <c r="BH376" s="46" t="str">
        <f>'ОВгП_РАО'!$B$14</f>
        <v>#REF!</v>
      </c>
    </row>
    <row r="377" ht="15.75" customHeight="1">
      <c r="A377" s="80">
        <f t="shared" si="2575"/>
        <v>46271</v>
      </c>
      <c r="B377" s="47" t="s">
        <v>133</v>
      </c>
      <c r="C377" s="47" t="s">
        <v>122</v>
      </c>
      <c r="D377" s="47" t="s">
        <v>123</v>
      </c>
      <c r="E377" s="73">
        <f t="shared" si="2526"/>
        <v>1</v>
      </c>
      <c r="F377" s="50">
        <f t="shared" si="2527"/>
        <v>1</v>
      </c>
      <c r="G377" s="73">
        <f t="shared" si="2528"/>
        <v>1</v>
      </c>
      <c r="H377" s="50">
        <f t="shared" si="2529"/>
        <v>1</v>
      </c>
      <c r="I377" s="73">
        <f t="shared" si="2530"/>
        <v>0</v>
      </c>
      <c r="J377" s="50">
        <f t="shared" si="2531"/>
        <v>0</v>
      </c>
      <c r="K377" s="53">
        <f t="shared" si="2532"/>
        <v>0</v>
      </c>
      <c r="L377" s="54">
        <f t="shared" si="2533"/>
        <v>0</v>
      </c>
      <c r="M377" s="53">
        <f t="shared" si="2534"/>
        <v>0</v>
      </c>
      <c r="N377" s="54">
        <f t="shared" si="2535"/>
        <v>0</v>
      </c>
      <c r="O377" s="49">
        <f t="shared" ref="O377:P377" si="2631">SUM(K377,M377)</f>
        <v>0</v>
      </c>
      <c r="P377" s="50">
        <f t="shared" si="2631"/>
        <v>0</v>
      </c>
      <c r="Q377" s="73">
        <f t="shared" si="2537"/>
        <v>2</v>
      </c>
      <c r="R377" s="50">
        <f t="shared" si="2538"/>
        <v>4</v>
      </c>
      <c r="S377" s="53">
        <f t="shared" si="2539"/>
        <v>1</v>
      </c>
      <c r="T377" s="54">
        <f t="shared" si="2540"/>
        <v>3</v>
      </c>
      <c r="U377" s="53">
        <f t="shared" si="2541"/>
        <v>1</v>
      </c>
      <c r="V377" s="54">
        <f t="shared" si="2542"/>
        <v>3</v>
      </c>
      <c r="W377" s="53">
        <f t="shared" si="2543"/>
        <v>1</v>
      </c>
      <c r="X377" s="54">
        <f t="shared" si="2544"/>
        <v>3</v>
      </c>
      <c r="Y377" s="53">
        <f t="shared" si="2545"/>
        <v>1</v>
      </c>
      <c r="Z377" s="54">
        <f t="shared" si="2546"/>
        <v>1</v>
      </c>
      <c r="AA377" s="53">
        <f t="shared" si="2547"/>
        <v>1</v>
      </c>
      <c r="AB377" s="54">
        <f t="shared" si="2548"/>
        <v>3</v>
      </c>
      <c r="AC377" s="49">
        <f t="shared" ref="AC377:AD377" si="2632">SUM(S377,U377,W377,Y377,AA377)</f>
        <v>5</v>
      </c>
      <c r="AD377" s="50">
        <f t="shared" si="2632"/>
        <v>13</v>
      </c>
      <c r="AE377" s="53">
        <f t="shared" si="2550"/>
        <v>1</v>
      </c>
      <c r="AF377" s="54">
        <f t="shared" si="2551"/>
        <v>2</v>
      </c>
      <c r="AG377" s="53">
        <f t="shared" si="2552"/>
        <v>1</v>
      </c>
      <c r="AH377" s="54">
        <f t="shared" si="2553"/>
        <v>3</v>
      </c>
      <c r="AI377" s="53">
        <f t="shared" si="2554"/>
        <v>1</v>
      </c>
      <c r="AJ377" s="54">
        <f t="shared" si="2555"/>
        <v>2</v>
      </c>
      <c r="AK377" s="53">
        <f t="shared" si="2556"/>
        <v>1</v>
      </c>
      <c r="AL377" s="54">
        <f t="shared" si="2557"/>
        <v>2</v>
      </c>
      <c r="AM377" s="53">
        <f t="shared" si="2558"/>
        <v>1</v>
      </c>
      <c r="AN377" s="54">
        <f t="shared" si="2559"/>
        <v>3</v>
      </c>
      <c r="AO377" s="53">
        <f t="shared" si="2560"/>
        <v>1</v>
      </c>
      <c r="AP377" s="54">
        <f t="shared" si="2561"/>
        <v>1</v>
      </c>
      <c r="AQ377" s="49">
        <f t="shared" ref="AQ377:AR377" si="2633">SUM(AG377,AI377,AK377,AM377,AO377)</f>
        <v>5</v>
      </c>
      <c r="AR377" s="50">
        <f t="shared" si="2633"/>
        <v>11</v>
      </c>
      <c r="AS377" s="53">
        <f t="shared" si="2563"/>
        <v>1</v>
      </c>
      <c r="AT377" s="54">
        <f t="shared" si="2564"/>
        <v>3</v>
      </c>
      <c r="AU377" s="53">
        <f t="shared" si="2565"/>
        <v>1</v>
      </c>
      <c r="AV377" s="54">
        <f t="shared" si="2566"/>
        <v>3</v>
      </c>
      <c r="AW377" s="53">
        <f t="shared" si="2567"/>
        <v>1</v>
      </c>
      <c r="AX377" s="54">
        <f t="shared" si="2568"/>
        <v>1</v>
      </c>
      <c r="AY377" s="53">
        <f t="shared" si="2569"/>
        <v>0</v>
      </c>
      <c r="AZ377" s="54">
        <f t="shared" si="2570"/>
        <v>0</v>
      </c>
      <c r="BA377" s="53">
        <f t="shared" si="2571"/>
        <v>1</v>
      </c>
      <c r="BB377" s="54">
        <f t="shared" si="2572"/>
        <v>1</v>
      </c>
      <c r="BC377" s="49">
        <f t="shared" ref="BC377:BD377" si="2634">SUM(AS377,AU377,AW377,AY377,BA377)</f>
        <v>4</v>
      </c>
      <c r="BD377" s="50">
        <f t="shared" si="2634"/>
        <v>8</v>
      </c>
      <c r="BE377" s="68">
        <f t="shared" ref="BE377:BF377" si="2635">SUM(E377,G377,I377,O377,Q377,AC377,AQ377,BC377)</f>
        <v>18</v>
      </c>
      <c r="BF377" s="69">
        <f t="shared" si="2635"/>
        <v>38</v>
      </c>
      <c r="BG377" s="46" t="str">
        <f>BF377*'ОВгП_РАО'!$B$15</f>
        <v>#REF!</v>
      </c>
      <c r="BH377" s="46" t="str">
        <f>'ОВгП_РАО'!$B$15</f>
        <v>#REF!</v>
      </c>
    </row>
    <row r="378" ht="15.75" customHeight="1">
      <c r="A378" s="80">
        <f t="shared" si="2575"/>
        <v>46271</v>
      </c>
      <c r="B378" s="47" t="s">
        <v>134</v>
      </c>
      <c r="C378" s="47" t="s">
        <v>122</v>
      </c>
      <c r="D378" s="47" t="s">
        <v>123</v>
      </c>
      <c r="E378" s="73">
        <f t="shared" si="2526"/>
        <v>2</v>
      </c>
      <c r="F378" s="50">
        <f t="shared" si="2527"/>
        <v>4</v>
      </c>
      <c r="G378" s="73">
        <f t="shared" si="2528"/>
        <v>1</v>
      </c>
      <c r="H378" s="50">
        <f t="shared" si="2529"/>
        <v>1</v>
      </c>
      <c r="I378" s="73">
        <f t="shared" si="2530"/>
        <v>1</v>
      </c>
      <c r="J378" s="50">
        <f t="shared" si="2531"/>
        <v>3</v>
      </c>
      <c r="K378" s="53">
        <f t="shared" si="2532"/>
        <v>2</v>
      </c>
      <c r="L378" s="54">
        <f t="shared" si="2533"/>
        <v>4</v>
      </c>
      <c r="M378" s="53">
        <f t="shared" si="2534"/>
        <v>1</v>
      </c>
      <c r="N378" s="54">
        <f t="shared" si="2535"/>
        <v>2</v>
      </c>
      <c r="O378" s="49">
        <f t="shared" ref="O378:P378" si="2636">SUM(K378,M378)</f>
        <v>3</v>
      </c>
      <c r="P378" s="50">
        <f t="shared" si="2636"/>
        <v>6</v>
      </c>
      <c r="Q378" s="73">
        <f t="shared" si="2537"/>
        <v>2</v>
      </c>
      <c r="R378" s="50">
        <f t="shared" si="2538"/>
        <v>4</v>
      </c>
      <c r="S378" s="53">
        <f t="shared" si="2539"/>
        <v>1</v>
      </c>
      <c r="T378" s="54">
        <f t="shared" si="2540"/>
        <v>3</v>
      </c>
      <c r="U378" s="53">
        <f t="shared" si="2541"/>
        <v>1</v>
      </c>
      <c r="V378" s="54">
        <f t="shared" si="2542"/>
        <v>1</v>
      </c>
      <c r="W378" s="53">
        <f t="shared" si="2543"/>
        <v>0</v>
      </c>
      <c r="X378" s="54">
        <f t="shared" si="2544"/>
        <v>0</v>
      </c>
      <c r="Y378" s="53">
        <f t="shared" si="2545"/>
        <v>1</v>
      </c>
      <c r="Z378" s="54">
        <f t="shared" si="2546"/>
        <v>1</v>
      </c>
      <c r="AA378" s="53">
        <f t="shared" si="2547"/>
        <v>2</v>
      </c>
      <c r="AB378" s="54">
        <f t="shared" si="2548"/>
        <v>4</v>
      </c>
      <c r="AC378" s="49">
        <f t="shared" ref="AC378:AD378" si="2637">SUM(S378,U378,W378,Y378,AA378)</f>
        <v>5</v>
      </c>
      <c r="AD378" s="50">
        <f t="shared" si="2637"/>
        <v>9</v>
      </c>
      <c r="AE378" s="53">
        <f t="shared" si="2550"/>
        <v>0</v>
      </c>
      <c r="AF378" s="54">
        <f t="shared" si="2551"/>
        <v>0</v>
      </c>
      <c r="AG378" s="53">
        <f t="shared" si="2552"/>
        <v>1</v>
      </c>
      <c r="AH378" s="54">
        <f t="shared" si="2553"/>
        <v>3</v>
      </c>
      <c r="AI378" s="53">
        <f t="shared" si="2554"/>
        <v>1</v>
      </c>
      <c r="AJ378" s="54">
        <f t="shared" si="2555"/>
        <v>3</v>
      </c>
      <c r="AK378" s="53">
        <f t="shared" si="2556"/>
        <v>1</v>
      </c>
      <c r="AL378" s="54">
        <f t="shared" si="2557"/>
        <v>1</v>
      </c>
      <c r="AM378" s="53">
        <f t="shared" si="2558"/>
        <v>0</v>
      </c>
      <c r="AN378" s="54">
        <f t="shared" si="2559"/>
        <v>0</v>
      </c>
      <c r="AO378" s="53">
        <f t="shared" si="2560"/>
        <v>1</v>
      </c>
      <c r="AP378" s="54">
        <f t="shared" si="2561"/>
        <v>2</v>
      </c>
      <c r="AQ378" s="49">
        <f t="shared" ref="AQ378:AR378" si="2638">SUM(AG378,AI378,AK378,AM378,AO378)</f>
        <v>4</v>
      </c>
      <c r="AR378" s="50">
        <f t="shared" si="2638"/>
        <v>9</v>
      </c>
      <c r="AS378" s="53">
        <f t="shared" si="2563"/>
        <v>0</v>
      </c>
      <c r="AT378" s="54">
        <f t="shared" si="2564"/>
        <v>0</v>
      </c>
      <c r="AU378" s="53">
        <f t="shared" si="2565"/>
        <v>0</v>
      </c>
      <c r="AV378" s="54">
        <f t="shared" si="2566"/>
        <v>0</v>
      </c>
      <c r="AW378" s="53">
        <f t="shared" si="2567"/>
        <v>1</v>
      </c>
      <c r="AX378" s="54">
        <f t="shared" si="2568"/>
        <v>3</v>
      </c>
      <c r="AY378" s="53">
        <f t="shared" si="2569"/>
        <v>2</v>
      </c>
      <c r="AZ378" s="54">
        <f t="shared" si="2570"/>
        <v>4</v>
      </c>
      <c r="BA378" s="53">
        <f t="shared" si="2571"/>
        <v>1</v>
      </c>
      <c r="BB378" s="54">
        <f t="shared" si="2572"/>
        <v>3</v>
      </c>
      <c r="BC378" s="49">
        <f t="shared" ref="BC378:BD378" si="2639">SUM(AS378,AU378,AW378,AY378,BA378)</f>
        <v>4</v>
      </c>
      <c r="BD378" s="50">
        <f t="shared" si="2639"/>
        <v>10</v>
      </c>
      <c r="BE378" s="68">
        <f t="shared" ref="BE378:BF378" si="2640">SUM(E378,G378,I378,O378,Q378,AC378,AQ378,BC378)</f>
        <v>22</v>
      </c>
      <c r="BF378" s="69">
        <f t="shared" si="2640"/>
        <v>46</v>
      </c>
      <c r="BG378" s="46" t="str">
        <f>BF378*'ОВгП_РАО'!$B$16</f>
        <v>#REF!</v>
      </c>
      <c r="BH378" s="46" t="str">
        <f>'ОВгП_РАО'!$B$16</f>
        <v>#REF!</v>
      </c>
    </row>
    <row r="379" ht="15.75" customHeight="1">
      <c r="A379" s="80">
        <f t="shared" si="2575"/>
        <v>46271</v>
      </c>
      <c r="B379" s="129" t="s">
        <v>135</v>
      </c>
      <c r="C379" s="47" t="s">
        <v>122</v>
      </c>
      <c r="D379" s="47" t="s">
        <v>136</v>
      </c>
      <c r="E379" s="73">
        <f t="shared" si="2526"/>
        <v>2</v>
      </c>
      <c r="F379" s="50">
        <f t="shared" si="2527"/>
        <v>4</v>
      </c>
      <c r="G379" s="73">
        <f t="shared" si="2528"/>
        <v>1</v>
      </c>
      <c r="H379" s="50">
        <f t="shared" si="2529"/>
        <v>3</v>
      </c>
      <c r="I379" s="73">
        <f t="shared" si="2530"/>
        <v>1</v>
      </c>
      <c r="J379" s="50">
        <f t="shared" si="2531"/>
        <v>1</v>
      </c>
      <c r="K379" s="53">
        <f t="shared" si="2532"/>
        <v>0</v>
      </c>
      <c r="L379" s="54">
        <f t="shared" si="2533"/>
        <v>0</v>
      </c>
      <c r="M379" s="53">
        <f t="shared" si="2534"/>
        <v>2</v>
      </c>
      <c r="N379" s="54">
        <f t="shared" si="2535"/>
        <v>4</v>
      </c>
      <c r="O379" s="49">
        <f t="shared" ref="O379:P379" si="2641">SUM(K379,M379)</f>
        <v>2</v>
      </c>
      <c r="P379" s="50">
        <f t="shared" si="2641"/>
        <v>4</v>
      </c>
      <c r="Q379" s="73">
        <f t="shared" si="2537"/>
        <v>2</v>
      </c>
      <c r="R379" s="50">
        <f t="shared" si="2538"/>
        <v>4</v>
      </c>
      <c r="S379" s="53">
        <f t="shared" si="2539"/>
        <v>1</v>
      </c>
      <c r="T379" s="54">
        <f t="shared" si="2540"/>
        <v>3</v>
      </c>
      <c r="U379" s="53">
        <f t="shared" si="2541"/>
        <v>1</v>
      </c>
      <c r="V379" s="54">
        <f t="shared" si="2542"/>
        <v>1</v>
      </c>
      <c r="W379" s="53">
        <f t="shared" si="2543"/>
        <v>2</v>
      </c>
      <c r="X379" s="54">
        <f t="shared" si="2544"/>
        <v>4</v>
      </c>
      <c r="Y379" s="53">
        <f t="shared" si="2545"/>
        <v>1</v>
      </c>
      <c r="Z379" s="54">
        <f t="shared" si="2546"/>
        <v>1</v>
      </c>
      <c r="AA379" s="53">
        <f t="shared" si="2547"/>
        <v>1</v>
      </c>
      <c r="AB379" s="54">
        <f t="shared" si="2548"/>
        <v>3</v>
      </c>
      <c r="AC379" s="49">
        <f t="shared" ref="AC379:AD379" si="2642">SUM(S379,U379,W379,Y379,AA379)</f>
        <v>6</v>
      </c>
      <c r="AD379" s="50">
        <f t="shared" si="2642"/>
        <v>12</v>
      </c>
      <c r="AE379" s="53">
        <f t="shared" si="2550"/>
        <v>2</v>
      </c>
      <c r="AF379" s="54">
        <f t="shared" si="2551"/>
        <v>4</v>
      </c>
      <c r="AG379" s="53">
        <f t="shared" si="2552"/>
        <v>0</v>
      </c>
      <c r="AH379" s="54">
        <f t="shared" si="2553"/>
        <v>0</v>
      </c>
      <c r="AI379" s="53">
        <f t="shared" si="2554"/>
        <v>0</v>
      </c>
      <c r="AJ379" s="54">
        <f t="shared" si="2555"/>
        <v>0</v>
      </c>
      <c r="AK379" s="53">
        <f t="shared" si="2556"/>
        <v>2</v>
      </c>
      <c r="AL379" s="54">
        <f t="shared" si="2557"/>
        <v>4</v>
      </c>
      <c r="AM379" s="53">
        <f t="shared" si="2558"/>
        <v>1</v>
      </c>
      <c r="AN379" s="54">
        <f t="shared" si="2559"/>
        <v>2</v>
      </c>
      <c r="AO379" s="53">
        <f t="shared" si="2560"/>
        <v>1</v>
      </c>
      <c r="AP379" s="54">
        <f t="shared" si="2561"/>
        <v>1</v>
      </c>
      <c r="AQ379" s="49">
        <f t="shared" ref="AQ379:AR379" si="2643">SUM(AG379,AI379,AK379,AM379,AO379)</f>
        <v>4</v>
      </c>
      <c r="AR379" s="50">
        <f t="shared" si="2643"/>
        <v>7</v>
      </c>
      <c r="AS379" s="53">
        <f t="shared" si="2563"/>
        <v>1</v>
      </c>
      <c r="AT379" s="54">
        <f t="shared" si="2564"/>
        <v>2</v>
      </c>
      <c r="AU379" s="53">
        <f t="shared" si="2565"/>
        <v>1</v>
      </c>
      <c r="AV379" s="54">
        <f t="shared" si="2566"/>
        <v>1</v>
      </c>
      <c r="AW379" s="53">
        <f t="shared" si="2567"/>
        <v>1</v>
      </c>
      <c r="AX379" s="54">
        <f t="shared" si="2568"/>
        <v>2</v>
      </c>
      <c r="AY379" s="53">
        <f t="shared" si="2569"/>
        <v>1</v>
      </c>
      <c r="AZ379" s="54">
        <f t="shared" si="2570"/>
        <v>1</v>
      </c>
      <c r="BA379" s="53">
        <f t="shared" si="2571"/>
        <v>1</v>
      </c>
      <c r="BB379" s="54">
        <f t="shared" si="2572"/>
        <v>2</v>
      </c>
      <c r="BC379" s="49">
        <f t="shared" ref="BC379:BD379" si="2644">SUM(AS379,AU379,AW379,AY379,BA379)</f>
        <v>5</v>
      </c>
      <c r="BD379" s="50">
        <f t="shared" si="2644"/>
        <v>8</v>
      </c>
      <c r="BE379" s="68">
        <f t="shared" ref="BE379:BF379" si="2645">SUM(E379,G379,I379,O379,Q379,AC379,AQ379,BC379)</f>
        <v>23</v>
      </c>
      <c r="BF379" s="69">
        <f t="shared" si="2645"/>
        <v>43</v>
      </c>
      <c r="BG379" s="46" t="str">
        <f>BF379*'ОВгП_РАО'!$B$17</f>
        <v>#REF!</v>
      </c>
      <c r="BH379" s="46" t="str">
        <f>'ОВгП_РАО'!$B$17</f>
        <v>#REF!</v>
      </c>
    </row>
    <row r="380" ht="15.75" customHeight="1">
      <c r="A380" s="80">
        <f t="shared" si="2575"/>
        <v>46271</v>
      </c>
      <c r="B380" s="129" t="s">
        <v>137</v>
      </c>
      <c r="C380" s="47" t="s">
        <v>122</v>
      </c>
      <c r="D380" s="47" t="s">
        <v>136</v>
      </c>
      <c r="E380" s="73">
        <f t="shared" si="2526"/>
        <v>2</v>
      </c>
      <c r="F380" s="50">
        <f t="shared" si="2527"/>
        <v>4</v>
      </c>
      <c r="G380" s="73">
        <f t="shared" si="2528"/>
        <v>1</v>
      </c>
      <c r="H380" s="50">
        <f t="shared" si="2529"/>
        <v>2</v>
      </c>
      <c r="I380" s="73">
        <f t="shared" si="2530"/>
        <v>1</v>
      </c>
      <c r="J380" s="50">
        <f t="shared" si="2531"/>
        <v>1</v>
      </c>
      <c r="K380" s="53">
        <f t="shared" si="2532"/>
        <v>2</v>
      </c>
      <c r="L380" s="54">
        <f t="shared" si="2533"/>
        <v>4</v>
      </c>
      <c r="M380" s="53">
        <f t="shared" si="2534"/>
        <v>1</v>
      </c>
      <c r="N380" s="54">
        <f t="shared" si="2535"/>
        <v>3</v>
      </c>
      <c r="O380" s="49">
        <f t="shared" ref="O380:P380" si="2646">SUM(K380,M380)</f>
        <v>3</v>
      </c>
      <c r="P380" s="50">
        <f t="shared" si="2646"/>
        <v>7</v>
      </c>
      <c r="Q380" s="73">
        <f t="shared" si="2537"/>
        <v>1</v>
      </c>
      <c r="R380" s="50">
        <f t="shared" si="2538"/>
        <v>1</v>
      </c>
      <c r="S380" s="53">
        <f t="shared" si="2539"/>
        <v>1</v>
      </c>
      <c r="T380" s="54">
        <f t="shared" si="2540"/>
        <v>1</v>
      </c>
      <c r="U380" s="53">
        <f t="shared" si="2541"/>
        <v>1</v>
      </c>
      <c r="V380" s="54">
        <f t="shared" si="2542"/>
        <v>1</v>
      </c>
      <c r="W380" s="53">
        <f t="shared" si="2543"/>
        <v>2</v>
      </c>
      <c r="X380" s="54">
        <f t="shared" si="2544"/>
        <v>4</v>
      </c>
      <c r="Y380" s="53">
        <f t="shared" si="2545"/>
        <v>1</v>
      </c>
      <c r="Z380" s="54">
        <f t="shared" si="2546"/>
        <v>2</v>
      </c>
      <c r="AA380" s="53">
        <f t="shared" si="2547"/>
        <v>0</v>
      </c>
      <c r="AB380" s="54">
        <f t="shared" si="2548"/>
        <v>0</v>
      </c>
      <c r="AC380" s="49">
        <f t="shared" ref="AC380:AD380" si="2647">SUM(S380,U380,W380,Y380,AA380)</f>
        <v>5</v>
      </c>
      <c r="AD380" s="50">
        <f t="shared" si="2647"/>
        <v>8</v>
      </c>
      <c r="AE380" s="53">
        <f t="shared" si="2550"/>
        <v>0</v>
      </c>
      <c r="AF380" s="54">
        <f t="shared" si="2551"/>
        <v>0</v>
      </c>
      <c r="AG380" s="53">
        <f t="shared" si="2552"/>
        <v>0</v>
      </c>
      <c r="AH380" s="54">
        <f t="shared" si="2553"/>
        <v>0</v>
      </c>
      <c r="AI380" s="53">
        <f t="shared" si="2554"/>
        <v>1</v>
      </c>
      <c r="AJ380" s="54">
        <f t="shared" si="2555"/>
        <v>1</v>
      </c>
      <c r="AK380" s="53">
        <f t="shared" si="2556"/>
        <v>1</v>
      </c>
      <c r="AL380" s="54">
        <f t="shared" si="2557"/>
        <v>1</v>
      </c>
      <c r="AM380" s="53">
        <f t="shared" si="2558"/>
        <v>1</v>
      </c>
      <c r="AN380" s="54">
        <f t="shared" si="2559"/>
        <v>1</v>
      </c>
      <c r="AO380" s="53">
        <f t="shared" si="2560"/>
        <v>1</v>
      </c>
      <c r="AP380" s="54">
        <f t="shared" si="2561"/>
        <v>3</v>
      </c>
      <c r="AQ380" s="49">
        <f t="shared" ref="AQ380:AR380" si="2648">SUM(AG380,AI380,AK380,AM380,AO380)</f>
        <v>4</v>
      </c>
      <c r="AR380" s="50">
        <f t="shared" si="2648"/>
        <v>6</v>
      </c>
      <c r="AS380" s="53">
        <f t="shared" si="2563"/>
        <v>1</v>
      </c>
      <c r="AT380" s="54">
        <f t="shared" si="2564"/>
        <v>1</v>
      </c>
      <c r="AU380" s="53">
        <f t="shared" si="2565"/>
        <v>2</v>
      </c>
      <c r="AV380" s="54">
        <f t="shared" si="2566"/>
        <v>4</v>
      </c>
      <c r="AW380" s="53">
        <f t="shared" si="2567"/>
        <v>1</v>
      </c>
      <c r="AX380" s="54">
        <f t="shared" si="2568"/>
        <v>1</v>
      </c>
      <c r="AY380" s="53">
        <f t="shared" si="2569"/>
        <v>1</v>
      </c>
      <c r="AZ380" s="54">
        <f t="shared" si="2570"/>
        <v>1</v>
      </c>
      <c r="BA380" s="53">
        <f t="shared" si="2571"/>
        <v>2</v>
      </c>
      <c r="BB380" s="54">
        <f t="shared" si="2572"/>
        <v>4</v>
      </c>
      <c r="BC380" s="49">
        <f t="shared" ref="BC380:BD380" si="2649">SUM(AS380,AU380,AW380,AY380,BA380)</f>
        <v>7</v>
      </c>
      <c r="BD380" s="50">
        <f t="shared" si="2649"/>
        <v>11</v>
      </c>
      <c r="BE380" s="68">
        <f t="shared" ref="BE380:BF380" si="2650">SUM(E380,G380,I380,O380,Q380,AC380,AQ380,BC380)</f>
        <v>24</v>
      </c>
      <c r="BF380" s="69">
        <f t="shared" si="2650"/>
        <v>40</v>
      </c>
      <c r="BG380" s="46" t="str">
        <f>BF380*'ОВгП_РАО'!$B$18</f>
        <v>#REF!</v>
      </c>
      <c r="BH380" s="46" t="str">
        <f>'ОВгП_РАО'!$B$18</f>
        <v>#REF!</v>
      </c>
    </row>
    <row r="381" ht="15.75" customHeight="1">
      <c r="A381" s="80">
        <f t="shared" si="2575"/>
        <v>46271</v>
      </c>
      <c r="B381" s="129" t="s">
        <v>138</v>
      </c>
      <c r="C381" s="47" t="s">
        <v>122</v>
      </c>
      <c r="D381" s="47" t="s">
        <v>139</v>
      </c>
      <c r="E381" s="73">
        <f t="shared" si="2526"/>
        <v>1</v>
      </c>
      <c r="F381" s="50">
        <f t="shared" si="2527"/>
        <v>2</v>
      </c>
      <c r="G381" s="73">
        <f t="shared" si="2528"/>
        <v>1</v>
      </c>
      <c r="H381" s="50">
        <f t="shared" si="2529"/>
        <v>2</v>
      </c>
      <c r="I381" s="73">
        <f t="shared" si="2530"/>
        <v>1</v>
      </c>
      <c r="J381" s="50">
        <f t="shared" si="2531"/>
        <v>3</v>
      </c>
      <c r="K381" s="53">
        <f t="shared" si="2532"/>
        <v>0</v>
      </c>
      <c r="L381" s="54">
        <f t="shared" si="2533"/>
        <v>0</v>
      </c>
      <c r="M381" s="53">
        <f t="shared" si="2534"/>
        <v>0</v>
      </c>
      <c r="N381" s="54">
        <f t="shared" si="2535"/>
        <v>0</v>
      </c>
      <c r="O381" s="49">
        <f t="shared" ref="O381:P381" si="2651">SUM(K381,M381)</f>
        <v>0</v>
      </c>
      <c r="P381" s="50">
        <f t="shared" si="2651"/>
        <v>0</v>
      </c>
      <c r="Q381" s="73">
        <f t="shared" si="2537"/>
        <v>2</v>
      </c>
      <c r="R381" s="50">
        <f t="shared" si="2538"/>
        <v>4</v>
      </c>
      <c r="S381" s="53">
        <f t="shared" si="2539"/>
        <v>1</v>
      </c>
      <c r="T381" s="54">
        <f t="shared" si="2540"/>
        <v>3</v>
      </c>
      <c r="U381" s="53">
        <f t="shared" si="2541"/>
        <v>1</v>
      </c>
      <c r="V381" s="54">
        <f t="shared" si="2542"/>
        <v>1</v>
      </c>
      <c r="W381" s="53">
        <f t="shared" si="2543"/>
        <v>1</v>
      </c>
      <c r="X381" s="54">
        <f t="shared" si="2544"/>
        <v>3</v>
      </c>
      <c r="Y381" s="53">
        <f t="shared" si="2545"/>
        <v>1</v>
      </c>
      <c r="Z381" s="54">
        <f t="shared" si="2546"/>
        <v>2</v>
      </c>
      <c r="AA381" s="53">
        <f t="shared" si="2547"/>
        <v>2</v>
      </c>
      <c r="AB381" s="54">
        <f t="shared" si="2548"/>
        <v>4</v>
      </c>
      <c r="AC381" s="49">
        <f t="shared" ref="AC381:AD381" si="2652">SUM(S381,U381,W381,Y381,AA381)</f>
        <v>6</v>
      </c>
      <c r="AD381" s="50">
        <f t="shared" si="2652"/>
        <v>13</v>
      </c>
      <c r="AE381" s="53">
        <f t="shared" si="2550"/>
        <v>2</v>
      </c>
      <c r="AF381" s="54">
        <f t="shared" si="2551"/>
        <v>4</v>
      </c>
      <c r="AG381" s="53">
        <f t="shared" si="2552"/>
        <v>1</v>
      </c>
      <c r="AH381" s="54">
        <f t="shared" si="2553"/>
        <v>3</v>
      </c>
      <c r="AI381" s="53">
        <f t="shared" si="2554"/>
        <v>1</v>
      </c>
      <c r="AJ381" s="54">
        <f t="shared" si="2555"/>
        <v>3</v>
      </c>
      <c r="AK381" s="53">
        <f t="shared" si="2556"/>
        <v>1</v>
      </c>
      <c r="AL381" s="54">
        <f t="shared" si="2557"/>
        <v>3</v>
      </c>
      <c r="AM381" s="53">
        <f t="shared" si="2558"/>
        <v>1</v>
      </c>
      <c r="AN381" s="54">
        <f t="shared" si="2559"/>
        <v>3</v>
      </c>
      <c r="AO381" s="53">
        <f t="shared" si="2560"/>
        <v>0</v>
      </c>
      <c r="AP381" s="54">
        <f t="shared" si="2561"/>
        <v>0</v>
      </c>
      <c r="AQ381" s="49">
        <f t="shared" ref="AQ381:AR381" si="2653">SUM(AG381,AI381,AK381,AM381,AO381)</f>
        <v>4</v>
      </c>
      <c r="AR381" s="50">
        <f t="shared" si="2653"/>
        <v>12</v>
      </c>
      <c r="AS381" s="53">
        <f t="shared" si="2563"/>
        <v>1</v>
      </c>
      <c r="AT381" s="54">
        <f t="shared" si="2564"/>
        <v>2</v>
      </c>
      <c r="AU381" s="53">
        <f t="shared" si="2565"/>
        <v>1</v>
      </c>
      <c r="AV381" s="54">
        <f t="shared" si="2566"/>
        <v>3</v>
      </c>
      <c r="AW381" s="53">
        <f t="shared" si="2567"/>
        <v>1</v>
      </c>
      <c r="AX381" s="54">
        <f t="shared" si="2568"/>
        <v>1</v>
      </c>
      <c r="AY381" s="53">
        <f t="shared" si="2569"/>
        <v>1</v>
      </c>
      <c r="AZ381" s="54">
        <f t="shared" si="2570"/>
        <v>3</v>
      </c>
      <c r="BA381" s="53">
        <f t="shared" si="2571"/>
        <v>0</v>
      </c>
      <c r="BB381" s="54">
        <f t="shared" si="2572"/>
        <v>0</v>
      </c>
      <c r="BC381" s="49">
        <f t="shared" ref="BC381:BD381" si="2654">SUM(AS381,AU381,AW381,AY381,BA381)</f>
        <v>4</v>
      </c>
      <c r="BD381" s="50">
        <f t="shared" si="2654"/>
        <v>9</v>
      </c>
      <c r="BE381" s="68">
        <f t="shared" ref="BE381:BF381" si="2655">SUM(E381,G381,I381,O381,Q381,AC381,AQ381,BC381)</f>
        <v>19</v>
      </c>
      <c r="BF381" s="69">
        <f t="shared" si="2655"/>
        <v>45</v>
      </c>
      <c r="BG381" s="46" t="str">
        <f>BF381*'ОВгП_РАО'!$B$19</f>
        <v>#REF!</v>
      </c>
      <c r="BH381" s="46" t="str">
        <f>'ОВгП_РАО'!$B$19</f>
        <v>#REF!</v>
      </c>
    </row>
    <row r="382" ht="15.75" customHeight="1">
      <c r="A382" s="80">
        <f t="shared" si="2575"/>
        <v>46271</v>
      </c>
      <c r="B382" s="129" t="s">
        <v>140</v>
      </c>
      <c r="C382" s="47" t="s">
        <v>122</v>
      </c>
      <c r="D382" s="47" t="s">
        <v>139</v>
      </c>
      <c r="E382" s="73">
        <f t="shared" si="2526"/>
        <v>2</v>
      </c>
      <c r="F382" s="50">
        <f t="shared" si="2527"/>
        <v>4</v>
      </c>
      <c r="G382" s="73">
        <f t="shared" si="2528"/>
        <v>2</v>
      </c>
      <c r="H382" s="50">
        <f t="shared" si="2529"/>
        <v>4</v>
      </c>
      <c r="I382" s="73">
        <f t="shared" si="2530"/>
        <v>2</v>
      </c>
      <c r="J382" s="50">
        <f t="shared" si="2531"/>
        <v>4</v>
      </c>
      <c r="K382" s="53">
        <f t="shared" si="2532"/>
        <v>0</v>
      </c>
      <c r="L382" s="54">
        <f t="shared" si="2533"/>
        <v>0</v>
      </c>
      <c r="M382" s="53">
        <f t="shared" si="2534"/>
        <v>2</v>
      </c>
      <c r="N382" s="54">
        <f t="shared" si="2535"/>
        <v>4</v>
      </c>
      <c r="O382" s="49">
        <f t="shared" ref="O382:P382" si="2656">SUM(K382,M382)</f>
        <v>2</v>
      </c>
      <c r="P382" s="50">
        <f t="shared" si="2656"/>
        <v>4</v>
      </c>
      <c r="Q382" s="73">
        <f t="shared" si="2537"/>
        <v>1</v>
      </c>
      <c r="R382" s="50">
        <f t="shared" si="2538"/>
        <v>1</v>
      </c>
      <c r="S382" s="53">
        <f t="shared" si="2539"/>
        <v>1</v>
      </c>
      <c r="T382" s="54">
        <f t="shared" si="2540"/>
        <v>3</v>
      </c>
      <c r="U382" s="53">
        <f t="shared" si="2541"/>
        <v>1</v>
      </c>
      <c r="V382" s="54">
        <f t="shared" si="2542"/>
        <v>1</v>
      </c>
      <c r="W382" s="53">
        <f t="shared" si="2543"/>
        <v>2</v>
      </c>
      <c r="X382" s="54">
        <f t="shared" si="2544"/>
        <v>4</v>
      </c>
      <c r="Y382" s="53">
        <f t="shared" si="2545"/>
        <v>1</v>
      </c>
      <c r="Z382" s="54">
        <f t="shared" si="2546"/>
        <v>1</v>
      </c>
      <c r="AA382" s="53">
        <f t="shared" si="2547"/>
        <v>1</v>
      </c>
      <c r="AB382" s="54">
        <f t="shared" si="2548"/>
        <v>1</v>
      </c>
      <c r="AC382" s="49">
        <f t="shared" ref="AC382:AD382" si="2657">SUM(S382,U382,W382,Y382,AA382)</f>
        <v>6</v>
      </c>
      <c r="AD382" s="50">
        <f t="shared" si="2657"/>
        <v>10</v>
      </c>
      <c r="AE382" s="53">
        <f t="shared" si="2550"/>
        <v>0</v>
      </c>
      <c r="AF382" s="54">
        <f t="shared" si="2551"/>
        <v>0</v>
      </c>
      <c r="AG382" s="53">
        <f t="shared" si="2552"/>
        <v>1</v>
      </c>
      <c r="AH382" s="54">
        <f t="shared" si="2553"/>
        <v>3</v>
      </c>
      <c r="AI382" s="53">
        <f t="shared" si="2554"/>
        <v>1</v>
      </c>
      <c r="AJ382" s="54">
        <f t="shared" si="2555"/>
        <v>3</v>
      </c>
      <c r="AK382" s="53">
        <f t="shared" si="2556"/>
        <v>2</v>
      </c>
      <c r="AL382" s="54">
        <f t="shared" si="2557"/>
        <v>4</v>
      </c>
      <c r="AM382" s="53">
        <f t="shared" si="2558"/>
        <v>2</v>
      </c>
      <c r="AN382" s="54">
        <f t="shared" si="2559"/>
        <v>4</v>
      </c>
      <c r="AO382" s="53">
        <f t="shared" si="2560"/>
        <v>1</v>
      </c>
      <c r="AP382" s="54">
        <f t="shared" si="2561"/>
        <v>3</v>
      </c>
      <c r="AQ382" s="49">
        <f t="shared" ref="AQ382:AR382" si="2658">SUM(AG382,AI382,AK382,AM382,AO382)</f>
        <v>7</v>
      </c>
      <c r="AR382" s="50">
        <f t="shared" si="2658"/>
        <v>17</v>
      </c>
      <c r="AS382" s="53">
        <f t="shared" si="2563"/>
        <v>2</v>
      </c>
      <c r="AT382" s="54">
        <f t="shared" si="2564"/>
        <v>4</v>
      </c>
      <c r="AU382" s="53">
        <f t="shared" si="2565"/>
        <v>1</v>
      </c>
      <c r="AV382" s="54">
        <f t="shared" si="2566"/>
        <v>2</v>
      </c>
      <c r="AW382" s="53">
        <f t="shared" si="2567"/>
        <v>1</v>
      </c>
      <c r="AX382" s="54">
        <f t="shared" si="2568"/>
        <v>2</v>
      </c>
      <c r="AY382" s="53">
        <f t="shared" si="2569"/>
        <v>1</v>
      </c>
      <c r="AZ382" s="54">
        <f t="shared" si="2570"/>
        <v>1</v>
      </c>
      <c r="BA382" s="53">
        <f t="shared" si="2571"/>
        <v>2</v>
      </c>
      <c r="BB382" s="54">
        <f t="shared" si="2572"/>
        <v>4</v>
      </c>
      <c r="BC382" s="49">
        <f t="shared" ref="BC382:BD382" si="2659">SUM(AS382,AU382,AW382,AY382,BA382)</f>
        <v>7</v>
      </c>
      <c r="BD382" s="50">
        <f t="shared" si="2659"/>
        <v>13</v>
      </c>
      <c r="BE382" s="68">
        <f t="shared" ref="BE382:BF382" si="2660">SUM(E382,G382,I382,O382,Q382,AC382,AQ382,BC382)</f>
        <v>29</v>
      </c>
      <c r="BF382" s="69">
        <f t="shared" si="2660"/>
        <v>57</v>
      </c>
      <c r="BG382" s="46" t="str">
        <f>BF382*'ОВгП_РАО'!$B$20</f>
        <v>#REF!</v>
      </c>
      <c r="BH382" s="46" t="str">
        <f>'ОВгП_РАО'!$B$20</f>
        <v>#REF!</v>
      </c>
    </row>
    <row r="383" ht="15.75" customHeight="1">
      <c r="A383" s="80">
        <f t="shared" si="2575"/>
        <v>46271</v>
      </c>
      <c r="B383" s="129" t="s">
        <v>141</v>
      </c>
      <c r="C383" s="47" t="s">
        <v>122</v>
      </c>
      <c r="D383" s="47" t="s">
        <v>139</v>
      </c>
      <c r="E383" s="73">
        <f t="shared" si="2526"/>
        <v>1</v>
      </c>
      <c r="F383" s="50">
        <f t="shared" si="2527"/>
        <v>1</v>
      </c>
      <c r="G383" s="73">
        <f t="shared" si="2528"/>
        <v>1</v>
      </c>
      <c r="H383" s="50">
        <f t="shared" si="2529"/>
        <v>2</v>
      </c>
      <c r="I383" s="73">
        <f t="shared" si="2530"/>
        <v>1</v>
      </c>
      <c r="J383" s="50">
        <f t="shared" si="2531"/>
        <v>1</v>
      </c>
      <c r="K383" s="53">
        <f t="shared" si="2532"/>
        <v>0</v>
      </c>
      <c r="L383" s="54">
        <f t="shared" si="2533"/>
        <v>0</v>
      </c>
      <c r="M383" s="53">
        <f t="shared" si="2534"/>
        <v>0</v>
      </c>
      <c r="N383" s="54">
        <f t="shared" si="2535"/>
        <v>0</v>
      </c>
      <c r="O383" s="49">
        <f t="shared" ref="O383:P383" si="2661">SUM(K383,M383)</f>
        <v>0</v>
      </c>
      <c r="P383" s="50">
        <f t="shared" si="2661"/>
        <v>0</v>
      </c>
      <c r="Q383" s="73">
        <f t="shared" si="2537"/>
        <v>1</v>
      </c>
      <c r="R383" s="50">
        <f t="shared" si="2538"/>
        <v>1</v>
      </c>
      <c r="S383" s="53">
        <f t="shared" si="2539"/>
        <v>1</v>
      </c>
      <c r="T383" s="54">
        <f t="shared" si="2540"/>
        <v>3</v>
      </c>
      <c r="U383" s="53">
        <f t="shared" si="2541"/>
        <v>0</v>
      </c>
      <c r="V383" s="54">
        <f t="shared" si="2542"/>
        <v>0</v>
      </c>
      <c r="W383" s="53">
        <f t="shared" si="2543"/>
        <v>0</v>
      </c>
      <c r="X383" s="54">
        <f t="shared" si="2544"/>
        <v>0</v>
      </c>
      <c r="Y383" s="53">
        <f t="shared" si="2545"/>
        <v>1</v>
      </c>
      <c r="Z383" s="54">
        <f t="shared" si="2546"/>
        <v>3</v>
      </c>
      <c r="AA383" s="53">
        <f t="shared" si="2547"/>
        <v>1</v>
      </c>
      <c r="AB383" s="54">
        <f t="shared" si="2548"/>
        <v>3</v>
      </c>
      <c r="AC383" s="49">
        <f t="shared" ref="AC383:AD383" si="2662">SUM(S383,U383,W383,Y383,AA383)</f>
        <v>3</v>
      </c>
      <c r="AD383" s="50">
        <f t="shared" si="2662"/>
        <v>9</v>
      </c>
      <c r="AE383" s="53">
        <f t="shared" si="2550"/>
        <v>1</v>
      </c>
      <c r="AF383" s="54">
        <f t="shared" si="2551"/>
        <v>2</v>
      </c>
      <c r="AG383" s="53">
        <f t="shared" si="2552"/>
        <v>0</v>
      </c>
      <c r="AH383" s="54">
        <f t="shared" si="2553"/>
        <v>0</v>
      </c>
      <c r="AI383" s="53">
        <f t="shared" si="2554"/>
        <v>1</v>
      </c>
      <c r="AJ383" s="54">
        <f t="shared" si="2555"/>
        <v>1</v>
      </c>
      <c r="AK383" s="53">
        <f t="shared" si="2556"/>
        <v>2</v>
      </c>
      <c r="AL383" s="54">
        <f t="shared" si="2557"/>
        <v>4</v>
      </c>
      <c r="AM383" s="53">
        <f t="shared" si="2558"/>
        <v>1</v>
      </c>
      <c r="AN383" s="54">
        <f t="shared" si="2559"/>
        <v>3</v>
      </c>
      <c r="AO383" s="53">
        <f t="shared" si="2560"/>
        <v>1</v>
      </c>
      <c r="AP383" s="54">
        <f t="shared" si="2561"/>
        <v>1</v>
      </c>
      <c r="AQ383" s="49">
        <f t="shared" ref="AQ383:AR383" si="2663">SUM(AG383,AI383,AK383,AM383,AO383)</f>
        <v>5</v>
      </c>
      <c r="AR383" s="50">
        <f t="shared" si="2663"/>
        <v>9</v>
      </c>
      <c r="AS383" s="53">
        <f t="shared" si="2563"/>
        <v>0</v>
      </c>
      <c r="AT383" s="54">
        <f t="shared" si="2564"/>
        <v>0</v>
      </c>
      <c r="AU383" s="53">
        <f t="shared" si="2565"/>
        <v>2</v>
      </c>
      <c r="AV383" s="54">
        <f t="shared" si="2566"/>
        <v>4</v>
      </c>
      <c r="AW383" s="53">
        <f t="shared" si="2567"/>
        <v>1</v>
      </c>
      <c r="AX383" s="54">
        <f t="shared" si="2568"/>
        <v>2</v>
      </c>
      <c r="AY383" s="53">
        <f t="shared" si="2569"/>
        <v>1</v>
      </c>
      <c r="AZ383" s="54">
        <f t="shared" si="2570"/>
        <v>2</v>
      </c>
      <c r="BA383" s="53">
        <f t="shared" si="2571"/>
        <v>0</v>
      </c>
      <c r="BB383" s="54">
        <f t="shared" si="2572"/>
        <v>0</v>
      </c>
      <c r="BC383" s="49">
        <f t="shared" ref="BC383:BD383" si="2664">SUM(AS383,AU383,AW383,AY383,BA383)</f>
        <v>4</v>
      </c>
      <c r="BD383" s="50">
        <f t="shared" si="2664"/>
        <v>8</v>
      </c>
      <c r="BE383" s="68">
        <f t="shared" ref="BE383:BF383" si="2665">SUM(E383,G383,I383,O383,Q383,AC383,AQ383,BC383)</f>
        <v>16</v>
      </c>
      <c r="BF383" s="69">
        <f t="shared" si="2665"/>
        <v>31</v>
      </c>
      <c r="BG383" s="46" t="str">
        <f>BF383*'ОВгП_РАО'!$B$21</f>
        <v>#REF!</v>
      </c>
      <c r="BH383" s="46" t="str">
        <f>'ОВгП_РАО'!$B$21</f>
        <v>#REF!</v>
      </c>
    </row>
    <row r="384" ht="15.75" customHeight="1">
      <c r="A384" s="80">
        <f t="shared" si="2575"/>
        <v>46271</v>
      </c>
      <c r="B384" s="47" t="s">
        <v>142</v>
      </c>
      <c r="C384" s="46" t="s">
        <v>96</v>
      </c>
      <c r="D384" s="47" t="s">
        <v>98</v>
      </c>
      <c r="E384" s="73">
        <f t="shared" si="2526"/>
        <v>1</v>
      </c>
      <c r="F384" s="50">
        <f t="shared" si="2527"/>
        <v>3</v>
      </c>
      <c r="G384" s="73">
        <f t="shared" si="2528"/>
        <v>1</v>
      </c>
      <c r="H384" s="50">
        <f t="shared" si="2529"/>
        <v>1</v>
      </c>
      <c r="I384" s="73">
        <f t="shared" si="2530"/>
        <v>1</v>
      </c>
      <c r="J384" s="50">
        <f t="shared" si="2531"/>
        <v>1</v>
      </c>
      <c r="K384" s="53">
        <f t="shared" si="2532"/>
        <v>0</v>
      </c>
      <c r="L384" s="54">
        <f t="shared" si="2533"/>
        <v>0</v>
      </c>
      <c r="M384" s="53">
        <f t="shared" si="2534"/>
        <v>1</v>
      </c>
      <c r="N384" s="54">
        <f t="shared" si="2535"/>
        <v>3</v>
      </c>
      <c r="O384" s="49">
        <f t="shared" ref="O384:P384" si="2666">SUM(K384,M384)</f>
        <v>1</v>
      </c>
      <c r="P384" s="50">
        <f t="shared" si="2666"/>
        <v>3</v>
      </c>
      <c r="Q384" s="73">
        <f t="shared" si="2537"/>
        <v>0</v>
      </c>
      <c r="R384" s="50">
        <f t="shared" si="2538"/>
        <v>0</v>
      </c>
      <c r="S384" s="53">
        <f t="shared" si="2539"/>
        <v>1</v>
      </c>
      <c r="T384" s="54">
        <f t="shared" si="2540"/>
        <v>3</v>
      </c>
      <c r="U384" s="53">
        <f t="shared" si="2541"/>
        <v>2</v>
      </c>
      <c r="V384" s="54">
        <f t="shared" si="2542"/>
        <v>4</v>
      </c>
      <c r="W384" s="53">
        <f t="shared" si="2543"/>
        <v>1</v>
      </c>
      <c r="X384" s="54">
        <f t="shared" si="2544"/>
        <v>1</v>
      </c>
      <c r="Y384" s="53">
        <f t="shared" si="2545"/>
        <v>1</v>
      </c>
      <c r="Z384" s="54">
        <f t="shared" si="2546"/>
        <v>3</v>
      </c>
      <c r="AA384" s="53">
        <f t="shared" si="2547"/>
        <v>1</v>
      </c>
      <c r="AB384" s="54">
        <f t="shared" si="2548"/>
        <v>3</v>
      </c>
      <c r="AC384" s="49">
        <f t="shared" ref="AC384:AD384" si="2667">SUM(S384,U384,W384,Y384,AA384)</f>
        <v>6</v>
      </c>
      <c r="AD384" s="50">
        <f t="shared" si="2667"/>
        <v>14</v>
      </c>
      <c r="AE384" s="53">
        <f t="shared" si="2550"/>
        <v>1</v>
      </c>
      <c r="AF384" s="54">
        <f t="shared" si="2551"/>
        <v>3</v>
      </c>
      <c r="AG384" s="53">
        <f t="shared" si="2552"/>
        <v>0</v>
      </c>
      <c r="AH384" s="54">
        <f t="shared" si="2553"/>
        <v>0</v>
      </c>
      <c r="AI384" s="53">
        <f t="shared" si="2554"/>
        <v>1</v>
      </c>
      <c r="AJ384" s="54">
        <f t="shared" si="2555"/>
        <v>1</v>
      </c>
      <c r="AK384" s="53">
        <f t="shared" si="2556"/>
        <v>1</v>
      </c>
      <c r="AL384" s="54">
        <f t="shared" si="2557"/>
        <v>3</v>
      </c>
      <c r="AM384" s="53">
        <f t="shared" si="2558"/>
        <v>1</v>
      </c>
      <c r="AN384" s="54">
        <f t="shared" si="2559"/>
        <v>2</v>
      </c>
      <c r="AO384" s="53">
        <f t="shared" si="2560"/>
        <v>0</v>
      </c>
      <c r="AP384" s="54">
        <f t="shared" si="2561"/>
        <v>0</v>
      </c>
      <c r="AQ384" s="49">
        <f t="shared" ref="AQ384:AR384" si="2668">SUM(AG384,AI384,AK384,AM384,AO384)</f>
        <v>3</v>
      </c>
      <c r="AR384" s="50">
        <f t="shared" si="2668"/>
        <v>6</v>
      </c>
      <c r="AS384" s="53">
        <f t="shared" si="2563"/>
        <v>0</v>
      </c>
      <c r="AT384" s="54">
        <f t="shared" si="2564"/>
        <v>0</v>
      </c>
      <c r="AU384" s="53">
        <f t="shared" si="2565"/>
        <v>1</v>
      </c>
      <c r="AV384" s="54">
        <f t="shared" si="2566"/>
        <v>1</v>
      </c>
      <c r="AW384" s="53">
        <f t="shared" si="2567"/>
        <v>1</v>
      </c>
      <c r="AX384" s="54">
        <f t="shared" si="2568"/>
        <v>3</v>
      </c>
      <c r="AY384" s="53">
        <f t="shared" si="2569"/>
        <v>1</v>
      </c>
      <c r="AZ384" s="54">
        <f t="shared" si="2570"/>
        <v>1</v>
      </c>
      <c r="BA384" s="53">
        <f t="shared" si="2571"/>
        <v>1</v>
      </c>
      <c r="BB384" s="54">
        <f t="shared" si="2572"/>
        <v>1</v>
      </c>
      <c r="BC384" s="49">
        <f t="shared" ref="BC384:BD384" si="2669">SUM(AS384,AU384,AW384,AY384,BA384)</f>
        <v>4</v>
      </c>
      <c r="BD384" s="50">
        <f t="shared" si="2669"/>
        <v>6</v>
      </c>
      <c r="BE384" s="68">
        <f t="shared" ref="BE384:BF384" si="2670">SUM(E384,G384,I384,O384,Q384,AC384,AQ384,BC384)</f>
        <v>17</v>
      </c>
      <c r="BF384" s="69">
        <f t="shared" si="2670"/>
        <v>34</v>
      </c>
      <c r="BG384" s="46" t="str">
        <f>BF384*'ОВгП_РАО'!$B$22</f>
        <v>#REF!</v>
      </c>
      <c r="BH384" s="46" t="str">
        <f>'ОВгП_РАО'!$B$22</f>
        <v>#REF!</v>
      </c>
    </row>
    <row r="385" ht="15.75" customHeight="1">
      <c r="A385" s="80">
        <f t="shared" si="2575"/>
        <v>46271</v>
      </c>
      <c r="B385" s="47" t="s">
        <v>143</v>
      </c>
      <c r="C385" s="46" t="s">
        <v>96</v>
      </c>
      <c r="D385" s="47" t="s">
        <v>98</v>
      </c>
      <c r="E385" s="73">
        <f t="shared" si="2526"/>
        <v>1</v>
      </c>
      <c r="F385" s="50">
        <f t="shared" si="2527"/>
        <v>2</v>
      </c>
      <c r="G385" s="73">
        <f t="shared" si="2528"/>
        <v>1</v>
      </c>
      <c r="H385" s="50">
        <f t="shared" si="2529"/>
        <v>2</v>
      </c>
      <c r="I385" s="73">
        <f t="shared" si="2530"/>
        <v>0</v>
      </c>
      <c r="J385" s="50">
        <f t="shared" si="2531"/>
        <v>0</v>
      </c>
      <c r="K385" s="53">
        <f t="shared" si="2532"/>
        <v>0</v>
      </c>
      <c r="L385" s="54">
        <f t="shared" si="2533"/>
        <v>0</v>
      </c>
      <c r="M385" s="53">
        <f t="shared" si="2534"/>
        <v>1</v>
      </c>
      <c r="N385" s="54">
        <f t="shared" si="2535"/>
        <v>2</v>
      </c>
      <c r="O385" s="49">
        <f t="shared" ref="O385:P385" si="2671">SUM(K385,M385)</f>
        <v>1</v>
      </c>
      <c r="P385" s="50">
        <f t="shared" si="2671"/>
        <v>2</v>
      </c>
      <c r="Q385" s="73">
        <f t="shared" si="2537"/>
        <v>1</v>
      </c>
      <c r="R385" s="50">
        <f t="shared" si="2538"/>
        <v>3</v>
      </c>
      <c r="S385" s="53">
        <f t="shared" si="2539"/>
        <v>1</v>
      </c>
      <c r="T385" s="54">
        <f t="shared" si="2540"/>
        <v>3</v>
      </c>
      <c r="U385" s="53">
        <f t="shared" si="2541"/>
        <v>1</v>
      </c>
      <c r="V385" s="54">
        <f t="shared" si="2542"/>
        <v>3</v>
      </c>
      <c r="W385" s="53">
        <f t="shared" si="2543"/>
        <v>1</v>
      </c>
      <c r="X385" s="54">
        <f t="shared" si="2544"/>
        <v>3</v>
      </c>
      <c r="Y385" s="53">
        <f t="shared" si="2545"/>
        <v>1</v>
      </c>
      <c r="Z385" s="54">
        <f t="shared" si="2546"/>
        <v>1</v>
      </c>
      <c r="AA385" s="53">
        <f t="shared" si="2547"/>
        <v>1</v>
      </c>
      <c r="AB385" s="54">
        <f t="shared" si="2548"/>
        <v>2</v>
      </c>
      <c r="AC385" s="49">
        <f t="shared" ref="AC385:AD385" si="2672">SUM(S385,U385,W385,Y385,AA385)</f>
        <v>5</v>
      </c>
      <c r="AD385" s="50">
        <f t="shared" si="2672"/>
        <v>12</v>
      </c>
      <c r="AE385" s="53">
        <f t="shared" si="2550"/>
        <v>1</v>
      </c>
      <c r="AF385" s="54">
        <f t="shared" si="2551"/>
        <v>2</v>
      </c>
      <c r="AG385" s="53">
        <f t="shared" si="2552"/>
        <v>1</v>
      </c>
      <c r="AH385" s="54">
        <f t="shared" si="2553"/>
        <v>3</v>
      </c>
      <c r="AI385" s="53">
        <f t="shared" si="2554"/>
        <v>0</v>
      </c>
      <c r="AJ385" s="54">
        <f t="shared" si="2555"/>
        <v>0</v>
      </c>
      <c r="AK385" s="53">
        <f t="shared" si="2556"/>
        <v>0</v>
      </c>
      <c r="AL385" s="54">
        <f t="shared" si="2557"/>
        <v>0</v>
      </c>
      <c r="AM385" s="53">
        <f t="shared" si="2558"/>
        <v>2</v>
      </c>
      <c r="AN385" s="54">
        <f t="shared" si="2559"/>
        <v>4</v>
      </c>
      <c r="AO385" s="53">
        <f t="shared" si="2560"/>
        <v>1</v>
      </c>
      <c r="AP385" s="54">
        <f t="shared" si="2561"/>
        <v>3</v>
      </c>
      <c r="AQ385" s="49">
        <f t="shared" ref="AQ385:AR385" si="2673">SUM(AG385,AI385,AK385,AM385,AO385)</f>
        <v>4</v>
      </c>
      <c r="AR385" s="50">
        <f t="shared" si="2673"/>
        <v>10</v>
      </c>
      <c r="AS385" s="53">
        <f t="shared" si="2563"/>
        <v>1</v>
      </c>
      <c r="AT385" s="54">
        <f t="shared" si="2564"/>
        <v>3</v>
      </c>
      <c r="AU385" s="53">
        <f t="shared" si="2565"/>
        <v>1</v>
      </c>
      <c r="AV385" s="54">
        <f t="shared" si="2566"/>
        <v>1</v>
      </c>
      <c r="AW385" s="53">
        <f t="shared" si="2567"/>
        <v>1</v>
      </c>
      <c r="AX385" s="54">
        <f t="shared" si="2568"/>
        <v>3</v>
      </c>
      <c r="AY385" s="53">
        <f t="shared" si="2569"/>
        <v>0</v>
      </c>
      <c r="AZ385" s="54">
        <f t="shared" si="2570"/>
        <v>0</v>
      </c>
      <c r="BA385" s="53">
        <f t="shared" si="2571"/>
        <v>1</v>
      </c>
      <c r="BB385" s="54">
        <f t="shared" si="2572"/>
        <v>1</v>
      </c>
      <c r="BC385" s="49">
        <f t="shared" ref="BC385:BD385" si="2674">SUM(AS385,AU385,AW385,AY385,BA385)</f>
        <v>4</v>
      </c>
      <c r="BD385" s="50">
        <f t="shared" si="2674"/>
        <v>8</v>
      </c>
      <c r="BE385" s="68">
        <f t="shared" ref="BE385:BF385" si="2675">SUM(E385,G385,I385,O385,Q385,AC385,AQ385,BC385)</f>
        <v>17</v>
      </c>
      <c r="BF385" s="69">
        <f t="shared" si="2675"/>
        <v>39</v>
      </c>
      <c r="BG385" s="46" t="str">
        <f>BF385*'ОВгП_РАО'!$B$23</f>
        <v>#REF!</v>
      </c>
      <c r="BH385" s="46" t="str">
        <f>'ОВгП_РАО'!$B$23</f>
        <v>#REF!</v>
      </c>
    </row>
    <row r="386" ht="15.75" customHeight="1">
      <c r="A386" s="80">
        <f t="shared" si="2575"/>
        <v>46271</v>
      </c>
      <c r="B386" s="47" t="s">
        <v>144</v>
      </c>
      <c r="C386" s="46" t="s">
        <v>96</v>
      </c>
      <c r="D386" s="47" t="s">
        <v>145</v>
      </c>
      <c r="E386" s="73">
        <f t="shared" si="2526"/>
        <v>0</v>
      </c>
      <c r="F386" s="50">
        <f t="shared" si="2527"/>
        <v>0</v>
      </c>
      <c r="G386" s="73">
        <f t="shared" si="2528"/>
        <v>1</v>
      </c>
      <c r="H386" s="50">
        <f t="shared" si="2529"/>
        <v>3</v>
      </c>
      <c r="I386" s="73">
        <f t="shared" si="2530"/>
        <v>1</v>
      </c>
      <c r="J386" s="50">
        <f t="shared" si="2531"/>
        <v>1</v>
      </c>
      <c r="K386" s="53">
        <f t="shared" si="2532"/>
        <v>1</v>
      </c>
      <c r="L386" s="54">
        <f t="shared" si="2533"/>
        <v>1</v>
      </c>
      <c r="M386" s="53">
        <f t="shared" si="2534"/>
        <v>2</v>
      </c>
      <c r="N386" s="54">
        <f t="shared" si="2535"/>
        <v>4</v>
      </c>
      <c r="O386" s="49">
        <f t="shared" ref="O386:P386" si="2676">SUM(K386,M386)</f>
        <v>3</v>
      </c>
      <c r="P386" s="50">
        <f t="shared" si="2676"/>
        <v>5</v>
      </c>
      <c r="Q386" s="73">
        <f t="shared" si="2537"/>
        <v>1</v>
      </c>
      <c r="R386" s="50">
        <f t="shared" si="2538"/>
        <v>3</v>
      </c>
      <c r="S386" s="53">
        <f t="shared" si="2539"/>
        <v>1</v>
      </c>
      <c r="T386" s="54">
        <f t="shared" si="2540"/>
        <v>3</v>
      </c>
      <c r="U386" s="53">
        <f t="shared" si="2541"/>
        <v>1</v>
      </c>
      <c r="V386" s="54">
        <f t="shared" si="2542"/>
        <v>3</v>
      </c>
      <c r="W386" s="53">
        <f t="shared" si="2543"/>
        <v>2</v>
      </c>
      <c r="X386" s="54">
        <f t="shared" si="2544"/>
        <v>4</v>
      </c>
      <c r="Y386" s="53">
        <f t="shared" si="2545"/>
        <v>0</v>
      </c>
      <c r="Z386" s="54">
        <f t="shared" si="2546"/>
        <v>0</v>
      </c>
      <c r="AA386" s="53">
        <f t="shared" si="2547"/>
        <v>2</v>
      </c>
      <c r="AB386" s="54">
        <f t="shared" si="2548"/>
        <v>4</v>
      </c>
      <c r="AC386" s="49">
        <f t="shared" ref="AC386:AD386" si="2677">SUM(S386,U386,W386,Y386,AA386)</f>
        <v>6</v>
      </c>
      <c r="AD386" s="50">
        <f t="shared" si="2677"/>
        <v>14</v>
      </c>
      <c r="AE386" s="53">
        <f t="shared" si="2550"/>
        <v>0</v>
      </c>
      <c r="AF386" s="54">
        <f t="shared" si="2551"/>
        <v>0</v>
      </c>
      <c r="AG386" s="53">
        <f t="shared" si="2552"/>
        <v>0</v>
      </c>
      <c r="AH386" s="54">
        <f t="shared" si="2553"/>
        <v>0</v>
      </c>
      <c r="AI386" s="53">
        <f t="shared" si="2554"/>
        <v>1</v>
      </c>
      <c r="AJ386" s="54">
        <f t="shared" si="2555"/>
        <v>2</v>
      </c>
      <c r="AK386" s="53">
        <f t="shared" si="2556"/>
        <v>1</v>
      </c>
      <c r="AL386" s="54">
        <f t="shared" si="2557"/>
        <v>3</v>
      </c>
      <c r="AM386" s="53">
        <f t="shared" si="2558"/>
        <v>2</v>
      </c>
      <c r="AN386" s="54">
        <f t="shared" si="2559"/>
        <v>4</v>
      </c>
      <c r="AO386" s="53">
        <f t="shared" si="2560"/>
        <v>1</v>
      </c>
      <c r="AP386" s="54">
        <f t="shared" si="2561"/>
        <v>1</v>
      </c>
      <c r="AQ386" s="49">
        <f t="shared" ref="AQ386:AR386" si="2678">SUM(AG386,AI386,AK386,AM386,AO386)</f>
        <v>5</v>
      </c>
      <c r="AR386" s="50">
        <f t="shared" si="2678"/>
        <v>10</v>
      </c>
      <c r="AS386" s="53">
        <f t="shared" si="2563"/>
        <v>1</v>
      </c>
      <c r="AT386" s="54">
        <f t="shared" si="2564"/>
        <v>2</v>
      </c>
      <c r="AU386" s="53">
        <f t="shared" si="2565"/>
        <v>1</v>
      </c>
      <c r="AV386" s="54">
        <f t="shared" si="2566"/>
        <v>2</v>
      </c>
      <c r="AW386" s="53">
        <f t="shared" si="2567"/>
        <v>1</v>
      </c>
      <c r="AX386" s="54">
        <f t="shared" si="2568"/>
        <v>2</v>
      </c>
      <c r="AY386" s="53">
        <f t="shared" si="2569"/>
        <v>2</v>
      </c>
      <c r="AZ386" s="54">
        <f t="shared" si="2570"/>
        <v>4</v>
      </c>
      <c r="BA386" s="53">
        <f t="shared" si="2571"/>
        <v>2</v>
      </c>
      <c r="BB386" s="54">
        <f t="shared" si="2572"/>
        <v>4</v>
      </c>
      <c r="BC386" s="49">
        <f t="shared" ref="BC386:BD386" si="2679">SUM(AS386,AU386,AW386,AY386,BA386)</f>
        <v>7</v>
      </c>
      <c r="BD386" s="50">
        <f t="shared" si="2679"/>
        <v>14</v>
      </c>
      <c r="BE386" s="68">
        <f t="shared" ref="BE386:BF386" si="2680">SUM(E386,G386,I386,O386,Q386,AC386,AQ386,BC386)</f>
        <v>24</v>
      </c>
      <c r="BF386" s="69">
        <f t="shared" si="2680"/>
        <v>50</v>
      </c>
      <c r="BG386" s="46" t="str">
        <f>BF386*'ОВгП_РАО'!$B$24</f>
        <v>#REF!</v>
      </c>
      <c r="BH386" s="46" t="str">
        <f>'ОВгП_РАО'!$B$24</f>
        <v>#REF!</v>
      </c>
    </row>
    <row r="387" ht="15.75" customHeight="1">
      <c r="A387" s="80">
        <f t="shared" si="2575"/>
        <v>46271</v>
      </c>
      <c r="B387" s="47" t="s">
        <v>146</v>
      </c>
      <c r="C387" s="46" t="s">
        <v>96</v>
      </c>
      <c r="D387" s="47" t="s">
        <v>145</v>
      </c>
      <c r="E387" s="73">
        <f t="shared" si="2526"/>
        <v>1</v>
      </c>
      <c r="F387" s="50">
        <f t="shared" si="2527"/>
        <v>3</v>
      </c>
      <c r="G387" s="73">
        <f t="shared" si="2528"/>
        <v>1</v>
      </c>
      <c r="H387" s="50">
        <f t="shared" si="2529"/>
        <v>3</v>
      </c>
      <c r="I387" s="73">
        <f t="shared" si="2530"/>
        <v>1</v>
      </c>
      <c r="J387" s="50">
        <f t="shared" si="2531"/>
        <v>1</v>
      </c>
      <c r="K387" s="53">
        <f t="shared" si="2532"/>
        <v>2</v>
      </c>
      <c r="L387" s="54">
        <f t="shared" si="2533"/>
        <v>4</v>
      </c>
      <c r="M387" s="53">
        <f t="shared" si="2534"/>
        <v>1</v>
      </c>
      <c r="N387" s="54">
        <f t="shared" si="2535"/>
        <v>3</v>
      </c>
      <c r="O387" s="49">
        <f t="shared" ref="O387:P387" si="2681">SUM(K387,M387)</f>
        <v>3</v>
      </c>
      <c r="P387" s="50">
        <f t="shared" si="2681"/>
        <v>7</v>
      </c>
      <c r="Q387" s="73">
        <f t="shared" si="2537"/>
        <v>1</v>
      </c>
      <c r="R387" s="50">
        <f t="shared" si="2538"/>
        <v>1</v>
      </c>
      <c r="S387" s="53">
        <f t="shared" si="2539"/>
        <v>2</v>
      </c>
      <c r="T387" s="54">
        <f t="shared" si="2540"/>
        <v>4</v>
      </c>
      <c r="U387" s="53">
        <f t="shared" si="2541"/>
        <v>1</v>
      </c>
      <c r="V387" s="54">
        <f t="shared" si="2542"/>
        <v>1</v>
      </c>
      <c r="W387" s="53">
        <f t="shared" si="2543"/>
        <v>1</v>
      </c>
      <c r="X387" s="54">
        <f t="shared" si="2544"/>
        <v>1</v>
      </c>
      <c r="Y387" s="53">
        <f t="shared" si="2545"/>
        <v>2</v>
      </c>
      <c r="Z387" s="54">
        <f t="shared" si="2546"/>
        <v>4</v>
      </c>
      <c r="AA387" s="53">
        <f t="shared" si="2547"/>
        <v>1</v>
      </c>
      <c r="AB387" s="54">
        <f t="shared" si="2548"/>
        <v>3</v>
      </c>
      <c r="AC387" s="49">
        <f t="shared" ref="AC387:AD387" si="2682">SUM(S387,U387,W387,Y387,AA387)</f>
        <v>7</v>
      </c>
      <c r="AD387" s="50">
        <f t="shared" si="2682"/>
        <v>13</v>
      </c>
      <c r="AE387" s="53">
        <f t="shared" si="2550"/>
        <v>1</v>
      </c>
      <c r="AF387" s="54">
        <f t="shared" si="2551"/>
        <v>1</v>
      </c>
      <c r="AG387" s="53">
        <f t="shared" si="2552"/>
        <v>1</v>
      </c>
      <c r="AH387" s="54">
        <f t="shared" si="2553"/>
        <v>3</v>
      </c>
      <c r="AI387" s="53">
        <f t="shared" si="2554"/>
        <v>0</v>
      </c>
      <c r="AJ387" s="54">
        <f t="shared" si="2555"/>
        <v>0</v>
      </c>
      <c r="AK387" s="53">
        <f t="shared" si="2556"/>
        <v>2</v>
      </c>
      <c r="AL387" s="54">
        <f t="shared" si="2557"/>
        <v>4</v>
      </c>
      <c r="AM387" s="53">
        <f t="shared" si="2558"/>
        <v>2</v>
      </c>
      <c r="AN387" s="54">
        <f t="shared" si="2559"/>
        <v>4</v>
      </c>
      <c r="AO387" s="53">
        <f t="shared" si="2560"/>
        <v>1</v>
      </c>
      <c r="AP387" s="54">
        <f t="shared" si="2561"/>
        <v>3</v>
      </c>
      <c r="AQ387" s="49">
        <f t="shared" ref="AQ387:AR387" si="2683">SUM(AG387,AI387,AK387,AM387,AO387)</f>
        <v>6</v>
      </c>
      <c r="AR387" s="50">
        <f t="shared" si="2683"/>
        <v>14</v>
      </c>
      <c r="AS387" s="53">
        <f t="shared" si="2563"/>
        <v>1</v>
      </c>
      <c r="AT387" s="54">
        <f t="shared" si="2564"/>
        <v>2</v>
      </c>
      <c r="AU387" s="53">
        <f t="shared" si="2565"/>
        <v>1</v>
      </c>
      <c r="AV387" s="54">
        <f t="shared" si="2566"/>
        <v>2</v>
      </c>
      <c r="AW387" s="53">
        <f t="shared" si="2567"/>
        <v>1</v>
      </c>
      <c r="AX387" s="54">
        <f t="shared" si="2568"/>
        <v>1</v>
      </c>
      <c r="AY387" s="53">
        <f t="shared" si="2569"/>
        <v>1</v>
      </c>
      <c r="AZ387" s="54">
        <f t="shared" si="2570"/>
        <v>3</v>
      </c>
      <c r="BA387" s="53">
        <f t="shared" si="2571"/>
        <v>0</v>
      </c>
      <c r="BB387" s="54">
        <f t="shared" si="2572"/>
        <v>0</v>
      </c>
      <c r="BC387" s="49">
        <f t="shared" ref="BC387:BD387" si="2684">SUM(AS387,AU387,AW387,AY387,BA387)</f>
        <v>4</v>
      </c>
      <c r="BD387" s="50">
        <f t="shared" si="2684"/>
        <v>8</v>
      </c>
      <c r="BE387" s="68">
        <f t="shared" ref="BE387:BF387" si="2685">SUM(E387,G387,I387,O387,Q387,AC387,AQ387,BC387)</f>
        <v>24</v>
      </c>
      <c r="BF387" s="69">
        <f t="shared" si="2685"/>
        <v>50</v>
      </c>
      <c r="BG387" s="46" t="str">
        <f>BF387*'ОВгП_РАО'!$B$25</f>
        <v>#REF!</v>
      </c>
      <c r="BH387" s="46" t="str">
        <f>'ОВгП_РАО'!$B$25</f>
        <v>#REF!</v>
      </c>
    </row>
    <row r="388" ht="15.75" customHeight="1">
      <c r="A388" s="80">
        <f t="shared" si="2575"/>
        <v>46271</v>
      </c>
      <c r="B388" s="47" t="s">
        <v>147</v>
      </c>
      <c r="C388" s="46" t="s">
        <v>96</v>
      </c>
      <c r="D388" s="47" t="s">
        <v>148</v>
      </c>
      <c r="E388" s="73">
        <f t="shared" si="2526"/>
        <v>0</v>
      </c>
      <c r="F388" s="50">
        <f t="shared" si="2527"/>
        <v>0</v>
      </c>
      <c r="G388" s="73">
        <f t="shared" si="2528"/>
        <v>1</v>
      </c>
      <c r="H388" s="50">
        <f t="shared" si="2529"/>
        <v>2</v>
      </c>
      <c r="I388" s="73">
        <f t="shared" si="2530"/>
        <v>2</v>
      </c>
      <c r="J388" s="50">
        <f t="shared" si="2531"/>
        <v>4</v>
      </c>
      <c r="K388" s="53">
        <f t="shared" si="2532"/>
        <v>1</v>
      </c>
      <c r="L388" s="54">
        <f t="shared" si="2533"/>
        <v>3</v>
      </c>
      <c r="M388" s="53">
        <f t="shared" si="2534"/>
        <v>1</v>
      </c>
      <c r="N388" s="54">
        <f t="shared" si="2535"/>
        <v>1</v>
      </c>
      <c r="O388" s="49">
        <f t="shared" ref="O388:P388" si="2686">SUM(K388,M388)</f>
        <v>2</v>
      </c>
      <c r="P388" s="50">
        <f t="shared" si="2686"/>
        <v>4</v>
      </c>
      <c r="Q388" s="73">
        <f t="shared" si="2537"/>
        <v>1</v>
      </c>
      <c r="R388" s="50">
        <f t="shared" si="2538"/>
        <v>2</v>
      </c>
      <c r="S388" s="53">
        <f t="shared" si="2539"/>
        <v>2</v>
      </c>
      <c r="T388" s="54">
        <f t="shared" si="2540"/>
        <v>4</v>
      </c>
      <c r="U388" s="53">
        <f t="shared" si="2541"/>
        <v>2</v>
      </c>
      <c r="V388" s="54">
        <f t="shared" si="2542"/>
        <v>4</v>
      </c>
      <c r="W388" s="53">
        <f t="shared" si="2543"/>
        <v>0</v>
      </c>
      <c r="X388" s="54">
        <f t="shared" si="2544"/>
        <v>0</v>
      </c>
      <c r="Y388" s="53">
        <f t="shared" si="2545"/>
        <v>1</v>
      </c>
      <c r="Z388" s="54">
        <f t="shared" si="2546"/>
        <v>2</v>
      </c>
      <c r="AA388" s="53">
        <f t="shared" si="2547"/>
        <v>1</v>
      </c>
      <c r="AB388" s="54">
        <f t="shared" si="2548"/>
        <v>1</v>
      </c>
      <c r="AC388" s="49">
        <f t="shared" ref="AC388:AD388" si="2687">SUM(S388,U388,W388,Y388,AA388)</f>
        <v>6</v>
      </c>
      <c r="AD388" s="50">
        <f t="shared" si="2687"/>
        <v>11</v>
      </c>
      <c r="AE388" s="53">
        <f t="shared" si="2550"/>
        <v>0</v>
      </c>
      <c r="AF388" s="54">
        <f t="shared" si="2551"/>
        <v>0</v>
      </c>
      <c r="AG388" s="53">
        <f t="shared" si="2552"/>
        <v>0</v>
      </c>
      <c r="AH388" s="54">
        <f t="shared" si="2553"/>
        <v>0</v>
      </c>
      <c r="AI388" s="53">
        <f t="shared" si="2554"/>
        <v>1</v>
      </c>
      <c r="AJ388" s="54">
        <f t="shared" si="2555"/>
        <v>2</v>
      </c>
      <c r="AK388" s="53">
        <f t="shared" si="2556"/>
        <v>1</v>
      </c>
      <c r="AL388" s="54">
        <f t="shared" si="2557"/>
        <v>1</v>
      </c>
      <c r="AM388" s="53">
        <f t="shared" si="2558"/>
        <v>1</v>
      </c>
      <c r="AN388" s="54">
        <f t="shared" si="2559"/>
        <v>1</v>
      </c>
      <c r="AO388" s="53">
        <f t="shared" si="2560"/>
        <v>1</v>
      </c>
      <c r="AP388" s="54">
        <f t="shared" si="2561"/>
        <v>3</v>
      </c>
      <c r="AQ388" s="49">
        <f t="shared" ref="AQ388:AR388" si="2688">SUM(AG388,AI388,AK388,AM388,AO388)</f>
        <v>4</v>
      </c>
      <c r="AR388" s="50">
        <f t="shared" si="2688"/>
        <v>7</v>
      </c>
      <c r="AS388" s="53">
        <f t="shared" si="2563"/>
        <v>2</v>
      </c>
      <c r="AT388" s="54">
        <f t="shared" si="2564"/>
        <v>4</v>
      </c>
      <c r="AU388" s="53">
        <f t="shared" si="2565"/>
        <v>1</v>
      </c>
      <c r="AV388" s="54">
        <f t="shared" si="2566"/>
        <v>3</v>
      </c>
      <c r="AW388" s="53">
        <f t="shared" si="2567"/>
        <v>2</v>
      </c>
      <c r="AX388" s="54">
        <f t="shared" si="2568"/>
        <v>4</v>
      </c>
      <c r="AY388" s="53">
        <f t="shared" si="2569"/>
        <v>1</v>
      </c>
      <c r="AZ388" s="54">
        <f t="shared" si="2570"/>
        <v>2</v>
      </c>
      <c r="BA388" s="53">
        <f t="shared" si="2571"/>
        <v>0</v>
      </c>
      <c r="BB388" s="54">
        <f t="shared" si="2572"/>
        <v>0</v>
      </c>
      <c r="BC388" s="49">
        <f t="shared" ref="BC388:BD388" si="2689">SUM(AS388,AU388,AW388,AY388,BA388)</f>
        <v>6</v>
      </c>
      <c r="BD388" s="50">
        <f t="shared" si="2689"/>
        <v>13</v>
      </c>
      <c r="BE388" s="68">
        <f t="shared" ref="BE388:BF388" si="2690">SUM(E388,G388,I388,O388,Q388,AC388,AQ388,BC388)</f>
        <v>22</v>
      </c>
      <c r="BF388" s="69">
        <f t="shared" si="2690"/>
        <v>43</v>
      </c>
      <c r="BG388" s="46" t="str">
        <f>BF388*'ОВгП_РАО'!$B$26</f>
        <v>#REF!</v>
      </c>
      <c r="BH388" s="46" t="str">
        <f>'ОВгП_РАО'!$B$26</f>
        <v>#REF!</v>
      </c>
    </row>
    <row r="389" ht="15.75" customHeight="1">
      <c r="A389" s="80">
        <f t="shared" si="2575"/>
        <v>46271</v>
      </c>
      <c r="B389" s="47" t="s">
        <v>149</v>
      </c>
      <c r="C389" s="47" t="s">
        <v>122</v>
      </c>
      <c r="D389" s="47" t="s">
        <v>150</v>
      </c>
      <c r="E389" s="73">
        <f t="shared" si="2526"/>
        <v>1</v>
      </c>
      <c r="F389" s="50">
        <f t="shared" si="2527"/>
        <v>1</v>
      </c>
      <c r="G389" s="73">
        <f t="shared" si="2528"/>
        <v>1</v>
      </c>
      <c r="H389" s="50">
        <f t="shared" si="2529"/>
        <v>2</v>
      </c>
      <c r="I389" s="73">
        <f t="shared" si="2530"/>
        <v>1</v>
      </c>
      <c r="J389" s="50">
        <f t="shared" si="2531"/>
        <v>1</v>
      </c>
      <c r="K389" s="53">
        <f t="shared" si="2532"/>
        <v>0</v>
      </c>
      <c r="L389" s="54">
        <f t="shared" si="2533"/>
        <v>0</v>
      </c>
      <c r="M389" s="53">
        <f t="shared" si="2534"/>
        <v>1</v>
      </c>
      <c r="N389" s="54">
        <f t="shared" si="2535"/>
        <v>3</v>
      </c>
      <c r="O389" s="49">
        <f t="shared" ref="O389:P389" si="2691">SUM(K389,M389)</f>
        <v>1</v>
      </c>
      <c r="P389" s="50">
        <f t="shared" si="2691"/>
        <v>3</v>
      </c>
      <c r="Q389" s="73">
        <f t="shared" si="2537"/>
        <v>1</v>
      </c>
      <c r="R389" s="50">
        <f t="shared" si="2538"/>
        <v>3</v>
      </c>
      <c r="S389" s="53">
        <f t="shared" si="2539"/>
        <v>1</v>
      </c>
      <c r="T389" s="54">
        <f t="shared" si="2540"/>
        <v>3</v>
      </c>
      <c r="U389" s="53">
        <f t="shared" si="2541"/>
        <v>1</v>
      </c>
      <c r="V389" s="54">
        <f t="shared" si="2542"/>
        <v>1</v>
      </c>
      <c r="W389" s="53">
        <f t="shared" si="2543"/>
        <v>1</v>
      </c>
      <c r="X389" s="54">
        <f t="shared" si="2544"/>
        <v>1</v>
      </c>
      <c r="Y389" s="53">
        <f t="shared" si="2545"/>
        <v>0</v>
      </c>
      <c r="Z389" s="54">
        <f t="shared" si="2546"/>
        <v>0</v>
      </c>
      <c r="AA389" s="53">
        <f t="shared" si="2547"/>
        <v>1</v>
      </c>
      <c r="AB389" s="54">
        <f t="shared" si="2548"/>
        <v>3</v>
      </c>
      <c r="AC389" s="49">
        <f t="shared" ref="AC389:AD389" si="2692">SUM(S389,U389,W389,Y389,AA389)</f>
        <v>4</v>
      </c>
      <c r="AD389" s="50">
        <f t="shared" si="2692"/>
        <v>8</v>
      </c>
      <c r="AE389" s="53">
        <f t="shared" si="2550"/>
        <v>2</v>
      </c>
      <c r="AF389" s="54">
        <f t="shared" si="2551"/>
        <v>4</v>
      </c>
      <c r="AG389" s="53">
        <f t="shared" si="2552"/>
        <v>0</v>
      </c>
      <c r="AH389" s="54">
        <f t="shared" si="2553"/>
        <v>0</v>
      </c>
      <c r="AI389" s="53">
        <f t="shared" si="2554"/>
        <v>0</v>
      </c>
      <c r="AJ389" s="54">
        <f t="shared" si="2555"/>
        <v>0</v>
      </c>
      <c r="AK389" s="53">
        <f t="shared" si="2556"/>
        <v>2</v>
      </c>
      <c r="AL389" s="54">
        <f t="shared" si="2557"/>
        <v>4</v>
      </c>
      <c r="AM389" s="53">
        <f t="shared" si="2558"/>
        <v>0</v>
      </c>
      <c r="AN389" s="54">
        <f t="shared" si="2559"/>
        <v>0</v>
      </c>
      <c r="AO389" s="53">
        <f t="shared" si="2560"/>
        <v>2</v>
      </c>
      <c r="AP389" s="54">
        <f t="shared" si="2561"/>
        <v>4</v>
      </c>
      <c r="AQ389" s="49">
        <f t="shared" ref="AQ389:AR389" si="2693">SUM(AG389,AI389,AK389,AM389,AO389)</f>
        <v>4</v>
      </c>
      <c r="AR389" s="50">
        <f t="shared" si="2693"/>
        <v>8</v>
      </c>
      <c r="AS389" s="53">
        <f t="shared" si="2563"/>
        <v>1</v>
      </c>
      <c r="AT389" s="54">
        <f t="shared" si="2564"/>
        <v>3</v>
      </c>
      <c r="AU389" s="53">
        <f t="shared" si="2565"/>
        <v>1</v>
      </c>
      <c r="AV389" s="54">
        <f t="shared" si="2566"/>
        <v>1</v>
      </c>
      <c r="AW389" s="53">
        <f t="shared" si="2567"/>
        <v>1</v>
      </c>
      <c r="AX389" s="54">
        <f t="shared" si="2568"/>
        <v>1</v>
      </c>
      <c r="AY389" s="53">
        <f t="shared" si="2569"/>
        <v>1</v>
      </c>
      <c r="AZ389" s="54">
        <f t="shared" si="2570"/>
        <v>2</v>
      </c>
      <c r="BA389" s="53">
        <f t="shared" si="2571"/>
        <v>1</v>
      </c>
      <c r="BB389" s="54">
        <f t="shared" si="2572"/>
        <v>3</v>
      </c>
      <c r="BC389" s="49">
        <f t="shared" ref="BC389:BD389" si="2694">SUM(AS389,AU389,AW389,AY389,BA389)</f>
        <v>5</v>
      </c>
      <c r="BD389" s="50">
        <f t="shared" si="2694"/>
        <v>10</v>
      </c>
      <c r="BE389" s="68">
        <f t="shared" ref="BE389:BF389" si="2695">SUM(E389,G389,I389,O389,Q389,AC389,AQ389,BC389)</f>
        <v>18</v>
      </c>
      <c r="BF389" s="69">
        <f t="shared" si="2695"/>
        <v>36</v>
      </c>
      <c r="BG389" s="46" t="str">
        <f>BF389*'ОВгП_РАО'!$B$27</f>
        <v>#REF!</v>
      </c>
      <c r="BH389" s="46" t="str">
        <f>'ОВгП_РАО'!$B$27</f>
        <v>#REF!</v>
      </c>
    </row>
    <row r="390" ht="15.75" customHeight="1">
      <c r="A390" s="80">
        <f t="shared" si="2575"/>
        <v>46271</v>
      </c>
      <c r="B390" s="47" t="s">
        <v>151</v>
      </c>
      <c r="C390" s="47" t="s">
        <v>122</v>
      </c>
      <c r="D390" s="47" t="s">
        <v>152</v>
      </c>
      <c r="E390" s="73">
        <f t="shared" si="2526"/>
        <v>23</v>
      </c>
      <c r="F390" s="50">
        <f t="shared" ref="F390:F398" si="2701">RANDBETWEEN(0,100)</f>
        <v>69</v>
      </c>
      <c r="G390" s="73">
        <f t="shared" si="2528"/>
        <v>12</v>
      </c>
      <c r="H390" s="50">
        <f t="shared" ref="H390:H398" si="2702">RANDBETWEEN(0,100)</f>
        <v>35</v>
      </c>
      <c r="I390" s="73">
        <f t="shared" si="2530"/>
        <v>13</v>
      </c>
      <c r="J390" s="50">
        <f t="shared" ref="J390:J398" si="2703">RANDBETWEEN(0,100)</f>
        <v>37</v>
      </c>
      <c r="K390" s="53">
        <f t="shared" si="2532"/>
        <v>14</v>
      </c>
      <c r="L390" s="54">
        <f t="shared" ref="L390:L398" si="2704">RANDBETWEEN(0,100)</f>
        <v>41</v>
      </c>
      <c r="M390" s="53">
        <f t="shared" si="2534"/>
        <v>29</v>
      </c>
      <c r="N390" s="54">
        <f t="shared" ref="N390:N398" si="2705">RANDBETWEEN(0,100)</f>
        <v>87</v>
      </c>
      <c r="O390" s="49">
        <f t="shared" ref="O390:P390" si="2696">SUM(K390,M390)</f>
        <v>43</v>
      </c>
      <c r="P390" s="50">
        <f t="shared" si="2696"/>
        <v>128</v>
      </c>
      <c r="Q390" s="73">
        <f t="shared" si="2537"/>
        <v>27</v>
      </c>
      <c r="R390" s="50">
        <f t="shared" ref="R390:R398" si="2707">RANDBETWEEN(0,100)</f>
        <v>79</v>
      </c>
      <c r="S390" s="53">
        <f t="shared" si="2539"/>
        <v>16</v>
      </c>
      <c r="T390" s="54">
        <f t="shared" ref="T390:T398" si="2708">RANDBETWEEN(0,300)</f>
        <v>47</v>
      </c>
      <c r="U390" s="53">
        <f t="shared" si="2541"/>
        <v>19</v>
      </c>
      <c r="V390" s="54">
        <f t="shared" ref="V390:V398" si="2709">RANDBETWEEN(0,300)</f>
        <v>56</v>
      </c>
      <c r="W390" s="53">
        <f t="shared" si="2543"/>
        <v>41</v>
      </c>
      <c r="X390" s="54">
        <f t="shared" ref="X390:X398" si="2710">RANDBETWEEN(0,300)</f>
        <v>121</v>
      </c>
      <c r="Y390" s="53">
        <f t="shared" si="2545"/>
        <v>12</v>
      </c>
      <c r="Z390" s="54">
        <f t="shared" ref="Z390:Z398" si="2711">RANDBETWEEN(0,300)</f>
        <v>35</v>
      </c>
      <c r="AA390" s="53">
        <f t="shared" si="2547"/>
        <v>40</v>
      </c>
      <c r="AB390" s="54">
        <f t="shared" ref="AB390:AB398" si="2712">RANDBETWEEN(0,300)</f>
        <v>118</v>
      </c>
      <c r="AC390" s="49">
        <f t="shared" ref="AC390:AD390" si="2697">SUM(S390,U390,W390,Y390,AA390)</f>
        <v>128</v>
      </c>
      <c r="AD390" s="50">
        <f t="shared" si="2697"/>
        <v>377</v>
      </c>
      <c r="AE390" s="53">
        <f t="shared" si="2550"/>
        <v>155</v>
      </c>
      <c r="AF390" s="54">
        <f>RANDBETWEEN(100,500)</f>
        <v>465</v>
      </c>
      <c r="AG390" s="53">
        <f t="shared" si="2552"/>
        <v>122</v>
      </c>
      <c r="AH390" s="54">
        <f>RANDBETWEEN(100,500)</f>
        <v>365</v>
      </c>
      <c r="AI390" s="53">
        <f t="shared" si="2554"/>
        <v>105</v>
      </c>
      <c r="AJ390" s="54">
        <f>RANDBETWEEN(100,500)</f>
        <v>314</v>
      </c>
      <c r="AK390" s="53">
        <f t="shared" si="2556"/>
        <v>80</v>
      </c>
      <c r="AL390" s="54">
        <f>RANDBETWEEN(100,500)</f>
        <v>238</v>
      </c>
      <c r="AM390" s="53">
        <f t="shared" si="2558"/>
        <v>135</v>
      </c>
      <c r="AN390" s="54">
        <f>RANDBETWEEN(100,500)</f>
        <v>405</v>
      </c>
      <c r="AO390" s="53">
        <f t="shared" si="2560"/>
        <v>158</v>
      </c>
      <c r="AP390" s="54">
        <f>RANDBETWEEN(100,500)</f>
        <v>473</v>
      </c>
      <c r="AQ390" s="49">
        <f t="shared" ref="AQ390:AR390" si="2698">SUM(AG390,AI390,AK390,AM390,AO390)</f>
        <v>600</v>
      </c>
      <c r="AR390" s="50">
        <f t="shared" si="2698"/>
        <v>1795</v>
      </c>
      <c r="AS390" s="53">
        <f t="shared" si="2563"/>
        <v>119</v>
      </c>
      <c r="AT390" s="54">
        <f>RANDBETWEEN(100,500)</f>
        <v>356</v>
      </c>
      <c r="AU390" s="53">
        <f t="shared" si="2565"/>
        <v>162</v>
      </c>
      <c r="AV390" s="54">
        <f>RANDBETWEEN(100,500)</f>
        <v>486</v>
      </c>
      <c r="AW390" s="53">
        <f t="shared" si="2567"/>
        <v>52</v>
      </c>
      <c r="AX390" s="54">
        <f>RANDBETWEEN(100,500)</f>
        <v>154</v>
      </c>
      <c r="AY390" s="53">
        <f t="shared" si="2569"/>
        <v>70</v>
      </c>
      <c r="AZ390" s="54">
        <f>RANDBETWEEN(100,500)</f>
        <v>208</v>
      </c>
      <c r="BA390" s="53">
        <f t="shared" si="2571"/>
        <v>165</v>
      </c>
      <c r="BB390" s="54">
        <f>RANDBETWEEN(100,500)</f>
        <v>495</v>
      </c>
      <c r="BC390" s="49">
        <f t="shared" ref="BC390:BD390" si="2699">SUM(AS390,AU390,AW390,AY390,BA390)</f>
        <v>568</v>
      </c>
      <c r="BD390" s="50">
        <f t="shared" si="2699"/>
        <v>1699</v>
      </c>
      <c r="BE390" s="68">
        <f t="shared" ref="BE390:BF390" si="2700">SUM(E390,G390,I390,O390,Q390,AC390,AQ390,BC390)</f>
        <v>1414</v>
      </c>
      <c r="BF390" s="69">
        <f t="shared" si="2700"/>
        <v>4219</v>
      </c>
      <c r="BG390" s="46" t="str">
        <f>BF390*'ОВгП_РАО'!$B$28</f>
        <v>#REF!</v>
      </c>
      <c r="BH390" s="46" t="str">
        <f>'ОВгП_РАО'!$B$28</f>
        <v>#REF!</v>
      </c>
    </row>
    <row r="391" ht="15.75" customHeight="1">
      <c r="A391" s="80">
        <f t="shared" si="2575"/>
        <v>46271</v>
      </c>
      <c r="B391" s="47" t="s">
        <v>153</v>
      </c>
      <c r="C391" s="47" t="s">
        <v>122</v>
      </c>
      <c r="D391" s="47" t="s">
        <v>152</v>
      </c>
      <c r="E391" s="73">
        <f t="shared" si="2526"/>
        <v>13</v>
      </c>
      <c r="F391" s="50">
        <f t="shared" si="2701"/>
        <v>39</v>
      </c>
      <c r="G391" s="73">
        <f t="shared" si="2528"/>
        <v>4</v>
      </c>
      <c r="H391" s="50">
        <f t="shared" si="2702"/>
        <v>11</v>
      </c>
      <c r="I391" s="73">
        <f t="shared" si="2530"/>
        <v>31</v>
      </c>
      <c r="J391" s="50">
        <f t="shared" si="2703"/>
        <v>92</v>
      </c>
      <c r="K391" s="53">
        <f t="shared" si="2532"/>
        <v>18</v>
      </c>
      <c r="L391" s="54">
        <f t="shared" si="2704"/>
        <v>52</v>
      </c>
      <c r="M391" s="53">
        <f t="shared" si="2534"/>
        <v>11</v>
      </c>
      <c r="N391" s="54">
        <f t="shared" si="2705"/>
        <v>31</v>
      </c>
      <c r="O391" s="49">
        <f t="shared" ref="O391:P391" si="2706">SUM(K391,M391)</f>
        <v>29</v>
      </c>
      <c r="P391" s="50">
        <f t="shared" si="2706"/>
        <v>83</v>
      </c>
      <c r="Q391" s="73">
        <f t="shared" si="2537"/>
        <v>7</v>
      </c>
      <c r="R391" s="50">
        <f t="shared" si="2707"/>
        <v>21</v>
      </c>
      <c r="S391" s="53">
        <f t="shared" si="2539"/>
        <v>1</v>
      </c>
      <c r="T391" s="54">
        <f t="shared" si="2708"/>
        <v>2</v>
      </c>
      <c r="U391" s="53">
        <f t="shared" si="2541"/>
        <v>33</v>
      </c>
      <c r="V391" s="54">
        <f t="shared" si="2709"/>
        <v>99</v>
      </c>
      <c r="W391" s="53">
        <f t="shared" si="2543"/>
        <v>70</v>
      </c>
      <c r="X391" s="54">
        <f t="shared" si="2710"/>
        <v>210</v>
      </c>
      <c r="Y391" s="53">
        <f t="shared" si="2545"/>
        <v>52</v>
      </c>
      <c r="Z391" s="54">
        <f t="shared" si="2711"/>
        <v>154</v>
      </c>
      <c r="AA391" s="53">
        <f t="shared" si="2547"/>
        <v>42</v>
      </c>
      <c r="AB391" s="54">
        <f t="shared" si="2712"/>
        <v>126</v>
      </c>
      <c r="AC391" s="49">
        <f t="shared" ref="AC391:AD391" si="2713">SUM(S391,U391,W391,Y391,AA391)</f>
        <v>198</v>
      </c>
      <c r="AD391" s="50">
        <f t="shared" si="2713"/>
        <v>591</v>
      </c>
      <c r="AE391" s="53">
        <f t="shared" si="2550"/>
        <v>90</v>
      </c>
      <c r="AF391" s="54">
        <f t="shared" ref="AF391:AF398" si="2719">RANDBETWEEN(0,300)</f>
        <v>269</v>
      </c>
      <c r="AG391" s="53">
        <f t="shared" si="2552"/>
        <v>71</v>
      </c>
      <c r="AH391" s="54">
        <f t="shared" ref="AH391:AH398" si="2720">RANDBETWEEN(0,300)</f>
        <v>212</v>
      </c>
      <c r="AI391" s="53">
        <f t="shared" si="2554"/>
        <v>100</v>
      </c>
      <c r="AJ391" s="54">
        <f t="shared" ref="AJ391:AJ398" si="2721">RANDBETWEEN(0,300)</f>
        <v>300</v>
      </c>
      <c r="AK391" s="53">
        <f t="shared" si="2556"/>
        <v>95</v>
      </c>
      <c r="AL391" s="54">
        <f t="shared" ref="AL391:AL398" si="2722">RANDBETWEEN(0,300)</f>
        <v>284</v>
      </c>
      <c r="AM391" s="53">
        <f t="shared" si="2558"/>
        <v>32</v>
      </c>
      <c r="AN391" s="54">
        <f t="shared" ref="AN391:AN398" si="2723">RANDBETWEEN(0,300)</f>
        <v>96</v>
      </c>
      <c r="AO391" s="53">
        <f t="shared" si="2560"/>
        <v>19</v>
      </c>
      <c r="AP391" s="54">
        <f t="shared" ref="AP391:AP398" si="2724">RANDBETWEEN(0,300)</f>
        <v>56</v>
      </c>
      <c r="AQ391" s="49">
        <f t="shared" ref="AQ391:AR391" si="2714">SUM(AG391,AI391,AK391,AM391,AO391)</f>
        <v>317</v>
      </c>
      <c r="AR391" s="50">
        <f t="shared" si="2714"/>
        <v>948</v>
      </c>
      <c r="AS391" s="53">
        <f t="shared" si="2563"/>
        <v>21</v>
      </c>
      <c r="AT391" s="54">
        <f t="shared" ref="AT391:AT392" si="2726">RANDBETWEEN(0,300)</f>
        <v>63</v>
      </c>
      <c r="AU391" s="53">
        <f t="shared" si="2565"/>
        <v>35</v>
      </c>
      <c r="AV391" s="54">
        <f t="shared" ref="AV391:AV392" si="2727">RANDBETWEEN(0,300)</f>
        <v>104</v>
      </c>
      <c r="AW391" s="53">
        <f t="shared" si="2567"/>
        <v>21</v>
      </c>
      <c r="AX391" s="54">
        <f t="shared" ref="AX391:AX392" si="2728">RANDBETWEEN(0,300)</f>
        <v>61</v>
      </c>
      <c r="AY391" s="53">
        <f t="shared" si="2569"/>
        <v>88</v>
      </c>
      <c r="AZ391" s="54">
        <f t="shared" ref="AZ391:AZ392" si="2729">RANDBETWEEN(0,300)</f>
        <v>264</v>
      </c>
      <c r="BA391" s="53">
        <f t="shared" si="2571"/>
        <v>76</v>
      </c>
      <c r="BB391" s="54">
        <f t="shared" ref="BB391:BB392" si="2730">RANDBETWEEN(0,300)</f>
        <v>228</v>
      </c>
      <c r="BC391" s="49">
        <f t="shared" ref="BC391:BD391" si="2715">SUM(AS391,AU391,AW391,AY391,BA391)</f>
        <v>241</v>
      </c>
      <c r="BD391" s="50">
        <f t="shared" si="2715"/>
        <v>720</v>
      </c>
      <c r="BE391" s="68">
        <f t="shared" ref="BE391:BF391" si="2716">SUM(E391,G391,I391,O391,Q391,AC391,AQ391,BC391)</f>
        <v>840</v>
      </c>
      <c r="BF391" s="69">
        <f t="shared" si="2716"/>
        <v>2505</v>
      </c>
      <c r="BG391" s="46" t="str">
        <f>BF391*'ОВгП_РАО'!$B$29</f>
        <v>#REF!</v>
      </c>
      <c r="BH391" s="46" t="str">
        <f>'ОВгП_РАО'!$B$29</f>
        <v>#REF!</v>
      </c>
    </row>
    <row r="392" ht="15.75" customHeight="1">
      <c r="A392" s="80">
        <f t="shared" si="2575"/>
        <v>46271</v>
      </c>
      <c r="B392" s="47" t="s">
        <v>154</v>
      </c>
      <c r="C392" s="47" t="s">
        <v>122</v>
      </c>
      <c r="D392" s="47" t="s">
        <v>152</v>
      </c>
      <c r="E392" s="73">
        <f t="shared" si="2526"/>
        <v>11</v>
      </c>
      <c r="F392" s="50">
        <f t="shared" si="2701"/>
        <v>33</v>
      </c>
      <c r="G392" s="73">
        <f t="shared" si="2528"/>
        <v>10</v>
      </c>
      <c r="H392" s="50">
        <f t="shared" si="2702"/>
        <v>30</v>
      </c>
      <c r="I392" s="73">
        <f t="shared" si="2530"/>
        <v>25</v>
      </c>
      <c r="J392" s="50">
        <f t="shared" si="2703"/>
        <v>75</v>
      </c>
      <c r="K392" s="53">
        <f t="shared" si="2532"/>
        <v>1</v>
      </c>
      <c r="L392" s="54">
        <f t="shared" si="2704"/>
        <v>1</v>
      </c>
      <c r="M392" s="53">
        <f t="shared" si="2534"/>
        <v>8</v>
      </c>
      <c r="N392" s="54">
        <f t="shared" si="2705"/>
        <v>23</v>
      </c>
      <c r="O392" s="49">
        <f t="shared" ref="O392:P392" si="2717">SUM(K392,M392)</f>
        <v>9</v>
      </c>
      <c r="P392" s="50">
        <f t="shared" si="2717"/>
        <v>24</v>
      </c>
      <c r="Q392" s="73">
        <f t="shared" si="2537"/>
        <v>17</v>
      </c>
      <c r="R392" s="50">
        <f t="shared" si="2707"/>
        <v>50</v>
      </c>
      <c r="S392" s="53">
        <f t="shared" si="2539"/>
        <v>80</v>
      </c>
      <c r="T392" s="54">
        <f t="shared" si="2708"/>
        <v>240</v>
      </c>
      <c r="U392" s="53">
        <f t="shared" si="2541"/>
        <v>47</v>
      </c>
      <c r="V392" s="54">
        <f t="shared" si="2709"/>
        <v>140</v>
      </c>
      <c r="W392" s="53">
        <f t="shared" si="2543"/>
        <v>71</v>
      </c>
      <c r="X392" s="54">
        <f t="shared" si="2710"/>
        <v>212</v>
      </c>
      <c r="Y392" s="53">
        <f t="shared" si="2545"/>
        <v>33</v>
      </c>
      <c r="Z392" s="54">
        <f t="shared" si="2711"/>
        <v>99</v>
      </c>
      <c r="AA392" s="53">
        <f t="shared" si="2547"/>
        <v>14</v>
      </c>
      <c r="AB392" s="54">
        <f t="shared" si="2712"/>
        <v>40</v>
      </c>
      <c r="AC392" s="49">
        <f t="shared" ref="AC392:AD392" si="2718">SUM(S392,U392,W392,Y392,AA392)</f>
        <v>245</v>
      </c>
      <c r="AD392" s="50">
        <f t="shared" si="2718"/>
        <v>731</v>
      </c>
      <c r="AE392" s="53">
        <f t="shared" si="2550"/>
        <v>82</v>
      </c>
      <c r="AF392" s="54">
        <f t="shared" si="2719"/>
        <v>246</v>
      </c>
      <c r="AG392" s="53">
        <f t="shared" si="2552"/>
        <v>20</v>
      </c>
      <c r="AH392" s="54">
        <f t="shared" si="2720"/>
        <v>60</v>
      </c>
      <c r="AI392" s="53">
        <f t="shared" si="2554"/>
        <v>8</v>
      </c>
      <c r="AJ392" s="54">
        <f t="shared" si="2721"/>
        <v>22</v>
      </c>
      <c r="AK392" s="53">
        <f t="shared" si="2556"/>
        <v>2</v>
      </c>
      <c r="AL392" s="54">
        <f t="shared" si="2722"/>
        <v>5</v>
      </c>
      <c r="AM392" s="53">
        <f t="shared" si="2558"/>
        <v>22</v>
      </c>
      <c r="AN392" s="54">
        <f t="shared" si="2723"/>
        <v>66</v>
      </c>
      <c r="AO392" s="53">
        <f t="shared" si="2560"/>
        <v>93</v>
      </c>
      <c r="AP392" s="54">
        <f t="shared" si="2724"/>
        <v>277</v>
      </c>
      <c r="AQ392" s="49">
        <f t="shared" ref="AQ392:AR392" si="2725">SUM(AG392,AI392,AK392,AM392,AO392)</f>
        <v>145</v>
      </c>
      <c r="AR392" s="50">
        <f t="shared" si="2725"/>
        <v>430</v>
      </c>
      <c r="AS392" s="53">
        <f t="shared" si="2563"/>
        <v>11</v>
      </c>
      <c r="AT392" s="54">
        <f t="shared" si="2726"/>
        <v>31</v>
      </c>
      <c r="AU392" s="53">
        <f t="shared" si="2565"/>
        <v>54</v>
      </c>
      <c r="AV392" s="54">
        <f t="shared" si="2727"/>
        <v>160</v>
      </c>
      <c r="AW392" s="53">
        <f t="shared" si="2567"/>
        <v>19</v>
      </c>
      <c r="AX392" s="54">
        <f t="shared" si="2728"/>
        <v>56</v>
      </c>
      <c r="AY392" s="53">
        <f t="shared" si="2569"/>
        <v>35</v>
      </c>
      <c r="AZ392" s="54">
        <f t="shared" si="2729"/>
        <v>103</v>
      </c>
      <c r="BA392" s="53">
        <f t="shared" si="2571"/>
        <v>44</v>
      </c>
      <c r="BB392" s="54">
        <f t="shared" si="2730"/>
        <v>131</v>
      </c>
      <c r="BC392" s="49">
        <f t="shared" ref="BC392:BD392" si="2731">SUM(AS392,AU392,AW392,AY392,BA392)</f>
        <v>163</v>
      </c>
      <c r="BD392" s="50">
        <f t="shared" si="2731"/>
        <v>481</v>
      </c>
      <c r="BE392" s="68">
        <f t="shared" ref="BE392:BF392" si="2732">SUM(E392,G392,I392,O392,Q392,AC392,AQ392,BC392)</f>
        <v>625</v>
      </c>
      <c r="BF392" s="69">
        <f t="shared" si="2732"/>
        <v>1854</v>
      </c>
      <c r="BG392" s="46" t="str">
        <f>BF392*'ОВгП_РАО'!$B$30</f>
        <v>#REF!</v>
      </c>
      <c r="BH392" s="46" t="str">
        <f>'ОВгП_РАО'!$B$30</f>
        <v>#REF!</v>
      </c>
    </row>
    <row r="393" ht="15.75" customHeight="1">
      <c r="A393" s="80">
        <f t="shared" si="2575"/>
        <v>46271</v>
      </c>
      <c r="B393" s="47" t="s">
        <v>155</v>
      </c>
      <c r="C393" s="47" t="s">
        <v>122</v>
      </c>
      <c r="D393" s="47" t="s">
        <v>156</v>
      </c>
      <c r="E393" s="73">
        <f t="shared" si="2526"/>
        <v>28</v>
      </c>
      <c r="F393" s="50">
        <f t="shared" si="2701"/>
        <v>82</v>
      </c>
      <c r="G393" s="73">
        <f t="shared" si="2528"/>
        <v>27</v>
      </c>
      <c r="H393" s="50">
        <f t="shared" si="2702"/>
        <v>81</v>
      </c>
      <c r="I393" s="73">
        <f t="shared" si="2530"/>
        <v>27</v>
      </c>
      <c r="J393" s="50">
        <f t="shared" si="2703"/>
        <v>80</v>
      </c>
      <c r="K393" s="53">
        <f t="shared" si="2532"/>
        <v>3</v>
      </c>
      <c r="L393" s="54">
        <f t="shared" si="2704"/>
        <v>9</v>
      </c>
      <c r="M393" s="53">
        <f t="shared" si="2534"/>
        <v>14</v>
      </c>
      <c r="N393" s="54">
        <f t="shared" si="2705"/>
        <v>42</v>
      </c>
      <c r="O393" s="49">
        <f t="shared" ref="O393:P393" si="2733">SUM(K393,M393)</f>
        <v>17</v>
      </c>
      <c r="P393" s="50">
        <f t="shared" si="2733"/>
        <v>51</v>
      </c>
      <c r="Q393" s="73">
        <f t="shared" si="2537"/>
        <v>13</v>
      </c>
      <c r="R393" s="50">
        <f t="shared" si="2707"/>
        <v>37</v>
      </c>
      <c r="S393" s="53">
        <f t="shared" si="2539"/>
        <v>11</v>
      </c>
      <c r="T393" s="54">
        <f t="shared" si="2708"/>
        <v>33</v>
      </c>
      <c r="U393" s="53">
        <f t="shared" si="2541"/>
        <v>8</v>
      </c>
      <c r="V393" s="54">
        <f t="shared" si="2709"/>
        <v>24</v>
      </c>
      <c r="W393" s="53">
        <f t="shared" si="2543"/>
        <v>32</v>
      </c>
      <c r="X393" s="54">
        <f t="shared" si="2710"/>
        <v>94</v>
      </c>
      <c r="Y393" s="53">
        <f t="shared" si="2545"/>
        <v>39</v>
      </c>
      <c r="Z393" s="54">
        <f t="shared" si="2711"/>
        <v>115</v>
      </c>
      <c r="AA393" s="53">
        <f t="shared" si="2547"/>
        <v>58</v>
      </c>
      <c r="AB393" s="54">
        <f t="shared" si="2712"/>
        <v>172</v>
      </c>
      <c r="AC393" s="49">
        <f t="shared" ref="AC393:AD393" si="2734">SUM(S393,U393,W393,Y393,AA393)</f>
        <v>148</v>
      </c>
      <c r="AD393" s="50">
        <f t="shared" si="2734"/>
        <v>438</v>
      </c>
      <c r="AE393" s="53">
        <f t="shared" si="2550"/>
        <v>72</v>
      </c>
      <c r="AF393" s="54">
        <f t="shared" si="2719"/>
        <v>216</v>
      </c>
      <c r="AG393" s="53">
        <f t="shared" si="2552"/>
        <v>28</v>
      </c>
      <c r="AH393" s="54">
        <f t="shared" si="2720"/>
        <v>84</v>
      </c>
      <c r="AI393" s="53">
        <f t="shared" si="2554"/>
        <v>54</v>
      </c>
      <c r="AJ393" s="54">
        <f t="shared" si="2721"/>
        <v>161</v>
      </c>
      <c r="AK393" s="53">
        <f t="shared" si="2556"/>
        <v>68</v>
      </c>
      <c r="AL393" s="54">
        <f t="shared" si="2722"/>
        <v>204</v>
      </c>
      <c r="AM393" s="53">
        <f t="shared" si="2558"/>
        <v>70</v>
      </c>
      <c r="AN393" s="54">
        <f t="shared" si="2723"/>
        <v>209</v>
      </c>
      <c r="AO393" s="53">
        <f t="shared" si="2560"/>
        <v>67</v>
      </c>
      <c r="AP393" s="54">
        <f t="shared" si="2724"/>
        <v>199</v>
      </c>
      <c r="AQ393" s="49">
        <f t="shared" ref="AQ393:AR393" si="2735">SUM(AG393,AI393,AK393,AM393,AO393)</f>
        <v>287</v>
      </c>
      <c r="AR393" s="50">
        <f t="shared" si="2735"/>
        <v>857</v>
      </c>
      <c r="AS393" s="53">
        <f t="shared" si="2563"/>
        <v>19</v>
      </c>
      <c r="AT393" s="54">
        <f t="shared" ref="AT393:AT395" si="2741">RANDBETWEEN(0,100)</f>
        <v>57</v>
      </c>
      <c r="AU393" s="53">
        <f t="shared" si="2565"/>
        <v>29</v>
      </c>
      <c r="AV393" s="54">
        <f t="shared" ref="AV393:AV395" si="2742">RANDBETWEEN(0,100)</f>
        <v>85</v>
      </c>
      <c r="AW393" s="53">
        <f t="shared" si="2567"/>
        <v>18</v>
      </c>
      <c r="AX393" s="54">
        <f t="shared" ref="AX393:AX395" si="2743">RANDBETWEEN(0,100)</f>
        <v>52</v>
      </c>
      <c r="AY393" s="53">
        <f t="shared" si="2569"/>
        <v>26</v>
      </c>
      <c r="AZ393" s="54">
        <f t="shared" ref="AZ393:AZ395" si="2744">RANDBETWEEN(0,100)</f>
        <v>78</v>
      </c>
      <c r="BA393" s="53">
        <f t="shared" si="2571"/>
        <v>12</v>
      </c>
      <c r="BB393" s="54">
        <f t="shared" ref="BB393:BB395" si="2745">RANDBETWEEN(0,100)</f>
        <v>34</v>
      </c>
      <c r="BC393" s="49">
        <f t="shared" ref="BC393:BD393" si="2736">SUM(AS393,AU393,AW393,AY393,BA393)</f>
        <v>104</v>
      </c>
      <c r="BD393" s="50">
        <f t="shared" si="2736"/>
        <v>306</v>
      </c>
      <c r="BE393" s="68">
        <f t="shared" ref="BE393:BF393" si="2737">SUM(E393,G393,I393,O393,Q393,AC393,AQ393,BC393)</f>
        <v>651</v>
      </c>
      <c r="BF393" s="69">
        <f t="shared" si="2737"/>
        <v>1932</v>
      </c>
      <c r="BG393" s="46" t="str">
        <f>BF393*'ОВгП_РАО'!$B$31</f>
        <v>#REF!</v>
      </c>
      <c r="BH393" s="46" t="str">
        <f>'ОВгП_РАО'!$B$31</f>
        <v>#REF!</v>
      </c>
    </row>
    <row r="394" ht="15.75" customHeight="1">
      <c r="A394" s="80">
        <f t="shared" si="2575"/>
        <v>46271</v>
      </c>
      <c r="B394" s="47" t="s">
        <v>158</v>
      </c>
      <c r="C394" s="47" t="s">
        <v>122</v>
      </c>
      <c r="D394" s="47" t="s">
        <v>156</v>
      </c>
      <c r="E394" s="73">
        <f t="shared" si="2526"/>
        <v>10</v>
      </c>
      <c r="F394" s="50">
        <f t="shared" si="2701"/>
        <v>29</v>
      </c>
      <c r="G394" s="73">
        <f t="shared" si="2528"/>
        <v>20</v>
      </c>
      <c r="H394" s="50">
        <f t="shared" si="2702"/>
        <v>60</v>
      </c>
      <c r="I394" s="73">
        <f t="shared" si="2530"/>
        <v>24</v>
      </c>
      <c r="J394" s="50">
        <f t="shared" si="2703"/>
        <v>72</v>
      </c>
      <c r="K394" s="53">
        <f t="shared" si="2532"/>
        <v>9</v>
      </c>
      <c r="L394" s="54">
        <f t="shared" si="2704"/>
        <v>27</v>
      </c>
      <c r="M394" s="53">
        <f t="shared" si="2534"/>
        <v>1</v>
      </c>
      <c r="N394" s="54">
        <f t="shared" si="2705"/>
        <v>2</v>
      </c>
      <c r="O394" s="49">
        <f t="shared" ref="O394:P394" si="2738">SUM(K394,M394)</f>
        <v>10</v>
      </c>
      <c r="P394" s="50">
        <f t="shared" si="2738"/>
        <v>29</v>
      </c>
      <c r="Q394" s="73">
        <f t="shared" si="2537"/>
        <v>30</v>
      </c>
      <c r="R394" s="50">
        <f t="shared" si="2707"/>
        <v>88</v>
      </c>
      <c r="S394" s="53">
        <f t="shared" si="2539"/>
        <v>5</v>
      </c>
      <c r="T394" s="54">
        <f t="shared" si="2708"/>
        <v>15</v>
      </c>
      <c r="U394" s="53">
        <f t="shared" si="2541"/>
        <v>20</v>
      </c>
      <c r="V394" s="54">
        <f t="shared" si="2709"/>
        <v>59</v>
      </c>
      <c r="W394" s="53">
        <f t="shared" si="2543"/>
        <v>36</v>
      </c>
      <c r="X394" s="54">
        <f t="shared" si="2710"/>
        <v>106</v>
      </c>
      <c r="Y394" s="53">
        <f t="shared" si="2545"/>
        <v>30</v>
      </c>
      <c r="Z394" s="54">
        <f t="shared" si="2711"/>
        <v>90</v>
      </c>
      <c r="AA394" s="53">
        <f t="shared" si="2547"/>
        <v>59</v>
      </c>
      <c r="AB394" s="54">
        <f t="shared" si="2712"/>
        <v>176</v>
      </c>
      <c r="AC394" s="49">
        <f t="shared" ref="AC394:AD394" si="2739">SUM(S394,U394,W394,Y394,AA394)</f>
        <v>150</v>
      </c>
      <c r="AD394" s="50">
        <f t="shared" si="2739"/>
        <v>446</v>
      </c>
      <c r="AE394" s="53">
        <f t="shared" si="2550"/>
        <v>42</v>
      </c>
      <c r="AF394" s="54">
        <f t="shared" si="2719"/>
        <v>124</v>
      </c>
      <c r="AG394" s="53">
        <f t="shared" si="2552"/>
        <v>63</v>
      </c>
      <c r="AH394" s="54">
        <f t="shared" si="2720"/>
        <v>187</v>
      </c>
      <c r="AI394" s="53">
        <f t="shared" si="2554"/>
        <v>16</v>
      </c>
      <c r="AJ394" s="54">
        <f t="shared" si="2721"/>
        <v>46</v>
      </c>
      <c r="AK394" s="53">
        <f t="shared" si="2556"/>
        <v>58</v>
      </c>
      <c r="AL394" s="54">
        <f t="shared" si="2722"/>
        <v>172</v>
      </c>
      <c r="AM394" s="53">
        <f t="shared" si="2558"/>
        <v>88</v>
      </c>
      <c r="AN394" s="54">
        <f t="shared" si="2723"/>
        <v>263</v>
      </c>
      <c r="AO394" s="53">
        <f t="shared" si="2560"/>
        <v>96</v>
      </c>
      <c r="AP394" s="54">
        <f t="shared" si="2724"/>
        <v>287</v>
      </c>
      <c r="AQ394" s="49">
        <f t="shared" ref="AQ394:AR394" si="2740">SUM(AG394,AI394,AK394,AM394,AO394)</f>
        <v>321</v>
      </c>
      <c r="AR394" s="50">
        <f t="shared" si="2740"/>
        <v>955</v>
      </c>
      <c r="AS394" s="53">
        <f t="shared" si="2563"/>
        <v>26</v>
      </c>
      <c r="AT394" s="54">
        <f t="shared" si="2741"/>
        <v>78</v>
      </c>
      <c r="AU394" s="53">
        <f t="shared" si="2565"/>
        <v>31</v>
      </c>
      <c r="AV394" s="54">
        <f t="shared" si="2742"/>
        <v>91</v>
      </c>
      <c r="AW394" s="53">
        <f t="shared" si="2567"/>
        <v>1</v>
      </c>
      <c r="AX394" s="54">
        <f t="shared" si="2743"/>
        <v>1</v>
      </c>
      <c r="AY394" s="53">
        <f t="shared" si="2569"/>
        <v>14</v>
      </c>
      <c r="AZ394" s="54">
        <f t="shared" si="2744"/>
        <v>42</v>
      </c>
      <c r="BA394" s="53">
        <f t="shared" si="2571"/>
        <v>27</v>
      </c>
      <c r="BB394" s="54">
        <f t="shared" si="2745"/>
        <v>79</v>
      </c>
      <c r="BC394" s="49">
        <f t="shared" ref="BC394:BD394" si="2746">SUM(AS394,AU394,AW394,AY394,BA394)</f>
        <v>99</v>
      </c>
      <c r="BD394" s="50">
        <f t="shared" si="2746"/>
        <v>291</v>
      </c>
      <c r="BE394" s="68">
        <f t="shared" ref="BE394:BF394" si="2747">SUM(E394,G394,I394,O394,Q394,AC394,AQ394,BC394)</f>
        <v>664</v>
      </c>
      <c r="BF394" s="69">
        <f t="shared" si="2747"/>
        <v>1970</v>
      </c>
      <c r="BG394" s="46" t="str">
        <f>BF394*'ОВгП_РАО'!$B$32</f>
        <v>#REF!</v>
      </c>
      <c r="BH394" s="46" t="str">
        <f>'ОВгП_РАО'!$B$32</f>
        <v>#REF!</v>
      </c>
    </row>
    <row r="395" ht="15.75" customHeight="1">
      <c r="A395" s="80">
        <f t="shared" si="2575"/>
        <v>46271</v>
      </c>
      <c r="B395" s="47" t="s">
        <v>159</v>
      </c>
      <c r="C395" s="47" t="s">
        <v>122</v>
      </c>
      <c r="D395" s="47" t="s">
        <v>156</v>
      </c>
      <c r="E395" s="73">
        <f t="shared" si="2526"/>
        <v>23</v>
      </c>
      <c r="F395" s="50">
        <f t="shared" si="2701"/>
        <v>69</v>
      </c>
      <c r="G395" s="73">
        <f t="shared" si="2528"/>
        <v>27</v>
      </c>
      <c r="H395" s="50">
        <f t="shared" si="2702"/>
        <v>79</v>
      </c>
      <c r="I395" s="73">
        <f t="shared" si="2530"/>
        <v>34</v>
      </c>
      <c r="J395" s="50">
        <f t="shared" si="2703"/>
        <v>100</v>
      </c>
      <c r="K395" s="53">
        <f t="shared" si="2532"/>
        <v>34</v>
      </c>
      <c r="L395" s="54">
        <f t="shared" si="2704"/>
        <v>100</v>
      </c>
      <c r="M395" s="53">
        <f t="shared" si="2534"/>
        <v>14</v>
      </c>
      <c r="N395" s="54">
        <f t="shared" si="2705"/>
        <v>41</v>
      </c>
      <c r="O395" s="49">
        <f t="shared" ref="O395:P395" si="2748">SUM(K395,M395)</f>
        <v>48</v>
      </c>
      <c r="P395" s="50">
        <f t="shared" si="2748"/>
        <v>141</v>
      </c>
      <c r="Q395" s="73">
        <f t="shared" si="2537"/>
        <v>23</v>
      </c>
      <c r="R395" s="50">
        <f t="shared" si="2707"/>
        <v>68</v>
      </c>
      <c r="S395" s="53">
        <f t="shared" si="2539"/>
        <v>13</v>
      </c>
      <c r="T395" s="54">
        <f t="shared" si="2708"/>
        <v>38</v>
      </c>
      <c r="U395" s="53">
        <f t="shared" si="2541"/>
        <v>22</v>
      </c>
      <c r="V395" s="54">
        <f t="shared" si="2709"/>
        <v>64</v>
      </c>
      <c r="W395" s="53">
        <f t="shared" si="2543"/>
        <v>95</v>
      </c>
      <c r="X395" s="54">
        <f t="shared" si="2710"/>
        <v>283</v>
      </c>
      <c r="Y395" s="53">
        <f t="shared" si="2545"/>
        <v>78</v>
      </c>
      <c r="Z395" s="54">
        <f t="shared" si="2711"/>
        <v>232</v>
      </c>
      <c r="AA395" s="53">
        <f t="shared" si="2547"/>
        <v>73</v>
      </c>
      <c r="AB395" s="54">
        <f t="shared" si="2712"/>
        <v>218</v>
      </c>
      <c r="AC395" s="49">
        <f t="shared" ref="AC395:AD395" si="2749">SUM(S395,U395,W395,Y395,AA395)</f>
        <v>281</v>
      </c>
      <c r="AD395" s="50">
        <f t="shared" si="2749"/>
        <v>835</v>
      </c>
      <c r="AE395" s="53">
        <f t="shared" si="2550"/>
        <v>13</v>
      </c>
      <c r="AF395" s="54">
        <f t="shared" si="2719"/>
        <v>38</v>
      </c>
      <c r="AG395" s="53">
        <f t="shared" si="2552"/>
        <v>1</v>
      </c>
      <c r="AH395" s="54">
        <f t="shared" si="2720"/>
        <v>2</v>
      </c>
      <c r="AI395" s="53">
        <f t="shared" si="2554"/>
        <v>20</v>
      </c>
      <c r="AJ395" s="54">
        <f t="shared" si="2721"/>
        <v>60</v>
      </c>
      <c r="AK395" s="53">
        <f t="shared" si="2556"/>
        <v>3</v>
      </c>
      <c r="AL395" s="54">
        <f t="shared" si="2722"/>
        <v>7</v>
      </c>
      <c r="AM395" s="53">
        <f t="shared" si="2558"/>
        <v>89</v>
      </c>
      <c r="AN395" s="54">
        <f t="shared" si="2723"/>
        <v>265</v>
      </c>
      <c r="AO395" s="53">
        <f t="shared" si="2560"/>
        <v>74</v>
      </c>
      <c r="AP395" s="54">
        <f t="shared" si="2724"/>
        <v>220</v>
      </c>
      <c r="AQ395" s="49">
        <f t="shared" ref="AQ395:AR395" si="2750">SUM(AG395,AI395,AK395,AM395,AO395)</f>
        <v>187</v>
      </c>
      <c r="AR395" s="50">
        <f t="shared" si="2750"/>
        <v>554</v>
      </c>
      <c r="AS395" s="53">
        <f t="shared" si="2563"/>
        <v>27</v>
      </c>
      <c r="AT395" s="54">
        <f t="shared" si="2741"/>
        <v>80</v>
      </c>
      <c r="AU395" s="53">
        <f t="shared" si="2565"/>
        <v>30</v>
      </c>
      <c r="AV395" s="54">
        <f t="shared" si="2742"/>
        <v>89</v>
      </c>
      <c r="AW395" s="53">
        <f t="shared" si="2567"/>
        <v>6</v>
      </c>
      <c r="AX395" s="54">
        <f t="shared" si="2743"/>
        <v>17</v>
      </c>
      <c r="AY395" s="53">
        <f t="shared" si="2569"/>
        <v>24</v>
      </c>
      <c r="AZ395" s="54">
        <f t="shared" si="2744"/>
        <v>72</v>
      </c>
      <c r="BA395" s="53">
        <f t="shared" si="2571"/>
        <v>8</v>
      </c>
      <c r="BB395" s="54">
        <f t="shared" si="2745"/>
        <v>24</v>
      </c>
      <c r="BC395" s="49">
        <f t="shared" ref="BC395:BD395" si="2751">SUM(AS395,AU395,AW395,AY395,BA395)</f>
        <v>95</v>
      </c>
      <c r="BD395" s="50">
        <f t="shared" si="2751"/>
        <v>282</v>
      </c>
      <c r="BE395" s="68">
        <f t="shared" ref="BE395:BF395" si="2752">SUM(E395,G395,I395,O395,Q395,AC395,AQ395,BC395)</f>
        <v>718</v>
      </c>
      <c r="BF395" s="69">
        <f t="shared" si="2752"/>
        <v>2128</v>
      </c>
      <c r="BG395" s="46" t="str">
        <f>BF395*'ОВгП_РАО'!$B$33</f>
        <v>#REF!</v>
      </c>
      <c r="BH395" s="46" t="str">
        <f>'ОВгП_РАО'!$B$33</f>
        <v>#REF!</v>
      </c>
    </row>
    <row r="396" ht="15.75" customHeight="1">
      <c r="A396" s="80">
        <f t="shared" si="2575"/>
        <v>46271</v>
      </c>
      <c r="B396" s="47" t="s">
        <v>160</v>
      </c>
      <c r="C396" s="47" t="s">
        <v>161</v>
      </c>
      <c r="D396" s="47" t="s">
        <v>98</v>
      </c>
      <c r="E396" s="73">
        <f t="shared" si="2526"/>
        <v>11</v>
      </c>
      <c r="F396" s="50">
        <f t="shared" si="2701"/>
        <v>32</v>
      </c>
      <c r="G396" s="73">
        <f t="shared" si="2528"/>
        <v>29</v>
      </c>
      <c r="H396" s="50">
        <f t="shared" si="2702"/>
        <v>87</v>
      </c>
      <c r="I396" s="73">
        <f t="shared" si="2530"/>
        <v>7</v>
      </c>
      <c r="J396" s="50">
        <f t="shared" si="2703"/>
        <v>20</v>
      </c>
      <c r="K396" s="53">
        <f t="shared" si="2532"/>
        <v>19</v>
      </c>
      <c r="L396" s="54">
        <f t="shared" si="2704"/>
        <v>57</v>
      </c>
      <c r="M396" s="53">
        <f t="shared" si="2534"/>
        <v>6</v>
      </c>
      <c r="N396" s="54">
        <f t="shared" si="2705"/>
        <v>16</v>
      </c>
      <c r="O396" s="49">
        <f t="shared" ref="O396:P396" si="2753">SUM(K396,M396)</f>
        <v>25</v>
      </c>
      <c r="P396" s="50">
        <f t="shared" si="2753"/>
        <v>73</v>
      </c>
      <c r="Q396" s="73">
        <f t="shared" si="2537"/>
        <v>16</v>
      </c>
      <c r="R396" s="50">
        <f t="shared" si="2707"/>
        <v>47</v>
      </c>
      <c r="S396" s="53">
        <f t="shared" si="2539"/>
        <v>16</v>
      </c>
      <c r="T396" s="54">
        <f t="shared" si="2708"/>
        <v>47</v>
      </c>
      <c r="U396" s="53">
        <f t="shared" si="2541"/>
        <v>45</v>
      </c>
      <c r="V396" s="54">
        <f t="shared" si="2709"/>
        <v>135</v>
      </c>
      <c r="W396" s="53">
        <f t="shared" si="2543"/>
        <v>95</v>
      </c>
      <c r="X396" s="54">
        <f t="shared" si="2710"/>
        <v>283</v>
      </c>
      <c r="Y396" s="53">
        <f t="shared" si="2545"/>
        <v>27</v>
      </c>
      <c r="Z396" s="54">
        <f t="shared" si="2711"/>
        <v>81</v>
      </c>
      <c r="AA396" s="53">
        <f t="shared" si="2547"/>
        <v>7</v>
      </c>
      <c r="AB396" s="54">
        <f t="shared" si="2712"/>
        <v>20</v>
      </c>
      <c r="AC396" s="49">
        <f t="shared" ref="AC396:AD396" si="2754">SUM(S396,U396,W396,Y396,AA396)</f>
        <v>190</v>
      </c>
      <c r="AD396" s="50">
        <f t="shared" si="2754"/>
        <v>566</v>
      </c>
      <c r="AE396" s="53">
        <f t="shared" si="2550"/>
        <v>80</v>
      </c>
      <c r="AF396" s="54">
        <f t="shared" si="2719"/>
        <v>239</v>
      </c>
      <c r="AG396" s="53">
        <f t="shared" si="2552"/>
        <v>86</v>
      </c>
      <c r="AH396" s="54">
        <f t="shared" si="2720"/>
        <v>258</v>
      </c>
      <c r="AI396" s="53">
        <f t="shared" si="2554"/>
        <v>2</v>
      </c>
      <c r="AJ396" s="54">
        <f t="shared" si="2721"/>
        <v>4</v>
      </c>
      <c r="AK396" s="53">
        <f t="shared" si="2556"/>
        <v>84</v>
      </c>
      <c r="AL396" s="54">
        <f t="shared" si="2722"/>
        <v>250</v>
      </c>
      <c r="AM396" s="53">
        <f t="shared" si="2558"/>
        <v>96</v>
      </c>
      <c r="AN396" s="54">
        <f t="shared" si="2723"/>
        <v>288</v>
      </c>
      <c r="AO396" s="53">
        <f t="shared" si="2560"/>
        <v>34</v>
      </c>
      <c r="AP396" s="54">
        <f t="shared" si="2724"/>
        <v>100</v>
      </c>
      <c r="AQ396" s="49">
        <f t="shared" ref="AQ396:AR396" si="2755">SUM(AG396,AI396,AK396,AM396,AO396)</f>
        <v>302</v>
      </c>
      <c r="AR396" s="50">
        <f t="shared" si="2755"/>
        <v>900</v>
      </c>
      <c r="AS396" s="53">
        <f t="shared" si="2563"/>
        <v>31</v>
      </c>
      <c r="AT396" s="54">
        <f t="shared" ref="AT396:AT398" si="2761">RANDBETWEEN(0,300)</f>
        <v>92</v>
      </c>
      <c r="AU396" s="53">
        <f t="shared" si="2565"/>
        <v>43</v>
      </c>
      <c r="AV396" s="54">
        <f t="shared" ref="AV396:AV398" si="2762">RANDBETWEEN(0,300)</f>
        <v>127</v>
      </c>
      <c r="AW396" s="53">
        <f t="shared" si="2567"/>
        <v>97</v>
      </c>
      <c r="AX396" s="54">
        <f t="shared" ref="AX396:AX398" si="2763">RANDBETWEEN(0,300)</f>
        <v>289</v>
      </c>
      <c r="AY396" s="53">
        <f t="shared" si="2569"/>
        <v>98</v>
      </c>
      <c r="AZ396" s="54">
        <f t="shared" ref="AZ396:AZ398" si="2764">RANDBETWEEN(0,300)</f>
        <v>294</v>
      </c>
      <c r="BA396" s="53">
        <f t="shared" si="2571"/>
        <v>9</v>
      </c>
      <c r="BB396" s="54">
        <f t="shared" ref="BB396:BB398" si="2765">RANDBETWEEN(0,300)</f>
        <v>26</v>
      </c>
      <c r="BC396" s="49">
        <f t="shared" ref="BC396:BD396" si="2756">SUM(AS396,AU396,AW396,AY396,BA396)</f>
        <v>278</v>
      </c>
      <c r="BD396" s="50">
        <f t="shared" si="2756"/>
        <v>828</v>
      </c>
      <c r="BE396" s="68">
        <f t="shared" ref="BE396:BF396" si="2757">SUM(E396,G396,I396,O396,Q396,AC396,AQ396,BC396)</f>
        <v>858</v>
      </c>
      <c r="BF396" s="69">
        <f t="shared" si="2757"/>
        <v>2553</v>
      </c>
      <c r="BG396" s="46" t="str">
        <f>BF396*'ОВгП_РАО'!$B$34</f>
        <v>#REF!</v>
      </c>
      <c r="BH396" s="46" t="str">
        <f>'ОВгП_РАО'!$B$34</f>
        <v>#REF!</v>
      </c>
    </row>
    <row r="397" ht="15.75" customHeight="1">
      <c r="A397" s="80">
        <f t="shared" si="2575"/>
        <v>46271</v>
      </c>
      <c r="B397" s="47" t="s">
        <v>163</v>
      </c>
      <c r="C397" s="47" t="s">
        <v>161</v>
      </c>
      <c r="D397" s="47" t="s">
        <v>145</v>
      </c>
      <c r="E397" s="73">
        <f t="shared" si="2526"/>
        <v>11</v>
      </c>
      <c r="F397" s="50">
        <f t="shared" si="2701"/>
        <v>33</v>
      </c>
      <c r="G397" s="73">
        <f t="shared" si="2528"/>
        <v>8</v>
      </c>
      <c r="H397" s="50">
        <f t="shared" si="2702"/>
        <v>24</v>
      </c>
      <c r="I397" s="73">
        <f t="shared" si="2530"/>
        <v>18</v>
      </c>
      <c r="J397" s="50">
        <f t="shared" si="2703"/>
        <v>53</v>
      </c>
      <c r="K397" s="53">
        <f t="shared" si="2532"/>
        <v>14</v>
      </c>
      <c r="L397" s="54">
        <f t="shared" si="2704"/>
        <v>42</v>
      </c>
      <c r="M397" s="53">
        <f t="shared" si="2534"/>
        <v>25</v>
      </c>
      <c r="N397" s="54">
        <f t="shared" si="2705"/>
        <v>74</v>
      </c>
      <c r="O397" s="49">
        <f t="shared" ref="O397:P397" si="2758">SUM(K397,M397)</f>
        <v>39</v>
      </c>
      <c r="P397" s="50">
        <f t="shared" si="2758"/>
        <v>116</v>
      </c>
      <c r="Q397" s="73">
        <f t="shared" si="2537"/>
        <v>6</v>
      </c>
      <c r="R397" s="50">
        <f t="shared" si="2707"/>
        <v>18</v>
      </c>
      <c r="S397" s="53">
        <f t="shared" si="2539"/>
        <v>86</v>
      </c>
      <c r="T397" s="54">
        <f t="shared" si="2708"/>
        <v>256</v>
      </c>
      <c r="U397" s="53">
        <f t="shared" si="2541"/>
        <v>60</v>
      </c>
      <c r="V397" s="54">
        <f t="shared" si="2709"/>
        <v>178</v>
      </c>
      <c r="W397" s="53">
        <f t="shared" si="2543"/>
        <v>1</v>
      </c>
      <c r="X397" s="54">
        <f t="shared" si="2710"/>
        <v>3</v>
      </c>
      <c r="Y397" s="53">
        <f t="shared" si="2545"/>
        <v>74</v>
      </c>
      <c r="Z397" s="54">
        <f t="shared" si="2711"/>
        <v>222</v>
      </c>
      <c r="AA397" s="53">
        <f t="shared" si="2547"/>
        <v>57</v>
      </c>
      <c r="AB397" s="54">
        <f t="shared" si="2712"/>
        <v>171</v>
      </c>
      <c r="AC397" s="49">
        <f t="shared" ref="AC397:AD397" si="2759">SUM(S397,U397,W397,Y397,AA397)</f>
        <v>278</v>
      </c>
      <c r="AD397" s="50">
        <f t="shared" si="2759"/>
        <v>830</v>
      </c>
      <c r="AE397" s="53">
        <f t="shared" si="2550"/>
        <v>10</v>
      </c>
      <c r="AF397" s="54">
        <f t="shared" si="2719"/>
        <v>29</v>
      </c>
      <c r="AG397" s="53">
        <f t="shared" si="2552"/>
        <v>38</v>
      </c>
      <c r="AH397" s="54">
        <f t="shared" si="2720"/>
        <v>113</v>
      </c>
      <c r="AI397" s="53">
        <f t="shared" si="2554"/>
        <v>72</v>
      </c>
      <c r="AJ397" s="54">
        <f t="shared" si="2721"/>
        <v>214</v>
      </c>
      <c r="AK397" s="53">
        <f t="shared" si="2556"/>
        <v>82</v>
      </c>
      <c r="AL397" s="54">
        <f t="shared" si="2722"/>
        <v>244</v>
      </c>
      <c r="AM397" s="53">
        <f t="shared" si="2558"/>
        <v>29</v>
      </c>
      <c r="AN397" s="54">
        <f t="shared" si="2723"/>
        <v>85</v>
      </c>
      <c r="AO397" s="53">
        <f t="shared" si="2560"/>
        <v>4</v>
      </c>
      <c r="AP397" s="54">
        <f t="shared" si="2724"/>
        <v>10</v>
      </c>
      <c r="AQ397" s="49">
        <f t="shared" ref="AQ397:AR397" si="2760">SUM(AG397,AI397,AK397,AM397,AO397)</f>
        <v>225</v>
      </c>
      <c r="AR397" s="50">
        <f t="shared" si="2760"/>
        <v>666</v>
      </c>
      <c r="AS397" s="53">
        <f t="shared" si="2563"/>
        <v>11</v>
      </c>
      <c r="AT397" s="54">
        <f t="shared" si="2761"/>
        <v>33</v>
      </c>
      <c r="AU397" s="53">
        <f t="shared" si="2565"/>
        <v>50</v>
      </c>
      <c r="AV397" s="54">
        <f t="shared" si="2762"/>
        <v>150</v>
      </c>
      <c r="AW397" s="53">
        <f t="shared" si="2567"/>
        <v>57</v>
      </c>
      <c r="AX397" s="54">
        <f t="shared" si="2763"/>
        <v>169</v>
      </c>
      <c r="AY397" s="53">
        <f t="shared" si="2569"/>
        <v>52</v>
      </c>
      <c r="AZ397" s="54">
        <f t="shared" si="2764"/>
        <v>155</v>
      </c>
      <c r="BA397" s="53">
        <f t="shared" si="2571"/>
        <v>8</v>
      </c>
      <c r="BB397" s="54">
        <f t="shared" si="2765"/>
        <v>23</v>
      </c>
      <c r="BC397" s="49">
        <f t="shared" ref="BC397:BD397" si="2766">SUM(AS397,AU397,AW397,AY397,BA397)</f>
        <v>178</v>
      </c>
      <c r="BD397" s="50">
        <f t="shared" si="2766"/>
        <v>530</v>
      </c>
      <c r="BE397" s="68">
        <f t="shared" ref="BE397:BF397" si="2767">SUM(E397,G397,I397,O397,Q397,AC397,AQ397,BC397)</f>
        <v>763</v>
      </c>
      <c r="BF397" s="69">
        <f t="shared" si="2767"/>
        <v>2270</v>
      </c>
      <c r="BG397" s="46" t="str">
        <f>BF397*'ОВгП_РАО'!$B$35</f>
        <v>#REF!</v>
      </c>
      <c r="BH397" s="46" t="str">
        <f>'ОВгП_РАО'!$B$35</f>
        <v>#REF!</v>
      </c>
    </row>
    <row r="398" ht="15.75" customHeight="1">
      <c r="A398" s="80">
        <f t="shared" si="2575"/>
        <v>46271</v>
      </c>
      <c r="B398" s="47" t="s">
        <v>164</v>
      </c>
      <c r="C398" s="47" t="s">
        <v>161</v>
      </c>
      <c r="D398" s="47" t="s">
        <v>148</v>
      </c>
      <c r="E398" s="73">
        <f t="shared" si="2526"/>
        <v>23</v>
      </c>
      <c r="F398" s="50">
        <f t="shared" si="2701"/>
        <v>69</v>
      </c>
      <c r="G398" s="73">
        <f t="shared" si="2528"/>
        <v>2</v>
      </c>
      <c r="H398" s="50">
        <f t="shared" si="2702"/>
        <v>5</v>
      </c>
      <c r="I398" s="73">
        <f t="shared" si="2530"/>
        <v>14</v>
      </c>
      <c r="J398" s="50">
        <f t="shared" si="2703"/>
        <v>41</v>
      </c>
      <c r="K398" s="53">
        <f t="shared" si="2532"/>
        <v>28</v>
      </c>
      <c r="L398" s="54">
        <f t="shared" si="2704"/>
        <v>83</v>
      </c>
      <c r="M398" s="53">
        <f t="shared" si="2534"/>
        <v>4</v>
      </c>
      <c r="N398" s="54">
        <f t="shared" si="2705"/>
        <v>10</v>
      </c>
      <c r="O398" s="49">
        <f t="shared" ref="O398:P398" si="2768">SUM(K398,M398)</f>
        <v>32</v>
      </c>
      <c r="P398" s="50">
        <f t="shared" si="2768"/>
        <v>93</v>
      </c>
      <c r="Q398" s="73">
        <f t="shared" si="2537"/>
        <v>12</v>
      </c>
      <c r="R398" s="50">
        <f t="shared" si="2707"/>
        <v>34</v>
      </c>
      <c r="S398" s="53">
        <f t="shared" si="2539"/>
        <v>79</v>
      </c>
      <c r="T398" s="54">
        <f t="shared" si="2708"/>
        <v>237</v>
      </c>
      <c r="U398" s="53">
        <f t="shared" si="2541"/>
        <v>44</v>
      </c>
      <c r="V398" s="54">
        <f t="shared" si="2709"/>
        <v>132</v>
      </c>
      <c r="W398" s="53">
        <f t="shared" si="2543"/>
        <v>77</v>
      </c>
      <c r="X398" s="54">
        <f t="shared" si="2710"/>
        <v>231</v>
      </c>
      <c r="Y398" s="53">
        <f t="shared" si="2545"/>
        <v>8</v>
      </c>
      <c r="Z398" s="54">
        <f t="shared" si="2711"/>
        <v>23</v>
      </c>
      <c r="AA398" s="53">
        <f t="shared" si="2547"/>
        <v>36</v>
      </c>
      <c r="AB398" s="54">
        <f t="shared" si="2712"/>
        <v>108</v>
      </c>
      <c r="AC398" s="49">
        <f t="shared" ref="AC398:AD398" si="2769">SUM(S398,U398,W398,Y398,AA398)</f>
        <v>244</v>
      </c>
      <c r="AD398" s="50">
        <f t="shared" si="2769"/>
        <v>731</v>
      </c>
      <c r="AE398" s="53">
        <f t="shared" si="2550"/>
        <v>19</v>
      </c>
      <c r="AF398" s="54">
        <f t="shared" si="2719"/>
        <v>56</v>
      </c>
      <c r="AG398" s="53">
        <f t="shared" si="2552"/>
        <v>79</v>
      </c>
      <c r="AH398" s="54">
        <f t="shared" si="2720"/>
        <v>236</v>
      </c>
      <c r="AI398" s="53">
        <f t="shared" si="2554"/>
        <v>59</v>
      </c>
      <c r="AJ398" s="54">
        <f t="shared" si="2721"/>
        <v>175</v>
      </c>
      <c r="AK398" s="53">
        <f t="shared" si="2556"/>
        <v>69</v>
      </c>
      <c r="AL398" s="54">
        <f t="shared" si="2722"/>
        <v>206</v>
      </c>
      <c r="AM398" s="53">
        <f t="shared" si="2558"/>
        <v>67</v>
      </c>
      <c r="AN398" s="54">
        <f t="shared" si="2723"/>
        <v>201</v>
      </c>
      <c r="AO398" s="53">
        <f t="shared" si="2560"/>
        <v>36</v>
      </c>
      <c r="AP398" s="54">
        <f t="shared" si="2724"/>
        <v>107</v>
      </c>
      <c r="AQ398" s="49">
        <f t="shared" ref="AQ398:AR398" si="2770">SUM(AG398,AI398,AK398,AM398,AO398)</f>
        <v>310</v>
      </c>
      <c r="AR398" s="50">
        <f t="shared" si="2770"/>
        <v>925</v>
      </c>
      <c r="AS398" s="53">
        <f t="shared" si="2563"/>
        <v>1</v>
      </c>
      <c r="AT398" s="54">
        <f t="shared" si="2761"/>
        <v>1</v>
      </c>
      <c r="AU398" s="53">
        <f t="shared" si="2565"/>
        <v>48</v>
      </c>
      <c r="AV398" s="54">
        <f t="shared" si="2762"/>
        <v>143</v>
      </c>
      <c r="AW398" s="53">
        <f t="shared" si="2567"/>
        <v>77</v>
      </c>
      <c r="AX398" s="54">
        <f t="shared" si="2763"/>
        <v>230</v>
      </c>
      <c r="AY398" s="53">
        <f t="shared" si="2569"/>
        <v>73</v>
      </c>
      <c r="AZ398" s="54">
        <f t="shared" si="2764"/>
        <v>218</v>
      </c>
      <c r="BA398" s="53">
        <f t="shared" si="2571"/>
        <v>16</v>
      </c>
      <c r="BB398" s="54">
        <f t="shared" si="2765"/>
        <v>46</v>
      </c>
      <c r="BC398" s="49">
        <f t="shared" ref="BC398:BD398" si="2771">SUM(AS398,AU398,AW398,AY398,BA398)</f>
        <v>215</v>
      </c>
      <c r="BD398" s="50">
        <f t="shared" si="2771"/>
        <v>638</v>
      </c>
      <c r="BE398" s="68">
        <f t="shared" ref="BE398:BF398" si="2772">SUM(E398,G398,I398,O398,Q398,AC398,AQ398,BC398)</f>
        <v>852</v>
      </c>
      <c r="BF398" s="69">
        <f t="shared" si="2772"/>
        <v>2536</v>
      </c>
      <c r="BG398" s="46" t="str">
        <f>BF398*'ОВгП_РАО'!$B$36</f>
        <v>#REF!</v>
      </c>
      <c r="BH398" s="46" t="str">
        <f>'ОВгП_РАО'!B396</f>
        <v>#REF!</v>
      </c>
    </row>
    <row r="399" ht="15.75" customHeight="1">
      <c r="A399" s="161"/>
      <c r="B399" s="162"/>
      <c r="C399" s="162"/>
      <c r="D399" s="162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  <c r="BC399" s="40"/>
      <c r="BD399" s="40"/>
      <c r="BE399" s="40"/>
      <c r="BF399" s="42"/>
    </row>
    <row r="400" ht="15.75" customHeight="1">
      <c r="A400" s="44">
        <f>A398+1</f>
        <v>46272</v>
      </c>
      <c r="B400" s="163" t="s">
        <v>95</v>
      </c>
      <c r="C400" s="46" t="s">
        <v>96</v>
      </c>
      <c r="D400" s="47" t="s">
        <v>98</v>
      </c>
      <c r="E400" s="49">
        <f t="shared" ref="E400:E434" si="2778">ROUNDUP(F400/3,0)</f>
        <v>1</v>
      </c>
      <c r="F400" s="50">
        <f t="shared" ref="F400:F425" si="2779">RANDBETWEEN(0,4)</f>
        <v>3</v>
      </c>
      <c r="G400" s="49">
        <f t="shared" ref="G400:G434" si="2780">ROUNDUP(H400/3,0)</f>
        <v>1</v>
      </c>
      <c r="H400" s="50">
        <f t="shared" ref="H400:H425" si="2781">RANDBETWEEN(0,4)</f>
        <v>3</v>
      </c>
      <c r="I400" s="49">
        <f t="shared" ref="I400:I434" si="2782">ROUNDUP(J400/3,0)</f>
        <v>2</v>
      </c>
      <c r="J400" s="50">
        <f t="shared" ref="J400:J425" si="2783">RANDBETWEEN(0,4)</f>
        <v>4</v>
      </c>
      <c r="K400" s="53">
        <f t="shared" ref="K400:K434" si="2784">ROUNDUP(L400/3,0)</f>
        <v>0</v>
      </c>
      <c r="L400" s="54">
        <f t="shared" ref="L400:L425" si="2785">RANDBETWEEN(0,4)</f>
        <v>0</v>
      </c>
      <c r="M400" s="53">
        <f t="shared" ref="M400:M434" si="2786">ROUNDUP(N400/3,0)</f>
        <v>1</v>
      </c>
      <c r="N400" s="54">
        <f t="shared" ref="N400:N425" si="2787">RANDBETWEEN(0,4)</f>
        <v>2</v>
      </c>
      <c r="O400" s="49">
        <f t="shared" ref="O400:P400" si="2773">SUM(K400,M400)</f>
        <v>1</v>
      </c>
      <c r="P400" s="50">
        <f t="shared" si="2773"/>
        <v>2</v>
      </c>
      <c r="Q400" s="49">
        <f t="shared" ref="Q400:Q434" si="2789">ROUNDUP(R400/3,0)</f>
        <v>1</v>
      </c>
      <c r="R400" s="50">
        <f t="shared" ref="R400:R425" si="2790">RANDBETWEEN(0,4)</f>
        <v>3</v>
      </c>
      <c r="S400" s="53">
        <f t="shared" ref="S400:S434" si="2791">ROUNDUP(T400/3,0)</f>
        <v>0</v>
      </c>
      <c r="T400" s="54">
        <f t="shared" ref="T400:T425" si="2792">RANDBETWEEN(0,4)</f>
        <v>0</v>
      </c>
      <c r="U400" s="53">
        <f t="shared" ref="U400:U434" si="2793">ROUNDUP(V400/3,0)</f>
        <v>1</v>
      </c>
      <c r="V400" s="54">
        <f t="shared" ref="V400:V425" si="2794">RANDBETWEEN(0,4)</f>
        <v>1</v>
      </c>
      <c r="W400" s="53">
        <f t="shared" ref="W400:W434" si="2795">ROUNDUP(X400/3,0)</f>
        <v>1</v>
      </c>
      <c r="X400" s="54">
        <f t="shared" ref="X400:X425" si="2796">RANDBETWEEN(0,4)</f>
        <v>1</v>
      </c>
      <c r="Y400" s="53">
        <f t="shared" ref="Y400:Y434" si="2797">ROUNDUP(Z400/3,0)</f>
        <v>2</v>
      </c>
      <c r="Z400" s="54">
        <f t="shared" ref="Z400:Z425" si="2798">RANDBETWEEN(0,4)</f>
        <v>4</v>
      </c>
      <c r="AA400" s="53">
        <f t="shared" ref="AA400:AA434" si="2799">ROUNDUP(AB400/3,0)</f>
        <v>0</v>
      </c>
      <c r="AB400" s="54">
        <f t="shared" ref="AB400:AB425" si="2800">RANDBETWEEN(0,4)</f>
        <v>0</v>
      </c>
      <c r="AC400" s="49">
        <f t="shared" ref="AC400:AD400" si="2774">SUM(S400,U400,W400,Y400,AA400)</f>
        <v>4</v>
      </c>
      <c r="AD400" s="50">
        <f t="shared" si="2774"/>
        <v>6</v>
      </c>
      <c r="AE400" s="53">
        <f t="shared" ref="AE400:AE434" si="2802">ROUNDUP(AF400/3,0)</f>
        <v>2</v>
      </c>
      <c r="AF400" s="54">
        <f t="shared" ref="AF400:AF425" si="2803">RANDBETWEEN(0,4)</f>
        <v>4</v>
      </c>
      <c r="AG400" s="53">
        <f t="shared" ref="AG400:AG434" si="2804">ROUNDUP(AH400/3,0)</f>
        <v>1</v>
      </c>
      <c r="AH400" s="54">
        <f t="shared" ref="AH400:AH425" si="2805">RANDBETWEEN(0,4)</f>
        <v>2</v>
      </c>
      <c r="AI400" s="53">
        <f t="shared" ref="AI400:AI434" si="2806">ROUNDUP(AJ400/3,0)</f>
        <v>2</v>
      </c>
      <c r="AJ400" s="54">
        <f t="shared" ref="AJ400:AJ425" si="2807">RANDBETWEEN(0,4)</f>
        <v>4</v>
      </c>
      <c r="AK400" s="53">
        <f t="shared" ref="AK400:AK434" si="2808">ROUNDUP(AL400/3,0)</f>
        <v>2</v>
      </c>
      <c r="AL400" s="54">
        <f t="shared" ref="AL400:AL425" si="2809">RANDBETWEEN(0,4)</f>
        <v>4</v>
      </c>
      <c r="AM400" s="53">
        <f t="shared" ref="AM400:AM434" si="2810">ROUNDUP(AN400/3,0)</f>
        <v>2</v>
      </c>
      <c r="AN400" s="54">
        <f t="shared" ref="AN400:AN425" si="2811">RANDBETWEEN(0,4)</f>
        <v>4</v>
      </c>
      <c r="AO400" s="53">
        <f t="shared" ref="AO400:AO434" si="2812">ROUNDUP(AP400/3,0)</f>
        <v>1</v>
      </c>
      <c r="AP400" s="54">
        <f t="shared" ref="AP400:AP425" si="2813">RANDBETWEEN(0,4)</f>
        <v>3</v>
      </c>
      <c r="AQ400" s="49">
        <f t="shared" ref="AQ400:AR400" si="2775">SUM(AG400,AI400,AK400,AM400,AO400)</f>
        <v>8</v>
      </c>
      <c r="AR400" s="50">
        <f t="shared" si="2775"/>
        <v>17</v>
      </c>
      <c r="AS400" s="53">
        <f t="shared" ref="AS400:AS434" si="2815">ROUNDUP(AT400/3,0)</f>
        <v>0</v>
      </c>
      <c r="AT400" s="54">
        <f t="shared" ref="AT400:AT425" si="2816">RANDBETWEEN(0,4)</f>
        <v>0</v>
      </c>
      <c r="AU400" s="53">
        <f t="shared" ref="AU400:AU434" si="2817">ROUNDUP(AV400/3,0)</f>
        <v>1</v>
      </c>
      <c r="AV400" s="54">
        <f t="shared" ref="AV400:AV425" si="2818">RANDBETWEEN(0,4)</f>
        <v>1</v>
      </c>
      <c r="AW400" s="53">
        <f t="shared" ref="AW400:AW434" si="2819">ROUNDUP(AX400/3,0)</f>
        <v>2</v>
      </c>
      <c r="AX400" s="54">
        <f t="shared" ref="AX400:AX425" si="2820">RANDBETWEEN(0,4)</f>
        <v>4</v>
      </c>
      <c r="AY400" s="53">
        <f t="shared" ref="AY400:AY434" si="2821">ROUNDUP(AZ400/3,0)</f>
        <v>1</v>
      </c>
      <c r="AZ400" s="54">
        <f t="shared" ref="AZ400:AZ425" si="2822">RANDBETWEEN(0,4)</f>
        <v>2</v>
      </c>
      <c r="BA400" s="53">
        <f t="shared" ref="BA400:BA434" si="2823">ROUNDUP(BB400/3,0)</f>
        <v>1</v>
      </c>
      <c r="BB400" s="54">
        <f t="shared" ref="BB400:BB425" si="2824">RANDBETWEEN(0,4)</f>
        <v>2</v>
      </c>
      <c r="BC400" s="49">
        <f t="shared" ref="BC400:BD400" si="2776">SUM(AS400,AU400,AW400,AY400,BA400)</f>
        <v>5</v>
      </c>
      <c r="BD400" s="50">
        <f t="shared" si="2776"/>
        <v>9</v>
      </c>
      <c r="BE400" s="68">
        <f t="shared" ref="BE400:BF400" si="2777">SUM(E400,G400,I400,O400,Q400,AC400,AQ400,BC400)</f>
        <v>23</v>
      </c>
      <c r="BF400" s="69">
        <f t="shared" si="2777"/>
        <v>47</v>
      </c>
      <c r="BG400" s="46" t="str">
        <f>BF400*'ОВгП_РАО'!$B$2</f>
        <v>#REF!</v>
      </c>
      <c r="BH400" s="46" t="str">
        <f>'ОВгП_РАО'!$B$2</f>
        <v>#REF!</v>
      </c>
    </row>
    <row r="401" ht="15.75" customHeight="1">
      <c r="A401" s="71">
        <f t="shared" ref="A401:A434" si="2827">A400</f>
        <v>46272</v>
      </c>
      <c r="B401" s="45" t="s">
        <v>115</v>
      </c>
      <c r="C401" s="46" t="s">
        <v>96</v>
      </c>
      <c r="D401" s="47" t="s">
        <v>98</v>
      </c>
      <c r="E401" s="73">
        <f t="shared" si="2778"/>
        <v>1</v>
      </c>
      <c r="F401" s="50">
        <f t="shared" si="2779"/>
        <v>1</v>
      </c>
      <c r="G401" s="73">
        <f t="shared" si="2780"/>
        <v>1</v>
      </c>
      <c r="H401" s="50">
        <f t="shared" si="2781"/>
        <v>2</v>
      </c>
      <c r="I401" s="73">
        <f t="shared" si="2782"/>
        <v>0</v>
      </c>
      <c r="J401" s="50">
        <f t="shared" si="2783"/>
        <v>0</v>
      </c>
      <c r="K401" s="53">
        <f t="shared" si="2784"/>
        <v>0</v>
      </c>
      <c r="L401" s="54">
        <f t="shared" si="2785"/>
        <v>0</v>
      </c>
      <c r="M401" s="53">
        <f t="shared" si="2786"/>
        <v>2</v>
      </c>
      <c r="N401" s="54">
        <f t="shared" si="2787"/>
        <v>4</v>
      </c>
      <c r="O401" s="49">
        <f t="shared" ref="O401:P401" si="2788">SUM(K401,M401)</f>
        <v>2</v>
      </c>
      <c r="P401" s="50">
        <f t="shared" si="2788"/>
        <v>4</v>
      </c>
      <c r="Q401" s="73">
        <f t="shared" si="2789"/>
        <v>2</v>
      </c>
      <c r="R401" s="50">
        <f t="shared" si="2790"/>
        <v>4</v>
      </c>
      <c r="S401" s="53">
        <f t="shared" si="2791"/>
        <v>1</v>
      </c>
      <c r="T401" s="54">
        <f t="shared" si="2792"/>
        <v>2</v>
      </c>
      <c r="U401" s="53">
        <f t="shared" si="2793"/>
        <v>1</v>
      </c>
      <c r="V401" s="54">
        <f t="shared" si="2794"/>
        <v>1</v>
      </c>
      <c r="W401" s="53">
        <f t="shared" si="2795"/>
        <v>2</v>
      </c>
      <c r="X401" s="54">
        <f t="shared" si="2796"/>
        <v>4</v>
      </c>
      <c r="Y401" s="53">
        <f t="shared" si="2797"/>
        <v>1</v>
      </c>
      <c r="Z401" s="54">
        <f t="shared" si="2798"/>
        <v>3</v>
      </c>
      <c r="AA401" s="53">
        <f t="shared" si="2799"/>
        <v>1</v>
      </c>
      <c r="AB401" s="54">
        <f t="shared" si="2800"/>
        <v>3</v>
      </c>
      <c r="AC401" s="49">
        <f t="shared" ref="AC401:AD401" si="2801">SUM(S401,U401,W401,Y401,AA401)</f>
        <v>6</v>
      </c>
      <c r="AD401" s="50">
        <f t="shared" si="2801"/>
        <v>13</v>
      </c>
      <c r="AE401" s="53">
        <f t="shared" si="2802"/>
        <v>2</v>
      </c>
      <c r="AF401" s="54">
        <f t="shared" si="2803"/>
        <v>4</v>
      </c>
      <c r="AG401" s="53">
        <f t="shared" si="2804"/>
        <v>0</v>
      </c>
      <c r="AH401" s="54">
        <f t="shared" si="2805"/>
        <v>0</v>
      </c>
      <c r="AI401" s="53">
        <f t="shared" si="2806"/>
        <v>1</v>
      </c>
      <c r="AJ401" s="54">
        <f t="shared" si="2807"/>
        <v>3</v>
      </c>
      <c r="AK401" s="53">
        <f t="shared" si="2808"/>
        <v>1</v>
      </c>
      <c r="AL401" s="54">
        <f t="shared" si="2809"/>
        <v>1</v>
      </c>
      <c r="AM401" s="53">
        <f t="shared" si="2810"/>
        <v>2</v>
      </c>
      <c r="AN401" s="54">
        <f t="shared" si="2811"/>
        <v>4</v>
      </c>
      <c r="AO401" s="53">
        <f t="shared" si="2812"/>
        <v>2</v>
      </c>
      <c r="AP401" s="54">
        <f t="shared" si="2813"/>
        <v>4</v>
      </c>
      <c r="AQ401" s="49">
        <f t="shared" ref="AQ401:AR401" si="2814">SUM(AG401,AI401,AK401,AM401,AO401)</f>
        <v>6</v>
      </c>
      <c r="AR401" s="50">
        <f t="shared" si="2814"/>
        <v>12</v>
      </c>
      <c r="AS401" s="53">
        <f t="shared" si="2815"/>
        <v>0</v>
      </c>
      <c r="AT401" s="54">
        <f t="shared" si="2816"/>
        <v>0</v>
      </c>
      <c r="AU401" s="53">
        <f t="shared" si="2817"/>
        <v>1</v>
      </c>
      <c r="AV401" s="54">
        <f t="shared" si="2818"/>
        <v>2</v>
      </c>
      <c r="AW401" s="53">
        <f t="shared" si="2819"/>
        <v>1</v>
      </c>
      <c r="AX401" s="54">
        <f t="shared" si="2820"/>
        <v>1</v>
      </c>
      <c r="AY401" s="53">
        <f t="shared" si="2821"/>
        <v>1</v>
      </c>
      <c r="AZ401" s="54">
        <f t="shared" si="2822"/>
        <v>2</v>
      </c>
      <c r="BA401" s="53">
        <f t="shared" si="2823"/>
        <v>1</v>
      </c>
      <c r="BB401" s="54">
        <f t="shared" si="2824"/>
        <v>3</v>
      </c>
      <c r="BC401" s="49">
        <f t="shared" ref="BC401:BD401" si="2825">SUM(AS401,AU401,AW401,AY401,BA401)</f>
        <v>4</v>
      </c>
      <c r="BD401" s="50">
        <f t="shared" si="2825"/>
        <v>8</v>
      </c>
      <c r="BE401" s="68">
        <f t="shared" ref="BE401:BF401" si="2826">SUM(E401,G401,I401,O401,Q401,AC401,AQ401,BC401)</f>
        <v>22</v>
      </c>
      <c r="BF401" s="69">
        <f t="shared" si="2826"/>
        <v>44</v>
      </c>
      <c r="BG401" s="46" t="str">
        <f>BF401*'ОВгП_РАО'!$B$3</f>
        <v>#REF!</v>
      </c>
      <c r="BH401" s="46" t="str">
        <f>'ОВгП_РАО'!$B$3</f>
        <v>#REF!</v>
      </c>
    </row>
    <row r="402" ht="15.75" customHeight="1">
      <c r="A402" s="80">
        <f t="shared" si="2827"/>
        <v>46272</v>
      </c>
      <c r="B402" s="45" t="s">
        <v>116</v>
      </c>
      <c r="C402" s="46" t="s">
        <v>96</v>
      </c>
      <c r="D402" s="47" t="s">
        <v>98</v>
      </c>
      <c r="E402" s="73">
        <f t="shared" si="2778"/>
        <v>1</v>
      </c>
      <c r="F402" s="50">
        <f t="shared" si="2779"/>
        <v>2</v>
      </c>
      <c r="G402" s="73">
        <f t="shared" si="2780"/>
        <v>1</v>
      </c>
      <c r="H402" s="50">
        <f t="shared" si="2781"/>
        <v>3</v>
      </c>
      <c r="I402" s="73">
        <f t="shared" si="2782"/>
        <v>1</v>
      </c>
      <c r="J402" s="50">
        <f t="shared" si="2783"/>
        <v>1</v>
      </c>
      <c r="K402" s="53">
        <f t="shared" si="2784"/>
        <v>2</v>
      </c>
      <c r="L402" s="54">
        <f t="shared" si="2785"/>
        <v>4</v>
      </c>
      <c r="M402" s="53">
        <f t="shared" si="2786"/>
        <v>0</v>
      </c>
      <c r="N402" s="54">
        <f t="shared" si="2787"/>
        <v>0</v>
      </c>
      <c r="O402" s="49">
        <f t="shared" ref="O402:P402" si="2828">SUM(K402,M402)</f>
        <v>2</v>
      </c>
      <c r="P402" s="50">
        <f t="shared" si="2828"/>
        <v>4</v>
      </c>
      <c r="Q402" s="73">
        <f t="shared" si="2789"/>
        <v>1</v>
      </c>
      <c r="R402" s="50">
        <f t="shared" si="2790"/>
        <v>3</v>
      </c>
      <c r="S402" s="53">
        <f t="shared" si="2791"/>
        <v>1</v>
      </c>
      <c r="T402" s="54">
        <f t="shared" si="2792"/>
        <v>3</v>
      </c>
      <c r="U402" s="53">
        <f t="shared" si="2793"/>
        <v>1</v>
      </c>
      <c r="V402" s="54">
        <f t="shared" si="2794"/>
        <v>3</v>
      </c>
      <c r="W402" s="53">
        <f t="shared" si="2795"/>
        <v>2</v>
      </c>
      <c r="X402" s="54">
        <f t="shared" si="2796"/>
        <v>4</v>
      </c>
      <c r="Y402" s="53">
        <f t="shared" si="2797"/>
        <v>1</v>
      </c>
      <c r="Z402" s="54">
        <f t="shared" si="2798"/>
        <v>2</v>
      </c>
      <c r="AA402" s="53">
        <f t="shared" si="2799"/>
        <v>0</v>
      </c>
      <c r="AB402" s="54">
        <f t="shared" si="2800"/>
        <v>0</v>
      </c>
      <c r="AC402" s="49">
        <f t="shared" ref="AC402:AD402" si="2829">SUM(S402,U402,W402,Y402,AA402)</f>
        <v>5</v>
      </c>
      <c r="AD402" s="50">
        <f t="shared" si="2829"/>
        <v>12</v>
      </c>
      <c r="AE402" s="53">
        <f t="shared" si="2802"/>
        <v>1</v>
      </c>
      <c r="AF402" s="54">
        <f t="shared" si="2803"/>
        <v>1</v>
      </c>
      <c r="AG402" s="53">
        <f t="shared" si="2804"/>
        <v>2</v>
      </c>
      <c r="AH402" s="54">
        <f t="shared" si="2805"/>
        <v>4</v>
      </c>
      <c r="AI402" s="53">
        <f t="shared" si="2806"/>
        <v>1</v>
      </c>
      <c r="AJ402" s="54">
        <f t="shared" si="2807"/>
        <v>3</v>
      </c>
      <c r="AK402" s="53">
        <f t="shared" si="2808"/>
        <v>2</v>
      </c>
      <c r="AL402" s="54">
        <f t="shared" si="2809"/>
        <v>4</v>
      </c>
      <c r="AM402" s="53">
        <f t="shared" si="2810"/>
        <v>1</v>
      </c>
      <c r="AN402" s="54">
        <f t="shared" si="2811"/>
        <v>1</v>
      </c>
      <c r="AO402" s="53">
        <f t="shared" si="2812"/>
        <v>0</v>
      </c>
      <c r="AP402" s="54">
        <f t="shared" si="2813"/>
        <v>0</v>
      </c>
      <c r="AQ402" s="49">
        <f t="shared" ref="AQ402:AR402" si="2830">SUM(AG402,AI402,AK402,AM402,AO402)</f>
        <v>6</v>
      </c>
      <c r="AR402" s="50">
        <f t="shared" si="2830"/>
        <v>12</v>
      </c>
      <c r="AS402" s="53">
        <f t="shared" si="2815"/>
        <v>0</v>
      </c>
      <c r="AT402" s="54">
        <f t="shared" si="2816"/>
        <v>0</v>
      </c>
      <c r="AU402" s="53">
        <f t="shared" si="2817"/>
        <v>0</v>
      </c>
      <c r="AV402" s="54">
        <f t="shared" si="2818"/>
        <v>0</v>
      </c>
      <c r="AW402" s="53">
        <f t="shared" si="2819"/>
        <v>1</v>
      </c>
      <c r="AX402" s="54">
        <f t="shared" si="2820"/>
        <v>2</v>
      </c>
      <c r="AY402" s="53">
        <f t="shared" si="2821"/>
        <v>2</v>
      </c>
      <c r="AZ402" s="54">
        <f t="shared" si="2822"/>
        <v>4</v>
      </c>
      <c r="BA402" s="53">
        <f t="shared" si="2823"/>
        <v>0</v>
      </c>
      <c r="BB402" s="54">
        <f t="shared" si="2824"/>
        <v>0</v>
      </c>
      <c r="BC402" s="49">
        <f t="shared" ref="BC402:BD402" si="2831">SUM(AS402,AU402,AW402,AY402,BA402)</f>
        <v>3</v>
      </c>
      <c r="BD402" s="50">
        <f t="shared" si="2831"/>
        <v>6</v>
      </c>
      <c r="BE402" s="68">
        <f t="shared" ref="BE402:BF402" si="2832">SUM(E402,G402,I402,O402,Q402,AC402,AQ402,BC402)</f>
        <v>20</v>
      </c>
      <c r="BF402" s="69">
        <f t="shared" si="2832"/>
        <v>43</v>
      </c>
      <c r="BG402" s="46" t="str">
        <f>BF402*'ОВгП_РАО'!$B$4</f>
        <v>#REF!</v>
      </c>
      <c r="BH402" s="46" t="str">
        <f>'ОВгП_РАО'!$B$4</f>
        <v>#REF!</v>
      </c>
    </row>
    <row r="403" ht="15.75" customHeight="1">
      <c r="A403" s="80">
        <f t="shared" si="2827"/>
        <v>46272</v>
      </c>
      <c r="B403" s="45" t="s">
        <v>117</v>
      </c>
      <c r="C403" s="46" t="s">
        <v>96</v>
      </c>
      <c r="D403" s="47" t="s">
        <v>98</v>
      </c>
      <c r="E403" s="73">
        <f t="shared" si="2778"/>
        <v>1</v>
      </c>
      <c r="F403" s="50">
        <f t="shared" si="2779"/>
        <v>2</v>
      </c>
      <c r="G403" s="73">
        <f t="shared" si="2780"/>
        <v>2</v>
      </c>
      <c r="H403" s="50">
        <f t="shared" si="2781"/>
        <v>4</v>
      </c>
      <c r="I403" s="73">
        <f t="shared" si="2782"/>
        <v>2</v>
      </c>
      <c r="J403" s="50">
        <f t="shared" si="2783"/>
        <v>4</v>
      </c>
      <c r="K403" s="53">
        <f t="shared" si="2784"/>
        <v>1</v>
      </c>
      <c r="L403" s="54">
        <f t="shared" si="2785"/>
        <v>3</v>
      </c>
      <c r="M403" s="53">
        <f t="shared" si="2786"/>
        <v>1</v>
      </c>
      <c r="N403" s="54">
        <f t="shared" si="2787"/>
        <v>2</v>
      </c>
      <c r="O403" s="49">
        <f t="shared" ref="O403:P403" si="2833">SUM(K403,M403)</f>
        <v>2</v>
      </c>
      <c r="P403" s="50">
        <f t="shared" si="2833"/>
        <v>5</v>
      </c>
      <c r="Q403" s="73">
        <f t="shared" si="2789"/>
        <v>1</v>
      </c>
      <c r="R403" s="50">
        <f t="shared" si="2790"/>
        <v>2</v>
      </c>
      <c r="S403" s="53">
        <f t="shared" si="2791"/>
        <v>1</v>
      </c>
      <c r="T403" s="54">
        <f t="shared" si="2792"/>
        <v>2</v>
      </c>
      <c r="U403" s="53">
        <f t="shared" si="2793"/>
        <v>0</v>
      </c>
      <c r="V403" s="54">
        <f t="shared" si="2794"/>
        <v>0</v>
      </c>
      <c r="W403" s="53">
        <f t="shared" si="2795"/>
        <v>0</v>
      </c>
      <c r="X403" s="54">
        <f t="shared" si="2796"/>
        <v>0</v>
      </c>
      <c r="Y403" s="53">
        <f t="shared" si="2797"/>
        <v>1</v>
      </c>
      <c r="Z403" s="54">
        <f t="shared" si="2798"/>
        <v>2</v>
      </c>
      <c r="AA403" s="53">
        <f t="shared" si="2799"/>
        <v>0</v>
      </c>
      <c r="AB403" s="54">
        <f t="shared" si="2800"/>
        <v>0</v>
      </c>
      <c r="AC403" s="49">
        <f t="shared" ref="AC403:AD403" si="2834">SUM(S403,U403,W403,Y403,AA403)</f>
        <v>2</v>
      </c>
      <c r="AD403" s="50">
        <f t="shared" si="2834"/>
        <v>4</v>
      </c>
      <c r="AE403" s="53">
        <f t="shared" si="2802"/>
        <v>0</v>
      </c>
      <c r="AF403" s="54">
        <f t="shared" si="2803"/>
        <v>0</v>
      </c>
      <c r="AG403" s="53">
        <f t="shared" si="2804"/>
        <v>2</v>
      </c>
      <c r="AH403" s="54">
        <f t="shared" si="2805"/>
        <v>4</v>
      </c>
      <c r="AI403" s="53">
        <f t="shared" si="2806"/>
        <v>1</v>
      </c>
      <c r="AJ403" s="54">
        <f t="shared" si="2807"/>
        <v>2</v>
      </c>
      <c r="AK403" s="53">
        <f t="shared" si="2808"/>
        <v>1</v>
      </c>
      <c r="AL403" s="54">
        <f t="shared" si="2809"/>
        <v>2</v>
      </c>
      <c r="AM403" s="53">
        <f t="shared" si="2810"/>
        <v>2</v>
      </c>
      <c r="AN403" s="54">
        <f t="shared" si="2811"/>
        <v>4</v>
      </c>
      <c r="AO403" s="53">
        <f t="shared" si="2812"/>
        <v>1</v>
      </c>
      <c r="AP403" s="54">
        <f t="shared" si="2813"/>
        <v>2</v>
      </c>
      <c r="AQ403" s="49">
        <f t="shared" ref="AQ403:AR403" si="2835">SUM(AG403,AI403,AK403,AM403,AO403)</f>
        <v>7</v>
      </c>
      <c r="AR403" s="50">
        <f t="shared" si="2835"/>
        <v>14</v>
      </c>
      <c r="AS403" s="53">
        <f t="shared" si="2815"/>
        <v>1</v>
      </c>
      <c r="AT403" s="54">
        <f t="shared" si="2816"/>
        <v>3</v>
      </c>
      <c r="AU403" s="53">
        <f t="shared" si="2817"/>
        <v>1</v>
      </c>
      <c r="AV403" s="54">
        <f t="shared" si="2818"/>
        <v>2</v>
      </c>
      <c r="AW403" s="53">
        <f t="shared" si="2819"/>
        <v>0</v>
      </c>
      <c r="AX403" s="54">
        <f t="shared" si="2820"/>
        <v>0</v>
      </c>
      <c r="AY403" s="53">
        <f t="shared" si="2821"/>
        <v>1</v>
      </c>
      <c r="AZ403" s="54">
        <f t="shared" si="2822"/>
        <v>2</v>
      </c>
      <c r="BA403" s="53">
        <f t="shared" si="2823"/>
        <v>0</v>
      </c>
      <c r="BB403" s="54">
        <f t="shared" si="2824"/>
        <v>0</v>
      </c>
      <c r="BC403" s="49">
        <f t="shared" ref="BC403:BD403" si="2836">SUM(AS403,AU403,AW403,AY403,BA403)</f>
        <v>3</v>
      </c>
      <c r="BD403" s="50">
        <f t="shared" si="2836"/>
        <v>7</v>
      </c>
      <c r="BE403" s="68">
        <f t="shared" ref="BE403:BF403" si="2837">SUM(E403,G403,I403,O403,Q403,AC403,AQ403,BC403)</f>
        <v>20</v>
      </c>
      <c r="BF403" s="69">
        <f t="shared" si="2837"/>
        <v>42</v>
      </c>
      <c r="BG403" s="46" t="str">
        <f>BF403*'ОВгП_РАО'!$B$5</f>
        <v>#REF!</v>
      </c>
      <c r="BH403" s="46" t="str">
        <f>'ОВгП_РАО'!$B$5</f>
        <v>#REF!</v>
      </c>
    </row>
    <row r="404" ht="15.75" customHeight="1">
      <c r="A404" s="80">
        <f t="shared" si="2827"/>
        <v>46272</v>
      </c>
      <c r="B404" s="45" t="s">
        <v>118</v>
      </c>
      <c r="C404" s="45" t="s">
        <v>96</v>
      </c>
      <c r="D404" s="47" t="s">
        <v>98</v>
      </c>
      <c r="E404" s="73">
        <f t="shared" si="2778"/>
        <v>2</v>
      </c>
      <c r="F404" s="50">
        <f t="shared" si="2779"/>
        <v>4</v>
      </c>
      <c r="G404" s="73">
        <f t="shared" si="2780"/>
        <v>0</v>
      </c>
      <c r="H404" s="50">
        <f t="shared" si="2781"/>
        <v>0</v>
      </c>
      <c r="I404" s="73">
        <f t="shared" si="2782"/>
        <v>1</v>
      </c>
      <c r="J404" s="50">
        <f t="shared" si="2783"/>
        <v>3</v>
      </c>
      <c r="K404" s="53">
        <f t="shared" si="2784"/>
        <v>0</v>
      </c>
      <c r="L404" s="54">
        <f t="shared" si="2785"/>
        <v>0</v>
      </c>
      <c r="M404" s="53">
        <f t="shared" si="2786"/>
        <v>0</v>
      </c>
      <c r="N404" s="54">
        <f t="shared" si="2787"/>
        <v>0</v>
      </c>
      <c r="O404" s="49">
        <f t="shared" ref="O404:P404" si="2838">SUM(K404,M404)</f>
        <v>0</v>
      </c>
      <c r="P404" s="50">
        <f t="shared" si="2838"/>
        <v>0</v>
      </c>
      <c r="Q404" s="73">
        <f t="shared" si="2789"/>
        <v>2</v>
      </c>
      <c r="R404" s="50">
        <f t="shared" si="2790"/>
        <v>4</v>
      </c>
      <c r="S404" s="53">
        <f t="shared" si="2791"/>
        <v>2</v>
      </c>
      <c r="T404" s="54">
        <f t="shared" si="2792"/>
        <v>4</v>
      </c>
      <c r="U404" s="53">
        <f t="shared" si="2793"/>
        <v>2</v>
      </c>
      <c r="V404" s="54">
        <f t="shared" si="2794"/>
        <v>4</v>
      </c>
      <c r="W404" s="53">
        <f t="shared" si="2795"/>
        <v>1</v>
      </c>
      <c r="X404" s="54">
        <f t="shared" si="2796"/>
        <v>3</v>
      </c>
      <c r="Y404" s="53">
        <f t="shared" si="2797"/>
        <v>1</v>
      </c>
      <c r="Z404" s="54">
        <f t="shared" si="2798"/>
        <v>2</v>
      </c>
      <c r="AA404" s="53">
        <f t="shared" si="2799"/>
        <v>0</v>
      </c>
      <c r="AB404" s="54">
        <f t="shared" si="2800"/>
        <v>0</v>
      </c>
      <c r="AC404" s="49">
        <f t="shared" ref="AC404:AD404" si="2839">SUM(S404,U404,W404,Y404,AA404)</f>
        <v>6</v>
      </c>
      <c r="AD404" s="50">
        <f t="shared" si="2839"/>
        <v>13</v>
      </c>
      <c r="AE404" s="53">
        <f t="shared" si="2802"/>
        <v>1</v>
      </c>
      <c r="AF404" s="54">
        <f t="shared" si="2803"/>
        <v>1</v>
      </c>
      <c r="AG404" s="53">
        <f t="shared" si="2804"/>
        <v>1</v>
      </c>
      <c r="AH404" s="54">
        <f t="shared" si="2805"/>
        <v>2</v>
      </c>
      <c r="AI404" s="53">
        <f t="shared" si="2806"/>
        <v>1</v>
      </c>
      <c r="AJ404" s="54">
        <f t="shared" si="2807"/>
        <v>3</v>
      </c>
      <c r="AK404" s="53">
        <f t="shared" si="2808"/>
        <v>0</v>
      </c>
      <c r="AL404" s="54">
        <f t="shared" si="2809"/>
        <v>0</v>
      </c>
      <c r="AM404" s="53">
        <f t="shared" si="2810"/>
        <v>0</v>
      </c>
      <c r="AN404" s="54">
        <f t="shared" si="2811"/>
        <v>0</v>
      </c>
      <c r="AO404" s="53">
        <f t="shared" si="2812"/>
        <v>1</v>
      </c>
      <c r="AP404" s="54">
        <f t="shared" si="2813"/>
        <v>3</v>
      </c>
      <c r="AQ404" s="49">
        <f t="shared" ref="AQ404:AR404" si="2840">SUM(AG404,AI404,AK404,AM404,AO404)</f>
        <v>3</v>
      </c>
      <c r="AR404" s="50">
        <f t="shared" si="2840"/>
        <v>8</v>
      </c>
      <c r="AS404" s="53">
        <f t="shared" si="2815"/>
        <v>1</v>
      </c>
      <c r="AT404" s="54">
        <f t="shared" si="2816"/>
        <v>3</v>
      </c>
      <c r="AU404" s="53">
        <f t="shared" si="2817"/>
        <v>0</v>
      </c>
      <c r="AV404" s="54">
        <f t="shared" si="2818"/>
        <v>0</v>
      </c>
      <c r="AW404" s="53">
        <f t="shared" si="2819"/>
        <v>1</v>
      </c>
      <c r="AX404" s="54">
        <f t="shared" si="2820"/>
        <v>2</v>
      </c>
      <c r="AY404" s="53">
        <f t="shared" si="2821"/>
        <v>1</v>
      </c>
      <c r="AZ404" s="54">
        <f t="shared" si="2822"/>
        <v>3</v>
      </c>
      <c r="BA404" s="53">
        <f t="shared" si="2823"/>
        <v>1</v>
      </c>
      <c r="BB404" s="54">
        <f t="shared" si="2824"/>
        <v>2</v>
      </c>
      <c r="BC404" s="49">
        <f t="shared" ref="BC404:BD404" si="2841">SUM(AS404,AU404,AW404,AY404,BA404)</f>
        <v>4</v>
      </c>
      <c r="BD404" s="50">
        <f t="shared" si="2841"/>
        <v>10</v>
      </c>
      <c r="BE404" s="68">
        <f t="shared" ref="BE404:BF404" si="2842">SUM(E404,G404,I404,O404,Q404,AC404,AQ404,BC404)</f>
        <v>18</v>
      </c>
      <c r="BF404" s="69">
        <f t="shared" si="2842"/>
        <v>42</v>
      </c>
      <c r="BG404" s="46" t="str">
        <f>BF404*'ОВгП_РАО'!$B$6</f>
        <v>#REF!</v>
      </c>
      <c r="BH404" s="46" t="str">
        <f>'ОВгП_РАО'!$B$6</f>
        <v>#REF!</v>
      </c>
    </row>
    <row r="405" ht="15.75" customHeight="1">
      <c r="A405" s="80">
        <f t="shared" si="2827"/>
        <v>46272</v>
      </c>
      <c r="B405" s="46" t="s">
        <v>119</v>
      </c>
      <c r="C405" s="45" t="s">
        <v>96</v>
      </c>
      <c r="D405" s="47" t="s">
        <v>120</v>
      </c>
      <c r="E405" s="73">
        <f t="shared" si="2778"/>
        <v>1</v>
      </c>
      <c r="F405" s="50">
        <f t="shared" si="2779"/>
        <v>1</v>
      </c>
      <c r="G405" s="73">
        <f t="shared" si="2780"/>
        <v>1</v>
      </c>
      <c r="H405" s="50">
        <f t="shared" si="2781"/>
        <v>2</v>
      </c>
      <c r="I405" s="73">
        <f t="shared" si="2782"/>
        <v>0</v>
      </c>
      <c r="J405" s="50">
        <f t="shared" si="2783"/>
        <v>0</v>
      </c>
      <c r="K405" s="53">
        <f t="shared" si="2784"/>
        <v>1</v>
      </c>
      <c r="L405" s="54">
        <f t="shared" si="2785"/>
        <v>3</v>
      </c>
      <c r="M405" s="53">
        <f t="shared" si="2786"/>
        <v>1</v>
      </c>
      <c r="N405" s="54">
        <f t="shared" si="2787"/>
        <v>2</v>
      </c>
      <c r="O405" s="49">
        <f t="shared" ref="O405:P405" si="2843">SUM(K405,M405)</f>
        <v>2</v>
      </c>
      <c r="P405" s="50">
        <f t="shared" si="2843"/>
        <v>5</v>
      </c>
      <c r="Q405" s="73">
        <f t="shared" si="2789"/>
        <v>0</v>
      </c>
      <c r="R405" s="50">
        <f t="shared" si="2790"/>
        <v>0</v>
      </c>
      <c r="S405" s="53">
        <f t="shared" si="2791"/>
        <v>1</v>
      </c>
      <c r="T405" s="54">
        <f t="shared" si="2792"/>
        <v>2</v>
      </c>
      <c r="U405" s="53">
        <f t="shared" si="2793"/>
        <v>1</v>
      </c>
      <c r="V405" s="54">
        <f t="shared" si="2794"/>
        <v>3</v>
      </c>
      <c r="W405" s="53">
        <f t="shared" si="2795"/>
        <v>2</v>
      </c>
      <c r="X405" s="54">
        <f t="shared" si="2796"/>
        <v>4</v>
      </c>
      <c r="Y405" s="53">
        <f t="shared" si="2797"/>
        <v>1</v>
      </c>
      <c r="Z405" s="54">
        <f t="shared" si="2798"/>
        <v>2</v>
      </c>
      <c r="AA405" s="53">
        <f t="shared" si="2799"/>
        <v>2</v>
      </c>
      <c r="AB405" s="54">
        <f t="shared" si="2800"/>
        <v>4</v>
      </c>
      <c r="AC405" s="49">
        <f t="shared" ref="AC405:AD405" si="2844">SUM(S405,U405,W405,Y405,AA405)</f>
        <v>7</v>
      </c>
      <c r="AD405" s="50">
        <f t="shared" si="2844"/>
        <v>15</v>
      </c>
      <c r="AE405" s="53">
        <f t="shared" si="2802"/>
        <v>1</v>
      </c>
      <c r="AF405" s="54">
        <f t="shared" si="2803"/>
        <v>1</v>
      </c>
      <c r="AG405" s="53">
        <f t="shared" si="2804"/>
        <v>1</v>
      </c>
      <c r="AH405" s="54">
        <f t="shared" si="2805"/>
        <v>1</v>
      </c>
      <c r="AI405" s="53">
        <f t="shared" si="2806"/>
        <v>0</v>
      </c>
      <c r="AJ405" s="54">
        <f t="shared" si="2807"/>
        <v>0</v>
      </c>
      <c r="AK405" s="53">
        <f t="shared" si="2808"/>
        <v>2</v>
      </c>
      <c r="AL405" s="54">
        <f t="shared" si="2809"/>
        <v>4</v>
      </c>
      <c r="AM405" s="53">
        <f t="shared" si="2810"/>
        <v>1</v>
      </c>
      <c r="AN405" s="54">
        <f t="shared" si="2811"/>
        <v>1</v>
      </c>
      <c r="AO405" s="53">
        <f t="shared" si="2812"/>
        <v>1</v>
      </c>
      <c r="AP405" s="54">
        <f t="shared" si="2813"/>
        <v>1</v>
      </c>
      <c r="AQ405" s="49">
        <f t="shared" ref="AQ405:AR405" si="2845">SUM(AG405,AI405,AK405,AM405,AO405)</f>
        <v>5</v>
      </c>
      <c r="AR405" s="50">
        <f t="shared" si="2845"/>
        <v>7</v>
      </c>
      <c r="AS405" s="53">
        <f t="shared" si="2815"/>
        <v>2</v>
      </c>
      <c r="AT405" s="54">
        <f t="shared" si="2816"/>
        <v>4</v>
      </c>
      <c r="AU405" s="53">
        <f t="shared" si="2817"/>
        <v>0</v>
      </c>
      <c r="AV405" s="54">
        <f t="shared" si="2818"/>
        <v>0</v>
      </c>
      <c r="AW405" s="53">
        <f t="shared" si="2819"/>
        <v>1</v>
      </c>
      <c r="AX405" s="54">
        <f t="shared" si="2820"/>
        <v>2</v>
      </c>
      <c r="AY405" s="53">
        <f t="shared" si="2821"/>
        <v>0</v>
      </c>
      <c r="AZ405" s="54">
        <f t="shared" si="2822"/>
        <v>0</v>
      </c>
      <c r="BA405" s="53">
        <f t="shared" si="2823"/>
        <v>1</v>
      </c>
      <c r="BB405" s="54">
        <f t="shared" si="2824"/>
        <v>3</v>
      </c>
      <c r="BC405" s="49">
        <f t="shared" ref="BC405:BD405" si="2846">SUM(AS405,AU405,AW405,AY405,BA405)</f>
        <v>4</v>
      </c>
      <c r="BD405" s="50">
        <f t="shared" si="2846"/>
        <v>9</v>
      </c>
      <c r="BE405" s="68">
        <f t="shared" ref="BE405:BF405" si="2847">SUM(E405,G405,I405,O405,Q405,AC405,AQ405,BC405)</f>
        <v>20</v>
      </c>
      <c r="BF405" s="69">
        <f t="shared" si="2847"/>
        <v>39</v>
      </c>
      <c r="BG405" s="46" t="str">
        <f>BF405*'ОВгП_РАО'!$B$7</f>
        <v>#REF!</v>
      </c>
      <c r="BH405" s="46" t="str">
        <f>'ОВгП_РАО'!$B$7</f>
        <v>#REF!</v>
      </c>
    </row>
    <row r="406" ht="15.75" customHeight="1">
      <c r="A406" s="80">
        <f t="shared" si="2827"/>
        <v>46272</v>
      </c>
      <c r="B406" s="45" t="s">
        <v>121</v>
      </c>
      <c r="C406" s="47" t="s">
        <v>122</v>
      </c>
      <c r="D406" s="47" t="s">
        <v>123</v>
      </c>
      <c r="E406" s="73">
        <f t="shared" si="2778"/>
        <v>1</v>
      </c>
      <c r="F406" s="50">
        <f t="shared" si="2779"/>
        <v>2</v>
      </c>
      <c r="G406" s="73">
        <f t="shared" si="2780"/>
        <v>1</v>
      </c>
      <c r="H406" s="50">
        <f t="shared" si="2781"/>
        <v>2</v>
      </c>
      <c r="I406" s="73">
        <f t="shared" si="2782"/>
        <v>2</v>
      </c>
      <c r="J406" s="50">
        <f t="shared" si="2783"/>
        <v>4</v>
      </c>
      <c r="K406" s="53">
        <f t="shared" si="2784"/>
        <v>2</v>
      </c>
      <c r="L406" s="54">
        <f t="shared" si="2785"/>
        <v>4</v>
      </c>
      <c r="M406" s="53">
        <f t="shared" si="2786"/>
        <v>2</v>
      </c>
      <c r="N406" s="54">
        <f t="shared" si="2787"/>
        <v>4</v>
      </c>
      <c r="O406" s="49">
        <f t="shared" ref="O406:P406" si="2848">SUM(K406,M406)</f>
        <v>4</v>
      </c>
      <c r="P406" s="50">
        <f t="shared" si="2848"/>
        <v>8</v>
      </c>
      <c r="Q406" s="73">
        <f t="shared" si="2789"/>
        <v>2</v>
      </c>
      <c r="R406" s="50">
        <f t="shared" si="2790"/>
        <v>4</v>
      </c>
      <c r="S406" s="53">
        <f t="shared" si="2791"/>
        <v>1</v>
      </c>
      <c r="T406" s="54">
        <f t="shared" si="2792"/>
        <v>3</v>
      </c>
      <c r="U406" s="53">
        <f t="shared" si="2793"/>
        <v>1</v>
      </c>
      <c r="V406" s="54">
        <f t="shared" si="2794"/>
        <v>1</v>
      </c>
      <c r="W406" s="53">
        <f t="shared" si="2795"/>
        <v>1</v>
      </c>
      <c r="X406" s="54">
        <f t="shared" si="2796"/>
        <v>3</v>
      </c>
      <c r="Y406" s="53">
        <f t="shared" si="2797"/>
        <v>1</v>
      </c>
      <c r="Z406" s="54">
        <f t="shared" si="2798"/>
        <v>1</v>
      </c>
      <c r="AA406" s="53">
        <f t="shared" si="2799"/>
        <v>1</v>
      </c>
      <c r="AB406" s="54">
        <f t="shared" si="2800"/>
        <v>3</v>
      </c>
      <c r="AC406" s="49">
        <f t="shared" ref="AC406:AD406" si="2849">SUM(S406,U406,W406,Y406,AA406)</f>
        <v>5</v>
      </c>
      <c r="AD406" s="50">
        <f t="shared" si="2849"/>
        <v>11</v>
      </c>
      <c r="AE406" s="53">
        <f t="shared" si="2802"/>
        <v>1</v>
      </c>
      <c r="AF406" s="54">
        <f t="shared" si="2803"/>
        <v>3</v>
      </c>
      <c r="AG406" s="53">
        <f t="shared" si="2804"/>
        <v>1</v>
      </c>
      <c r="AH406" s="54">
        <f t="shared" si="2805"/>
        <v>1</v>
      </c>
      <c r="AI406" s="53">
        <f t="shared" si="2806"/>
        <v>2</v>
      </c>
      <c r="AJ406" s="54">
        <f t="shared" si="2807"/>
        <v>4</v>
      </c>
      <c r="AK406" s="53">
        <f t="shared" si="2808"/>
        <v>0</v>
      </c>
      <c r="AL406" s="54">
        <f t="shared" si="2809"/>
        <v>0</v>
      </c>
      <c r="AM406" s="53">
        <f t="shared" si="2810"/>
        <v>1</v>
      </c>
      <c r="AN406" s="54">
        <f t="shared" si="2811"/>
        <v>3</v>
      </c>
      <c r="AO406" s="53">
        <f t="shared" si="2812"/>
        <v>2</v>
      </c>
      <c r="AP406" s="54">
        <f t="shared" si="2813"/>
        <v>4</v>
      </c>
      <c r="AQ406" s="49">
        <f t="shared" ref="AQ406:AR406" si="2850">SUM(AG406,AI406,AK406,AM406,AO406)</f>
        <v>6</v>
      </c>
      <c r="AR406" s="50">
        <f t="shared" si="2850"/>
        <v>12</v>
      </c>
      <c r="AS406" s="53">
        <f t="shared" si="2815"/>
        <v>2</v>
      </c>
      <c r="AT406" s="54">
        <f t="shared" si="2816"/>
        <v>4</v>
      </c>
      <c r="AU406" s="53">
        <f t="shared" si="2817"/>
        <v>0</v>
      </c>
      <c r="AV406" s="54">
        <f t="shared" si="2818"/>
        <v>0</v>
      </c>
      <c r="AW406" s="53">
        <f t="shared" si="2819"/>
        <v>0</v>
      </c>
      <c r="AX406" s="54">
        <f t="shared" si="2820"/>
        <v>0</v>
      </c>
      <c r="AY406" s="53">
        <f t="shared" si="2821"/>
        <v>1</v>
      </c>
      <c r="AZ406" s="54">
        <f t="shared" si="2822"/>
        <v>1</v>
      </c>
      <c r="BA406" s="53">
        <f t="shared" si="2823"/>
        <v>0</v>
      </c>
      <c r="BB406" s="54">
        <f t="shared" si="2824"/>
        <v>0</v>
      </c>
      <c r="BC406" s="49">
        <f t="shared" ref="BC406:BD406" si="2851">SUM(AS406,AU406,AW406,AY406,BA406)</f>
        <v>3</v>
      </c>
      <c r="BD406" s="50">
        <f t="shared" si="2851"/>
        <v>5</v>
      </c>
      <c r="BE406" s="68">
        <f t="shared" ref="BE406:BF406" si="2852">SUM(E406,G406,I406,O406,Q406,AC406,AQ406,BC406)</f>
        <v>24</v>
      </c>
      <c r="BF406" s="69">
        <f t="shared" si="2852"/>
        <v>48</v>
      </c>
      <c r="BG406" s="46" t="str">
        <f>BF406*'ОВгП_РАО'!$B$8</f>
        <v>#REF!</v>
      </c>
      <c r="BH406" s="46" t="str">
        <f>'ОВгП_РАО'!$B$8</f>
        <v>#REF!</v>
      </c>
    </row>
    <row r="407" ht="15.75" customHeight="1">
      <c r="A407" s="80">
        <f t="shared" si="2827"/>
        <v>46272</v>
      </c>
      <c r="B407" s="46" t="s">
        <v>124</v>
      </c>
      <c r="C407" s="46" t="s">
        <v>125</v>
      </c>
      <c r="D407" s="46" t="s">
        <v>126</v>
      </c>
      <c r="E407" s="73">
        <f t="shared" si="2778"/>
        <v>1</v>
      </c>
      <c r="F407" s="50">
        <f t="shared" si="2779"/>
        <v>2</v>
      </c>
      <c r="G407" s="73">
        <f t="shared" si="2780"/>
        <v>1</v>
      </c>
      <c r="H407" s="50">
        <f t="shared" si="2781"/>
        <v>3</v>
      </c>
      <c r="I407" s="73">
        <f t="shared" si="2782"/>
        <v>0</v>
      </c>
      <c r="J407" s="50">
        <f t="shared" si="2783"/>
        <v>0</v>
      </c>
      <c r="K407" s="53">
        <f t="shared" si="2784"/>
        <v>0</v>
      </c>
      <c r="L407" s="54">
        <f t="shared" si="2785"/>
        <v>0</v>
      </c>
      <c r="M407" s="53">
        <f t="shared" si="2786"/>
        <v>0</v>
      </c>
      <c r="N407" s="54">
        <f t="shared" si="2787"/>
        <v>0</v>
      </c>
      <c r="O407" s="49">
        <f t="shared" ref="O407:P407" si="2853">SUM(K407,M407)</f>
        <v>0</v>
      </c>
      <c r="P407" s="50">
        <f t="shared" si="2853"/>
        <v>0</v>
      </c>
      <c r="Q407" s="73">
        <f t="shared" si="2789"/>
        <v>2</v>
      </c>
      <c r="R407" s="50">
        <f t="shared" si="2790"/>
        <v>4</v>
      </c>
      <c r="S407" s="53">
        <f t="shared" si="2791"/>
        <v>1</v>
      </c>
      <c r="T407" s="54">
        <f t="shared" si="2792"/>
        <v>1</v>
      </c>
      <c r="U407" s="53">
        <f t="shared" si="2793"/>
        <v>1</v>
      </c>
      <c r="V407" s="54">
        <f t="shared" si="2794"/>
        <v>1</v>
      </c>
      <c r="W407" s="53">
        <f t="shared" si="2795"/>
        <v>1</v>
      </c>
      <c r="X407" s="54">
        <f t="shared" si="2796"/>
        <v>1</v>
      </c>
      <c r="Y407" s="53">
        <f t="shared" si="2797"/>
        <v>1</v>
      </c>
      <c r="Z407" s="54">
        <f t="shared" si="2798"/>
        <v>1</v>
      </c>
      <c r="AA407" s="53">
        <f t="shared" si="2799"/>
        <v>1</v>
      </c>
      <c r="AB407" s="54">
        <f t="shared" si="2800"/>
        <v>1</v>
      </c>
      <c r="AC407" s="49">
        <f t="shared" ref="AC407:AD407" si="2854">SUM(S407,U407,W407,Y407,AA407)</f>
        <v>5</v>
      </c>
      <c r="AD407" s="50">
        <f t="shared" si="2854"/>
        <v>5</v>
      </c>
      <c r="AE407" s="53">
        <f t="shared" si="2802"/>
        <v>1</v>
      </c>
      <c r="AF407" s="54">
        <f t="shared" si="2803"/>
        <v>2</v>
      </c>
      <c r="AG407" s="53">
        <f t="shared" si="2804"/>
        <v>0</v>
      </c>
      <c r="AH407" s="54">
        <f t="shared" si="2805"/>
        <v>0</v>
      </c>
      <c r="AI407" s="53">
        <f t="shared" si="2806"/>
        <v>2</v>
      </c>
      <c r="AJ407" s="54">
        <f t="shared" si="2807"/>
        <v>4</v>
      </c>
      <c r="AK407" s="53">
        <f t="shared" si="2808"/>
        <v>2</v>
      </c>
      <c r="AL407" s="54">
        <f t="shared" si="2809"/>
        <v>4</v>
      </c>
      <c r="AM407" s="53">
        <f t="shared" si="2810"/>
        <v>2</v>
      </c>
      <c r="AN407" s="54">
        <f t="shared" si="2811"/>
        <v>4</v>
      </c>
      <c r="AO407" s="53">
        <f t="shared" si="2812"/>
        <v>2</v>
      </c>
      <c r="AP407" s="54">
        <f t="shared" si="2813"/>
        <v>4</v>
      </c>
      <c r="AQ407" s="49">
        <f t="shared" ref="AQ407:AR407" si="2855">SUM(AG407,AI407,AK407,AM407,AO407)</f>
        <v>8</v>
      </c>
      <c r="AR407" s="50">
        <f t="shared" si="2855"/>
        <v>16</v>
      </c>
      <c r="AS407" s="53">
        <f t="shared" si="2815"/>
        <v>0</v>
      </c>
      <c r="AT407" s="54">
        <f t="shared" si="2816"/>
        <v>0</v>
      </c>
      <c r="AU407" s="53">
        <f t="shared" si="2817"/>
        <v>1</v>
      </c>
      <c r="AV407" s="54">
        <f t="shared" si="2818"/>
        <v>3</v>
      </c>
      <c r="AW407" s="53">
        <f t="shared" si="2819"/>
        <v>2</v>
      </c>
      <c r="AX407" s="54">
        <f t="shared" si="2820"/>
        <v>4</v>
      </c>
      <c r="AY407" s="53">
        <f t="shared" si="2821"/>
        <v>2</v>
      </c>
      <c r="AZ407" s="54">
        <f t="shared" si="2822"/>
        <v>4</v>
      </c>
      <c r="BA407" s="53">
        <f t="shared" si="2823"/>
        <v>2</v>
      </c>
      <c r="BB407" s="54">
        <f t="shared" si="2824"/>
        <v>4</v>
      </c>
      <c r="BC407" s="49">
        <f t="shared" ref="BC407:BD407" si="2856">SUM(AS407,AU407,AW407,AY407,BA407)</f>
        <v>7</v>
      </c>
      <c r="BD407" s="50">
        <f t="shared" si="2856"/>
        <v>15</v>
      </c>
      <c r="BE407" s="68">
        <f t="shared" ref="BE407:BF407" si="2857">SUM(E407,G407,I407,O407,Q407,AC407,AQ407,BC407)</f>
        <v>24</v>
      </c>
      <c r="BF407" s="69">
        <f t="shared" si="2857"/>
        <v>45</v>
      </c>
      <c r="BG407" s="46" t="str">
        <f>BF407*'ОВгП_РАО'!$B$9</f>
        <v>#REF!</v>
      </c>
      <c r="BH407" s="46" t="str">
        <f>'ОВгП_РАО'!$B$9</f>
        <v>#REF!</v>
      </c>
    </row>
    <row r="408" ht="15.75" customHeight="1">
      <c r="A408" s="80">
        <f t="shared" si="2827"/>
        <v>46272</v>
      </c>
      <c r="B408" s="46" t="s">
        <v>127</v>
      </c>
      <c r="C408" s="46" t="s">
        <v>125</v>
      </c>
      <c r="D408" s="46" t="s">
        <v>126</v>
      </c>
      <c r="E408" s="73">
        <f t="shared" si="2778"/>
        <v>1</v>
      </c>
      <c r="F408" s="50">
        <f t="shared" si="2779"/>
        <v>2</v>
      </c>
      <c r="G408" s="73">
        <f t="shared" si="2780"/>
        <v>0</v>
      </c>
      <c r="H408" s="50">
        <f t="shared" si="2781"/>
        <v>0</v>
      </c>
      <c r="I408" s="73">
        <f t="shared" si="2782"/>
        <v>0</v>
      </c>
      <c r="J408" s="50">
        <f t="shared" si="2783"/>
        <v>0</v>
      </c>
      <c r="K408" s="53">
        <f t="shared" si="2784"/>
        <v>0</v>
      </c>
      <c r="L408" s="54">
        <f t="shared" si="2785"/>
        <v>0</v>
      </c>
      <c r="M408" s="53">
        <f t="shared" si="2786"/>
        <v>2</v>
      </c>
      <c r="N408" s="54">
        <f t="shared" si="2787"/>
        <v>4</v>
      </c>
      <c r="O408" s="49">
        <f t="shared" ref="O408:P408" si="2858">SUM(K408,M408)</f>
        <v>2</v>
      </c>
      <c r="P408" s="50">
        <f t="shared" si="2858"/>
        <v>4</v>
      </c>
      <c r="Q408" s="73">
        <f t="shared" si="2789"/>
        <v>1</v>
      </c>
      <c r="R408" s="50">
        <f t="shared" si="2790"/>
        <v>2</v>
      </c>
      <c r="S408" s="53">
        <f t="shared" si="2791"/>
        <v>1</v>
      </c>
      <c r="T408" s="54">
        <f t="shared" si="2792"/>
        <v>3</v>
      </c>
      <c r="U408" s="53">
        <f t="shared" si="2793"/>
        <v>1</v>
      </c>
      <c r="V408" s="54">
        <f t="shared" si="2794"/>
        <v>2</v>
      </c>
      <c r="W408" s="53">
        <f t="shared" si="2795"/>
        <v>2</v>
      </c>
      <c r="X408" s="54">
        <f t="shared" si="2796"/>
        <v>4</v>
      </c>
      <c r="Y408" s="53">
        <f t="shared" si="2797"/>
        <v>0</v>
      </c>
      <c r="Z408" s="54">
        <f t="shared" si="2798"/>
        <v>0</v>
      </c>
      <c r="AA408" s="53">
        <f t="shared" si="2799"/>
        <v>0</v>
      </c>
      <c r="AB408" s="54">
        <f t="shared" si="2800"/>
        <v>0</v>
      </c>
      <c r="AC408" s="49">
        <f t="shared" ref="AC408:AD408" si="2859">SUM(S408,U408,W408,Y408,AA408)</f>
        <v>4</v>
      </c>
      <c r="AD408" s="50">
        <f t="shared" si="2859"/>
        <v>9</v>
      </c>
      <c r="AE408" s="53">
        <f t="shared" si="2802"/>
        <v>1</v>
      </c>
      <c r="AF408" s="54">
        <f t="shared" si="2803"/>
        <v>1</v>
      </c>
      <c r="AG408" s="53">
        <f t="shared" si="2804"/>
        <v>1</v>
      </c>
      <c r="AH408" s="54">
        <f t="shared" si="2805"/>
        <v>1</v>
      </c>
      <c r="AI408" s="53">
        <f t="shared" si="2806"/>
        <v>1</v>
      </c>
      <c r="AJ408" s="54">
        <f t="shared" si="2807"/>
        <v>2</v>
      </c>
      <c r="AK408" s="53">
        <f t="shared" si="2808"/>
        <v>2</v>
      </c>
      <c r="AL408" s="54">
        <f t="shared" si="2809"/>
        <v>4</v>
      </c>
      <c r="AM408" s="53">
        <f t="shared" si="2810"/>
        <v>1</v>
      </c>
      <c r="AN408" s="54">
        <f t="shared" si="2811"/>
        <v>2</v>
      </c>
      <c r="AO408" s="53">
        <f t="shared" si="2812"/>
        <v>2</v>
      </c>
      <c r="AP408" s="54">
        <f t="shared" si="2813"/>
        <v>4</v>
      </c>
      <c r="AQ408" s="49">
        <f t="shared" ref="AQ408:AR408" si="2860">SUM(AG408,AI408,AK408,AM408,AO408)</f>
        <v>7</v>
      </c>
      <c r="AR408" s="50">
        <f t="shared" si="2860"/>
        <v>13</v>
      </c>
      <c r="AS408" s="53">
        <f t="shared" si="2815"/>
        <v>2</v>
      </c>
      <c r="AT408" s="54">
        <f t="shared" si="2816"/>
        <v>4</v>
      </c>
      <c r="AU408" s="53">
        <f t="shared" si="2817"/>
        <v>2</v>
      </c>
      <c r="AV408" s="54">
        <f t="shared" si="2818"/>
        <v>4</v>
      </c>
      <c r="AW408" s="53">
        <f t="shared" si="2819"/>
        <v>2</v>
      </c>
      <c r="AX408" s="54">
        <f t="shared" si="2820"/>
        <v>4</v>
      </c>
      <c r="AY408" s="53">
        <f t="shared" si="2821"/>
        <v>1</v>
      </c>
      <c r="AZ408" s="54">
        <f t="shared" si="2822"/>
        <v>3</v>
      </c>
      <c r="BA408" s="53">
        <f t="shared" si="2823"/>
        <v>1</v>
      </c>
      <c r="BB408" s="54">
        <f t="shared" si="2824"/>
        <v>1</v>
      </c>
      <c r="BC408" s="49">
        <f t="shared" ref="BC408:BD408" si="2861">SUM(AS408,AU408,AW408,AY408,BA408)</f>
        <v>8</v>
      </c>
      <c r="BD408" s="50">
        <f t="shared" si="2861"/>
        <v>16</v>
      </c>
      <c r="BE408" s="68">
        <f t="shared" ref="BE408:BF408" si="2862">SUM(E408,G408,I408,O408,Q408,AC408,AQ408,BC408)</f>
        <v>23</v>
      </c>
      <c r="BF408" s="69">
        <f t="shared" si="2862"/>
        <v>46</v>
      </c>
      <c r="BG408" s="46" t="str">
        <f>BF408*'ОВгП_РАО'!$B$10</f>
        <v>#REF!</v>
      </c>
      <c r="BH408" s="46" t="str">
        <f>'ОВгП_РАО'!$B$10</f>
        <v>#REF!</v>
      </c>
    </row>
    <row r="409" ht="15.75" customHeight="1">
      <c r="A409" s="80">
        <f t="shared" si="2827"/>
        <v>46272</v>
      </c>
      <c r="B409" s="46" t="s">
        <v>128</v>
      </c>
      <c r="C409" s="46" t="s">
        <v>125</v>
      </c>
      <c r="D409" s="46" t="s">
        <v>126</v>
      </c>
      <c r="E409" s="73">
        <f t="shared" si="2778"/>
        <v>0</v>
      </c>
      <c r="F409" s="50">
        <f t="shared" si="2779"/>
        <v>0</v>
      </c>
      <c r="G409" s="73">
        <f t="shared" si="2780"/>
        <v>2</v>
      </c>
      <c r="H409" s="50">
        <f t="shared" si="2781"/>
        <v>4</v>
      </c>
      <c r="I409" s="73">
        <f t="shared" si="2782"/>
        <v>0</v>
      </c>
      <c r="J409" s="50">
        <f t="shared" si="2783"/>
        <v>0</v>
      </c>
      <c r="K409" s="53">
        <f t="shared" si="2784"/>
        <v>0</v>
      </c>
      <c r="L409" s="54">
        <f t="shared" si="2785"/>
        <v>0</v>
      </c>
      <c r="M409" s="53">
        <f t="shared" si="2786"/>
        <v>2</v>
      </c>
      <c r="N409" s="54">
        <f t="shared" si="2787"/>
        <v>4</v>
      </c>
      <c r="O409" s="49">
        <f t="shared" ref="O409:P409" si="2863">SUM(K409,M409)</f>
        <v>2</v>
      </c>
      <c r="P409" s="50">
        <f t="shared" si="2863"/>
        <v>4</v>
      </c>
      <c r="Q409" s="73">
        <f t="shared" si="2789"/>
        <v>1</v>
      </c>
      <c r="R409" s="50">
        <f t="shared" si="2790"/>
        <v>3</v>
      </c>
      <c r="S409" s="53">
        <f t="shared" si="2791"/>
        <v>1</v>
      </c>
      <c r="T409" s="54">
        <f t="shared" si="2792"/>
        <v>1</v>
      </c>
      <c r="U409" s="53">
        <f t="shared" si="2793"/>
        <v>2</v>
      </c>
      <c r="V409" s="54">
        <f t="shared" si="2794"/>
        <v>4</v>
      </c>
      <c r="W409" s="53">
        <f t="shared" si="2795"/>
        <v>1</v>
      </c>
      <c r="X409" s="54">
        <f t="shared" si="2796"/>
        <v>3</v>
      </c>
      <c r="Y409" s="53">
        <f t="shared" si="2797"/>
        <v>1</v>
      </c>
      <c r="Z409" s="54">
        <f t="shared" si="2798"/>
        <v>3</v>
      </c>
      <c r="AA409" s="53">
        <f t="shared" si="2799"/>
        <v>2</v>
      </c>
      <c r="AB409" s="54">
        <f t="shared" si="2800"/>
        <v>4</v>
      </c>
      <c r="AC409" s="49">
        <f t="shared" ref="AC409:AD409" si="2864">SUM(S409,U409,W409,Y409,AA409)</f>
        <v>7</v>
      </c>
      <c r="AD409" s="50">
        <f t="shared" si="2864"/>
        <v>15</v>
      </c>
      <c r="AE409" s="53">
        <f t="shared" si="2802"/>
        <v>0</v>
      </c>
      <c r="AF409" s="54">
        <f t="shared" si="2803"/>
        <v>0</v>
      </c>
      <c r="AG409" s="53">
        <f t="shared" si="2804"/>
        <v>1</v>
      </c>
      <c r="AH409" s="54">
        <f t="shared" si="2805"/>
        <v>2</v>
      </c>
      <c r="AI409" s="53">
        <f t="shared" si="2806"/>
        <v>1</v>
      </c>
      <c r="AJ409" s="54">
        <f t="shared" si="2807"/>
        <v>3</v>
      </c>
      <c r="AK409" s="53">
        <f t="shared" si="2808"/>
        <v>2</v>
      </c>
      <c r="AL409" s="54">
        <f t="shared" si="2809"/>
        <v>4</v>
      </c>
      <c r="AM409" s="53">
        <f t="shared" si="2810"/>
        <v>2</v>
      </c>
      <c r="AN409" s="54">
        <f t="shared" si="2811"/>
        <v>4</v>
      </c>
      <c r="AO409" s="53">
        <f t="shared" si="2812"/>
        <v>0</v>
      </c>
      <c r="AP409" s="54">
        <f t="shared" si="2813"/>
        <v>0</v>
      </c>
      <c r="AQ409" s="49">
        <f t="shared" ref="AQ409:AR409" si="2865">SUM(AG409,AI409,AK409,AM409,AO409)</f>
        <v>6</v>
      </c>
      <c r="AR409" s="50">
        <f t="shared" si="2865"/>
        <v>13</v>
      </c>
      <c r="AS409" s="53">
        <f t="shared" si="2815"/>
        <v>2</v>
      </c>
      <c r="AT409" s="54">
        <f t="shared" si="2816"/>
        <v>4</v>
      </c>
      <c r="AU409" s="53">
        <f t="shared" si="2817"/>
        <v>1</v>
      </c>
      <c r="AV409" s="54">
        <f t="shared" si="2818"/>
        <v>3</v>
      </c>
      <c r="AW409" s="53">
        <f t="shared" si="2819"/>
        <v>1</v>
      </c>
      <c r="AX409" s="54">
        <f t="shared" si="2820"/>
        <v>1</v>
      </c>
      <c r="AY409" s="53">
        <f t="shared" si="2821"/>
        <v>1</v>
      </c>
      <c r="AZ409" s="54">
        <f t="shared" si="2822"/>
        <v>1</v>
      </c>
      <c r="BA409" s="53">
        <f t="shared" si="2823"/>
        <v>2</v>
      </c>
      <c r="BB409" s="54">
        <f t="shared" si="2824"/>
        <v>4</v>
      </c>
      <c r="BC409" s="49">
        <f t="shared" ref="BC409:BD409" si="2866">SUM(AS409,AU409,AW409,AY409,BA409)</f>
        <v>7</v>
      </c>
      <c r="BD409" s="50">
        <f t="shared" si="2866"/>
        <v>13</v>
      </c>
      <c r="BE409" s="68">
        <f t="shared" ref="BE409:BF409" si="2867">SUM(E409,G409,I409,O409,Q409,AC409,AQ409,BC409)</f>
        <v>25</v>
      </c>
      <c r="BF409" s="69">
        <f t="shared" si="2867"/>
        <v>52</v>
      </c>
      <c r="BG409" s="46" t="str">
        <f>BF409*'ОВгП_РАО'!$B$11</f>
        <v>#REF!</v>
      </c>
      <c r="BH409" s="46" t="str">
        <f>'ОВгП_РАО'!$B$11</f>
        <v>#REF!</v>
      </c>
    </row>
    <row r="410" ht="15.75" customHeight="1">
      <c r="A410" s="80">
        <f t="shared" si="2827"/>
        <v>46272</v>
      </c>
      <c r="B410" s="45" t="s">
        <v>129</v>
      </c>
      <c r="C410" s="46" t="s">
        <v>125</v>
      </c>
      <c r="D410" s="45" t="s">
        <v>130</v>
      </c>
      <c r="E410" s="73">
        <f t="shared" si="2778"/>
        <v>1</v>
      </c>
      <c r="F410" s="50">
        <f t="shared" si="2779"/>
        <v>2</v>
      </c>
      <c r="G410" s="73">
        <f t="shared" si="2780"/>
        <v>1</v>
      </c>
      <c r="H410" s="50">
        <f t="shared" si="2781"/>
        <v>3</v>
      </c>
      <c r="I410" s="73">
        <f t="shared" si="2782"/>
        <v>1</v>
      </c>
      <c r="J410" s="50">
        <f t="shared" si="2783"/>
        <v>2</v>
      </c>
      <c r="K410" s="53">
        <f t="shared" si="2784"/>
        <v>0</v>
      </c>
      <c r="L410" s="54">
        <f t="shared" si="2785"/>
        <v>0</v>
      </c>
      <c r="M410" s="53">
        <f t="shared" si="2786"/>
        <v>1</v>
      </c>
      <c r="N410" s="54">
        <f t="shared" si="2787"/>
        <v>2</v>
      </c>
      <c r="O410" s="49">
        <f t="shared" ref="O410:P410" si="2868">SUM(K410,M410)</f>
        <v>1</v>
      </c>
      <c r="P410" s="50">
        <f t="shared" si="2868"/>
        <v>2</v>
      </c>
      <c r="Q410" s="73">
        <f t="shared" si="2789"/>
        <v>1</v>
      </c>
      <c r="R410" s="50">
        <f t="shared" si="2790"/>
        <v>2</v>
      </c>
      <c r="S410" s="53">
        <f t="shared" si="2791"/>
        <v>1</v>
      </c>
      <c r="T410" s="54">
        <f t="shared" si="2792"/>
        <v>2</v>
      </c>
      <c r="U410" s="53">
        <f t="shared" si="2793"/>
        <v>1</v>
      </c>
      <c r="V410" s="54">
        <f t="shared" si="2794"/>
        <v>3</v>
      </c>
      <c r="W410" s="53">
        <f t="shared" si="2795"/>
        <v>1</v>
      </c>
      <c r="X410" s="54">
        <f t="shared" si="2796"/>
        <v>3</v>
      </c>
      <c r="Y410" s="53">
        <f t="shared" si="2797"/>
        <v>1</v>
      </c>
      <c r="Z410" s="54">
        <f t="shared" si="2798"/>
        <v>3</v>
      </c>
      <c r="AA410" s="53">
        <f t="shared" si="2799"/>
        <v>1</v>
      </c>
      <c r="AB410" s="54">
        <f t="shared" si="2800"/>
        <v>1</v>
      </c>
      <c r="AC410" s="49">
        <f t="shared" ref="AC410:AD410" si="2869">SUM(S410,U410,W410,Y410,AA410)</f>
        <v>5</v>
      </c>
      <c r="AD410" s="50">
        <f t="shared" si="2869"/>
        <v>12</v>
      </c>
      <c r="AE410" s="53">
        <f t="shared" si="2802"/>
        <v>2</v>
      </c>
      <c r="AF410" s="54">
        <f t="shared" si="2803"/>
        <v>4</v>
      </c>
      <c r="AG410" s="53">
        <f t="shared" si="2804"/>
        <v>0</v>
      </c>
      <c r="AH410" s="54">
        <f t="shared" si="2805"/>
        <v>0</v>
      </c>
      <c r="AI410" s="53">
        <f t="shared" si="2806"/>
        <v>1</v>
      </c>
      <c r="AJ410" s="54">
        <f t="shared" si="2807"/>
        <v>3</v>
      </c>
      <c r="AK410" s="53">
        <f t="shared" si="2808"/>
        <v>1</v>
      </c>
      <c r="AL410" s="54">
        <f t="shared" si="2809"/>
        <v>1</v>
      </c>
      <c r="AM410" s="53">
        <f t="shared" si="2810"/>
        <v>1</v>
      </c>
      <c r="AN410" s="54">
        <f t="shared" si="2811"/>
        <v>1</v>
      </c>
      <c r="AO410" s="53">
        <f t="shared" si="2812"/>
        <v>0</v>
      </c>
      <c r="AP410" s="54">
        <f t="shared" si="2813"/>
        <v>0</v>
      </c>
      <c r="AQ410" s="49">
        <f t="shared" ref="AQ410:AR410" si="2870">SUM(AG410,AI410,AK410,AM410,AO410)</f>
        <v>3</v>
      </c>
      <c r="AR410" s="50">
        <f t="shared" si="2870"/>
        <v>5</v>
      </c>
      <c r="AS410" s="53">
        <f t="shared" si="2815"/>
        <v>2</v>
      </c>
      <c r="AT410" s="54">
        <f t="shared" si="2816"/>
        <v>4</v>
      </c>
      <c r="AU410" s="53">
        <f t="shared" si="2817"/>
        <v>0</v>
      </c>
      <c r="AV410" s="54">
        <f t="shared" si="2818"/>
        <v>0</v>
      </c>
      <c r="AW410" s="53">
        <f t="shared" si="2819"/>
        <v>2</v>
      </c>
      <c r="AX410" s="54">
        <f t="shared" si="2820"/>
        <v>4</v>
      </c>
      <c r="AY410" s="53">
        <f t="shared" si="2821"/>
        <v>0</v>
      </c>
      <c r="AZ410" s="54">
        <f t="shared" si="2822"/>
        <v>0</v>
      </c>
      <c r="BA410" s="53">
        <f t="shared" si="2823"/>
        <v>1</v>
      </c>
      <c r="BB410" s="54">
        <f t="shared" si="2824"/>
        <v>2</v>
      </c>
      <c r="BC410" s="49">
        <f t="shared" ref="BC410:BD410" si="2871">SUM(AS410,AU410,AW410,AY410,BA410)</f>
        <v>5</v>
      </c>
      <c r="BD410" s="50">
        <f t="shared" si="2871"/>
        <v>10</v>
      </c>
      <c r="BE410" s="68">
        <f t="shared" ref="BE410:BF410" si="2872">SUM(E410,G410,I410,O410,Q410,AC410,AQ410,BC410)</f>
        <v>18</v>
      </c>
      <c r="BF410" s="69">
        <f t="shared" si="2872"/>
        <v>38</v>
      </c>
      <c r="BG410" s="46" t="str">
        <f>BF410*'ОВгП_РАО'!$B$12</f>
        <v>#REF!</v>
      </c>
      <c r="BH410" s="46" t="str">
        <f>'ОВгП_РАО'!$B$12</f>
        <v>#REF!</v>
      </c>
    </row>
    <row r="411" ht="15.75" customHeight="1">
      <c r="A411" s="80">
        <f t="shared" si="2827"/>
        <v>46272</v>
      </c>
      <c r="B411" s="47" t="s">
        <v>131</v>
      </c>
      <c r="C411" s="47" t="s">
        <v>122</v>
      </c>
      <c r="D411" s="47" t="s">
        <v>123</v>
      </c>
      <c r="E411" s="73">
        <f t="shared" si="2778"/>
        <v>2</v>
      </c>
      <c r="F411" s="50">
        <f t="shared" si="2779"/>
        <v>4</v>
      </c>
      <c r="G411" s="73">
        <f t="shared" si="2780"/>
        <v>2</v>
      </c>
      <c r="H411" s="50">
        <f t="shared" si="2781"/>
        <v>4</v>
      </c>
      <c r="I411" s="73">
        <f t="shared" si="2782"/>
        <v>1</v>
      </c>
      <c r="J411" s="50">
        <f t="shared" si="2783"/>
        <v>1</v>
      </c>
      <c r="K411" s="53">
        <f t="shared" si="2784"/>
        <v>1</v>
      </c>
      <c r="L411" s="54">
        <f t="shared" si="2785"/>
        <v>2</v>
      </c>
      <c r="M411" s="53">
        <f t="shared" si="2786"/>
        <v>0</v>
      </c>
      <c r="N411" s="54">
        <f t="shared" si="2787"/>
        <v>0</v>
      </c>
      <c r="O411" s="49">
        <f t="shared" ref="O411:P411" si="2873">SUM(K411,M411)</f>
        <v>1</v>
      </c>
      <c r="P411" s="50">
        <f t="shared" si="2873"/>
        <v>2</v>
      </c>
      <c r="Q411" s="73">
        <f t="shared" si="2789"/>
        <v>1</v>
      </c>
      <c r="R411" s="50">
        <f t="shared" si="2790"/>
        <v>3</v>
      </c>
      <c r="S411" s="53">
        <f t="shared" si="2791"/>
        <v>2</v>
      </c>
      <c r="T411" s="54">
        <f t="shared" si="2792"/>
        <v>4</v>
      </c>
      <c r="U411" s="53">
        <f t="shared" si="2793"/>
        <v>1</v>
      </c>
      <c r="V411" s="54">
        <f t="shared" si="2794"/>
        <v>1</v>
      </c>
      <c r="W411" s="53">
        <f t="shared" si="2795"/>
        <v>1</v>
      </c>
      <c r="X411" s="54">
        <f t="shared" si="2796"/>
        <v>1</v>
      </c>
      <c r="Y411" s="53">
        <f t="shared" si="2797"/>
        <v>2</v>
      </c>
      <c r="Z411" s="54">
        <f t="shared" si="2798"/>
        <v>4</v>
      </c>
      <c r="AA411" s="53">
        <f t="shared" si="2799"/>
        <v>1</v>
      </c>
      <c r="AB411" s="54">
        <f t="shared" si="2800"/>
        <v>2</v>
      </c>
      <c r="AC411" s="49">
        <f t="shared" ref="AC411:AD411" si="2874">SUM(S411,U411,W411,Y411,AA411)</f>
        <v>7</v>
      </c>
      <c r="AD411" s="50">
        <f t="shared" si="2874"/>
        <v>12</v>
      </c>
      <c r="AE411" s="53">
        <f t="shared" si="2802"/>
        <v>0</v>
      </c>
      <c r="AF411" s="54">
        <f t="shared" si="2803"/>
        <v>0</v>
      </c>
      <c r="AG411" s="53">
        <f t="shared" si="2804"/>
        <v>1</v>
      </c>
      <c r="AH411" s="54">
        <f t="shared" si="2805"/>
        <v>3</v>
      </c>
      <c r="AI411" s="53">
        <f t="shared" si="2806"/>
        <v>2</v>
      </c>
      <c r="AJ411" s="54">
        <f t="shared" si="2807"/>
        <v>4</v>
      </c>
      <c r="AK411" s="53">
        <f t="shared" si="2808"/>
        <v>1</v>
      </c>
      <c r="AL411" s="54">
        <f t="shared" si="2809"/>
        <v>1</v>
      </c>
      <c r="AM411" s="53">
        <f t="shared" si="2810"/>
        <v>1</v>
      </c>
      <c r="AN411" s="54">
        <f t="shared" si="2811"/>
        <v>3</v>
      </c>
      <c r="AO411" s="53">
        <f t="shared" si="2812"/>
        <v>1</v>
      </c>
      <c r="AP411" s="54">
        <f t="shared" si="2813"/>
        <v>1</v>
      </c>
      <c r="AQ411" s="49">
        <f t="shared" ref="AQ411:AR411" si="2875">SUM(AG411,AI411,AK411,AM411,AO411)</f>
        <v>6</v>
      </c>
      <c r="AR411" s="50">
        <f t="shared" si="2875"/>
        <v>12</v>
      </c>
      <c r="AS411" s="53">
        <f t="shared" si="2815"/>
        <v>0</v>
      </c>
      <c r="AT411" s="54">
        <f t="shared" si="2816"/>
        <v>0</v>
      </c>
      <c r="AU411" s="53">
        <f t="shared" si="2817"/>
        <v>0</v>
      </c>
      <c r="AV411" s="54">
        <f t="shared" si="2818"/>
        <v>0</v>
      </c>
      <c r="AW411" s="53">
        <f t="shared" si="2819"/>
        <v>1</v>
      </c>
      <c r="AX411" s="54">
        <f t="shared" si="2820"/>
        <v>2</v>
      </c>
      <c r="AY411" s="53">
        <f t="shared" si="2821"/>
        <v>1</v>
      </c>
      <c r="AZ411" s="54">
        <f t="shared" si="2822"/>
        <v>3</v>
      </c>
      <c r="BA411" s="53">
        <f t="shared" si="2823"/>
        <v>0</v>
      </c>
      <c r="BB411" s="54">
        <f t="shared" si="2824"/>
        <v>0</v>
      </c>
      <c r="BC411" s="49">
        <f t="shared" ref="BC411:BD411" si="2876">SUM(AS411,AU411,AW411,AY411,BA411)</f>
        <v>2</v>
      </c>
      <c r="BD411" s="50">
        <f t="shared" si="2876"/>
        <v>5</v>
      </c>
      <c r="BE411" s="68">
        <f t="shared" ref="BE411:BF411" si="2877">SUM(E411,G411,I411,O411,Q411,AC411,AQ411,BC411)</f>
        <v>22</v>
      </c>
      <c r="BF411" s="69">
        <f t="shared" si="2877"/>
        <v>43</v>
      </c>
      <c r="BG411" s="46" t="str">
        <f>BF411*'ОВгП_РАО'!$B$13</f>
        <v>#REF!</v>
      </c>
      <c r="BH411" s="46" t="str">
        <f>'ОВгП_РАО'!$B$13</f>
        <v>#REF!</v>
      </c>
    </row>
    <row r="412" ht="15.75" customHeight="1">
      <c r="A412" s="80">
        <f t="shared" si="2827"/>
        <v>46272</v>
      </c>
      <c r="B412" s="47" t="s">
        <v>132</v>
      </c>
      <c r="C412" s="47" t="s">
        <v>122</v>
      </c>
      <c r="D412" s="47" t="s">
        <v>123</v>
      </c>
      <c r="E412" s="73">
        <f t="shared" si="2778"/>
        <v>0</v>
      </c>
      <c r="F412" s="50">
        <f t="shared" si="2779"/>
        <v>0</v>
      </c>
      <c r="G412" s="73">
        <f t="shared" si="2780"/>
        <v>1</v>
      </c>
      <c r="H412" s="50">
        <f t="shared" si="2781"/>
        <v>2</v>
      </c>
      <c r="I412" s="73">
        <f t="shared" si="2782"/>
        <v>1</v>
      </c>
      <c r="J412" s="50">
        <f t="shared" si="2783"/>
        <v>2</v>
      </c>
      <c r="K412" s="53">
        <f t="shared" si="2784"/>
        <v>1</v>
      </c>
      <c r="L412" s="54">
        <f t="shared" si="2785"/>
        <v>3</v>
      </c>
      <c r="M412" s="53">
        <f t="shared" si="2786"/>
        <v>0</v>
      </c>
      <c r="N412" s="54">
        <f t="shared" si="2787"/>
        <v>0</v>
      </c>
      <c r="O412" s="49">
        <f t="shared" ref="O412:P412" si="2878">SUM(K412,M412)</f>
        <v>1</v>
      </c>
      <c r="P412" s="50">
        <f t="shared" si="2878"/>
        <v>3</v>
      </c>
      <c r="Q412" s="73">
        <f t="shared" si="2789"/>
        <v>1</v>
      </c>
      <c r="R412" s="50">
        <f t="shared" si="2790"/>
        <v>1</v>
      </c>
      <c r="S412" s="53">
        <f t="shared" si="2791"/>
        <v>1</v>
      </c>
      <c r="T412" s="54">
        <f t="shared" si="2792"/>
        <v>1</v>
      </c>
      <c r="U412" s="53">
        <f t="shared" si="2793"/>
        <v>1</v>
      </c>
      <c r="V412" s="54">
        <f t="shared" si="2794"/>
        <v>1</v>
      </c>
      <c r="W412" s="53">
        <f t="shared" si="2795"/>
        <v>0</v>
      </c>
      <c r="X412" s="54">
        <f t="shared" si="2796"/>
        <v>0</v>
      </c>
      <c r="Y412" s="53">
        <f t="shared" si="2797"/>
        <v>2</v>
      </c>
      <c r="Z412" s="54">
        <f t="shared" si="2798"/>
        <v>4</v>
      </c>
      <c r="AA412" s="53">
        <f t="shared" si="2799"/>
        <v>2</v>
      </c>
      <c r="AB412" s="54">
        <f t="shared" si="2800"/>
        <v>4</v>
      </c>
      <c r="AC412" s="49">
        <f t="shared" ref="AC412:AD412" si="2879">SUM(S412,U412,W412,Y412,AA412)</f>
        <v>6</v>
      </c>
      <c r="AD412" s="50">
        <f t="shared" si="2879"/>
        <v>10</v>
      </c>
      <c r="AE412" s="53">
        <f t="shared" si="2802"/>
        <v>0</v>
      </c>
      <c r="AF412" s="54">
        <f t="shared" si="2803"/>
        <v>0</v>
      </c>
      <c r="AG412" s="53">
        <f t="shared" si="2804"/>
        <v>1</v>
      </c>
      <c r="AH412" s="54">
        <f t="shared" si="2805"/>
        <v>1</v>
      </c>
      <c r="AI412" s="53">
        <f t="shared" si="2806"/>
        <v>1</v>
      </c>
      <c r="AJ412" s="54">
        <f t="shared" si="2807"/>
        <v>3</v>
      </c>
      <c r="AK412" s="53">
        <f t="shared" si="2808"/>
        <v>2</v>
      </c>
      <c r="AL412" s="54">
        <f t="shared" si="2809"/>
        <v>4</v>
      </c>
      <c r="AM412" s="53">
        <f t="shared" si="2810"/>
        <v>1</v>
      </c>
      <c r="AN412" s="54">
        <f t="shared" si="2811"/>
        <v>2</v>
      </c>
      <c r="AO412" s="53">
        <f t="shared" si="2812"/>
        <v>0</v>
      </c>
      <c r="AP412" s="54">
        <f t="shared" si="2813"/>
        <v>0</v>
      </c>
      <c r="AQ412" s="49">
        <f t="shared" ref="AQ412:AR412" si="2880">SUM(AG412,AI412,AK412,AM412,AO412)</f>
        <v>5</v>
      </c>
      <c r="AR412" s="50">
        <f t="shared" si="2880"/>
        <v>10</v>
      </c>
      <c r="AS412" s="53">
        <f t="shared" si="2815"/>
        <v>1</v>
      </c>
      <c r="AT412" s="54">
        <f t="shared" si="2816"/>
        <v>1</v>
      </c>
      <c r="AU412" s="53">
        <f t="shared" si="2817"/>
        <v>0</v>
      </c>
      <c r="AV412" s="54">
        <f t="shared" si="2818"/>
        <v>0</v>
      </c>
      <c r="AW412" s="53">
        <f t="shared" si="2819"/>
        <v>1</v>
      </c>
      <c r="AX412" s="54">
        <f t="shared" si="2820"/>
        <v>2</v>
      </c>
      <c r="AY412" s="53">
        <f t="shared" si="2821"/>
        <v>0</v>
      </c>
      <c r="AZ412" s="54">
        <f t="shared" si="2822"/>
        <v>0</v>
      </c>
      <c r="BA412" s="53">
        <f t="shared" si="2823"/>
        <v>2</v>
      </c>
      <c r="BB412" s="54">
        <f t="shared" si="2824"/>
        <v>4</v>
      </c>
      <c r="BC412" s="49">
        <f t="shared" ref="BC412:BD412" si="2881">SUM(AS412,AU412,AW412,AY412,BA412)</f>
        <v>4</v>
      </c>
      <c r="BD412" s="50">
        <f t="shared" si="2881"/>
        <v>7</v>
      </c>
      <c r="BE412" s="68">
        <f t="shared" ref="BE412:BF412" si="2882">SUM(E412,G412,I412,O412,Q412,AC412,AQ412,BC412)</f>
        <v>19</v>
      </c>
      <c r="BF412" s="69">
        <f t="shared" si="2882"/>
        <v>35</v>
      </c>
      <c r="BG412" s="46" t="str">
        <f>BF412*'ОВгП_РАО'!$B$14</f>
        <v>#REF!</v>
      </c>
      <c r="BH412" s="46" t="str">
        <f>'ОВгП_РАО'!$B$14</f>
        <v>#REF!</v>
      </c>
    </row>
    <row r="413" ht="15.75" customHeight="1">
      <c r="A413" s="80">
        <f t="shared" si="2827"/>
        <v>46272</v>
      </c>
      <c r="B413" s="47" t="s">
        <v>133</v>
      </c>
      <c r="C413" s="47" t="s">
        <v>122</v>
      </c>
      <c r="D413" s="47" t="s">
        <v>123</v>
      </c>
      <c r="E413" s="73">
        <f t="shared" si="2778"/>
        <v>0</v>
      </c>
      <c r="F413" s="50">
        <f t="shared" si="2779"/>
        <v>0</v>
      </c>
      <c r="G413" s="73">
        <f t="shared" si="2780"/>
        <v>0</v>
      </c>
      <c r="H413" s="50">
        <f t="shared" si="2781"/>
        <v>0</v>
      </c>
      <c r="I413" s="73">
        <f t="shared" si="2782"/>
        <v>1</v>
      </c>
      <c r="J413" s="50">
        <f t="shared" si="2783"/>
        <v>3</v>
      </c>
      <c r="K413" s="53">
        <f t="shared" si="2784"/>
        <v>1</v>
      </c>
      <c r="L413" s="54">
        <f t="shared" si="2785"/>
        <v>1</v>
      </c>
      <c r="M413" s="53">
        <f t="shared" si="2786"/>
        <v>2</v>
      </c>
      <c r="N413" s="54">
        <f t="shared" si="2787"/>
        <v>4</v>
      </c>
      <c r="O413" s="49">
        <f t="shared" ref="O413:P413" si="2883">SUM(K413,M413)</f>
        <v>3</v>
      </c>
      <c r="P413" s="50">
        <f t="shared" si="2883"/>
        <v>5</v>
      </c>
      <c r="Q413" s="73">
        <f t="shared" si="2789"/>
        <v>2</v>
      </c>
      <c r="R413" s="50">
        <f t="shared" si="2790"/>
        <v>4</v>
      </c>
      <c r="S413" s="53">
        <f t="shared" si="2791"/>
        <v>1</v>
      </c>
      <c r="T413" s="54">
        <f t="shared" si="2792"/>
        <v>2</v>
      </c>
      <c r="U413" s="53">
        <f t="shared" si="2793"/>
        <v>2</v>
      </c>
      <c r="V413" s="54">
        <f t="shared" si="2794"/>
        <v>4</v>
      </c>
      <c r="W413" s="53">
        <f t="shared" si="2795"/>
        <v>1</v>
      </c>
      <c r="X413" s="54">
        <f t="shared" si="2796"/>
        <v>2</v>
      </c>
      <c r="Y413" s="53">
        <f t="shared" si="2797"/>
        <v>0</v>
      </c>
      <c r="Z413" s="54">
        <f t="shared" si="2798"/>
        <v>0</v>
      </c>
      <c r="AA413" s="53">
        <f t="shared" si="2799"/>
        <v>1</v>
      </c>
      <c r="AB413" s="54">
        <f t="shared" si="2800"/>
        <v>2</v>
      </c>
      <c r="AC413" s="49">
        <f t="shared" ref="AC413:AD413" si="2884">SUM(S413,U413,W413,Y413,AA413)</f>
        <v>5</v>
      </c>
      <c r="AD413" s="50">
        <f t="shared" si="2884"/>
        <v>10</v>
      </c>
      <c r="AE413" s="53">
        <f t="shared" si="2802"/>
        <v>1</v>
      </c>
      <c r="AF413" s="54">
        <f t="shared" si="2803"/>
        <v>1</v>
      </c>
      <c r="AG413" s="53">
        <f t="shared" si="2804"/>
        <v>1</v>
      </c>
      <c r="AH413" s="54">
        <f t="shared" si="2805"/>
        <v>2</v>
      </c>
      <c r="AI413" s="53">
        <f t="shared" si="2806"/>
        <v>1</v>
      </c>
      <c r="AJ413" s="54">
        <f t="shared" si="2807"/>
        <v>1</v>
      </c>
      <c r="AK413" s="53">
        <f t="shared" si="2808"/>
        <v>1</v>
      </c>
      <c r="AL413" s="54">
        <f t="shared" si="2809"/>
        <v>3</v>
      </c>
      <c r="AM413" s="53">
        <f t="shared" si="2810"/>
        <v>1</v>
      </c>
      <c r="AN413" s="54">
        <f t="shared" si="2811"/>
        <v>2</v>
      </c>
      <c r="AO413" s="53">
        <f t="shared" si="2812"/>
        <v>1</v>
      </c>
      <c r="AP413" s="54">
        <f t="shared" si="2813"/>
        <v>1</v>
      </c>
      <c r="AQ413" s="49">
        <f t="shared" ref="AQ413:AR413" si="2885">SUM(AG413,AI413,AK413,AM413,AO413)</f>
        <v>5</v>
      </c>
      <c r="AR413" s="50">
        <f t="shared" si="2885"/>
        <v>9</v>
      </c>
      <c r="AS413" s="53">
        <f t="shared" si="2815"/>
        <v>1</v>
      </c>
      <c r="AT413" s="54">
        <f t="shared" si="2816"/>
        <v>2</v>
      </c>
      <c r="AU413" s="53">
        <f t="shared" si="2817"/>
        <v>1</v>
      </c>
      <c r="AV413" s="54">
        <f t="shared" si="2818"/>
        <v>2</v>
      </c>
      <c r="AW413" s="53">
        <f t="shared" si="2819"/>
        <v>1</v>
      </c>
      <c r="AX413" s="54">
        <f t="shared" si="2820"/>
        <v>2</v>
      </c>
      <c r="AY413" s="53">
        <f t="shared" si="2821"/>
        <v>1</v>
      </c>
      <c r="AZ413" s="54">
        <f t="shared" si="2822"/>
        <v>3</v>
      </c>
      <c r="BA413" s="53">
        <f t="shared" si="2823"/>
        <v>1</v>
      </c>
      <c r="BB413" s="54">
        <f t="shared" si="2824"/>
        <v>3</v>
      </c>
      <c r="BC413" s="49">
        <f t="shared" ref="BC413:BD413" si="2886">SUM(AS413,AU413,AW413,AY413,BA413)</f>
        <v>5</v>
      </c>
      <c r="BD413" s="50">
        <f t="shared" si="2886"/>
        <v>12</v>
      </c>
      <c r="BE413" s="68">
        <f t="shared" ref="BE413:BF413" si="2887">SUM(E413,G413,I413,O413,Q413,AC413,AQ413,BC413)</f>
        <v>21</v>
      </c>
      <c r="BF413" s="69">
        <f t="shared" si="2887"/>
        <v>43</v>
      </c>
      <c r="BG413" s="46" t="str">
        <f>BF413*'ОВгП_РАО'!$B$15</f>
        <v>#REF!</v>
      </c>
      <c r="BH413" s="46" t="str">
        <f>'ОВгП_РАО'!$B$15</f>
        <v>#REF!</v>
      </c>
    </row>
    <row r="414" ht="15.75" customHeight="1">
      <c r="A414" s="80">
        <f t="shared" si="2827"/>
        <v>46272</v>
      </c>
      <c r="B414" s="47" t="s">
        <v>134</v>
      </c>
      <c r="C414" s="47" t="s">
        <v>122</v>
      </c>
      <c r="D414" s="47" t="s">
        <v>123</v>
      </c>
      <c r="E414" s="73">
        <f t="shared" si="2778"/>
        <v>0</v>
      </c>
      <c r="F414" s="50">
        <f t="shared" si="2779"/>
        <v>0</v>
      </c>
      <c r="G414" s="73">
        <f t="shared" si="2780"/>
        <v>2</v>
      </c>
      <c r="H414" s="50">
        <f t="shared" si="2781"/>
        <v>4</v>
      </c>
      <c r="I414" s="73">
        <f t="shared" si="2782"/>
        <v>1</v>
      </c>
      <c r="J414" s="50">
        <f t="shared" si="2783"/>
        <v>2</v>
      </c>
      <c r="K414" s="53">
        <f t="shared" si="2784"/>
        <v>1</v>
      </c>
      <c r="L414" s="54">
        <f t="shared" si="2785"/>
        <v>3</v>
      </c>
      <c r="M414" s="53">
        <f t="shared" si="2786"/>
        <v>0</v>
      </c>
      <c r="N414" s="54">
        <f t="shared" si="2787"/>
        <v>0</v>
      </c>
      <c r="O414" s="49">
        <f t="shared" ref="O414:P414" si="2888">SUM(K414,M414)</f>
        <v>1</v>
      </c>
      <c r="P414" s="50">
        <f t="shared" si="2888"/>
        <v>3</v>
      </c>
      <c r="Q414" s="73">
        <f t="shared" si="2789"/>
        <v>1</v>
      </c>
      <c r="R414" s="50">
        <f t="shared" si="2790"/>
        <v>2</v>
      </c>
      <c r="S414" s="53">
        <f t="shared" si="2791"/>
        <v>1</v>
      </c>
      <c r="T414" s="54">
        <f t="shared" si="2792"/>
        <v>3</v>
      </c>
      <c r="U414" s="53">
        <f t="shared" si="2793"/>
        <v>1</v>
      </c>
      <c r="V414" s="54">
        <f t="shared" si="2794"/>
        <v>2</v>
      </c>
      <c r="W414" s="53">
        <f t="shared" si="2795"/>
        <v>1</v>
      </c>
      <c r="X414" s="54">
        <f t="shared" si="2796"/>
        <v>2</v>
      </c>
      <c r="Y414" s="53">
        <f t="shared" si="2797"/>
        <v>1</v>
      </c>
      <c r="Z414" s="54">
        <f t="shared" si="2798"/>
        <v>2</v>
      </c>
      <c r="AA414" s="53">
        <f t="shared" si="2799"/>
        <v>2</v>
      </c>
      <c r="AB414" s="54">
        <f t="shared" si="2800"/>
        <v>4</v>
      </c>
      <c r="AC414" s="49">
        <f t="shared" ref="AC414:AD414" si="2889">SUM(S414,U414,W414,Y414,AA414)</f>
        <v>6</v>
      </c>
      <c r="AD414" s="50">
        <f t="shared" si="2889"/>
        <v>13</v>
      </c>
      <c r="AE414" s="53">
        <f t="shared" si="2802"/>
        <v>2</v>
      </c>
      <c r="AF414" s="54">
        <f t="shared" si="2803"/>
        <v>4</v>
      </c>
      <c r="AG414" s="53">
        <f t="shared" si="2804"/>
        <v>1</v>
      </c>
      <c r="AH414" s="54">
        <f t="shared" si="2805"/>
        <v>2</v>
      </c>
      <c r="AI414" s="53">
        <f t="shared" si="2806"/>
        <v>0</v>
      </c>
      <c r="AJ414" s="54">
        <f t="shared" si="2807"/>
        <v>0</v>
      </c>
      <c r="AK414" s="53">
        <f t="shared" si="2808"/>
        <v>1</v>
      </c>
      <c r="AL414" s="54">
        <f t="shared" si="2809"/>
        <v>2</v>
      </c>
      <c r="AM414" s="53">
        <f t="shared" si="2810"/>
        <v>1</v>
      </c>
      <c r="AN414" s="54">
        <f t="shared" si="2811"/>
        <v>1</v>
      </c>
      <c r="AO414" s="53">
        <f t="shared" si="2812"/>
        <v>1</v>
      </c>
      <c r="AP414" s="54">
        <f t="shared" si="2813"/>
        <v>1</v>
      </c>
      <c r="AQ414" s="49">
        <f t="shared" ref="AQ414:AR414" si="2890">SUM(AG414,AI414,AK414,AM414,AO414)</f>
        <v>4</v>
      </c>
      <c r="AR414" s="50">
        <f t="shared" si="2890"/>
        <v>6</v>
      </c>
      <c r="AS414" s="53">
        <f t="shared" si="2815"/>
        <v>1</v>
      </c>
      <c r="AT414" s="54">
        <f t="shared" si="2816"/>
        <v>2</v>
      </c>
      <c r="AU414" s="53">
        <f t="shared" si="2817"/>
        <v>0</v>
      </c>
      <c r="AV414" s="54">
        <f t="shared" si="2818"/>
        <v>0</v>
      </c>
      <c r="AW414" s="53">
        <f t="shared" si="2819"/>
        <v>0</v>
      </c>
      <c r="AX414" s="54">
        <f t="shared" si="2820"/>
        <v>0</v>
      </c>
      <c r="AY414" s="53">
        <f t="shared" si="2821"/>
        <v>1</v>
      </c>
      <c r="AZ414" s="54">
        <f t="shared" si="2822"/>
        <v>2</v>
      </c>
      <c r="BA414" s="53">
        <f t="shared" si="2823"/>
        <v>2</v>
      </c>
      <c r="BB414" s="54">
        <f t="shared" si="2824"/>
        <v>4</v>
      </c>
      <c r="BC414" s="49">
        <f t="shared" ref="BC414:BD414" si="2891">SUM(AS414,AU414,AW414,AY414,BA414)</f>
        <v>4</v>
      </c>
      <c r="BD414" s="50">
        <f t="shared" si="2891"/>
        <v>8</v>
      </c>
      <c r="BE414" s="68">
        <f t="shared" ref="BE414:BF414" si="2892">SUM(E414,G414,I414,O414,Q414,AC414,AQ414,BC414)</f>
        <v>19</v>
      </c>
      <c r="BF414" s="69">
        <f t="shared" si="2892"/>
        <v>38</v>
      </c>
      <c r="BG414" s="46" t="str">
        <f>BF414*'ОВгП_РАО'!$B$16</f>
        <v>#REF!</v>
      </c>
      <c r="BH414" s="46" t="str">
        <f>'ОВгП_РАО'!$B$16</f>
        <v>#REF!</v>
      </c>
    </row>
    <row r="415" ht="15.75" customHeight="1">
      <c r="A415" s="80">
        <f t="shared" si="2827"/>
        <v>46272</v>
      </c>
      <c r="B415" s="129" t="s">
        <v>135</v>
      </c>
      <c r="C415" s="47" t="s">
        <v>122</v>
      </c>
      <c r="D415" s="47" t="s">
        <v>136</v>
      </c>
      <c r="E415" s="73">
        <f t="shared" si="2778"/>
        <v>2</v>
      </c>
      <c r="F415" s="50">
        <f t="shared" si="2779"/>
        <v>4</v>
      </c>
      <c r="G415" s="73">
        <f t="shared" si="2780"/>
        <v>1</v>
      </c>
      <c r="H415" s="50">
        <f t="shared" si="2781"/>
        <v>3</v>
      </c>
      <c r="I415" s="73">
        <f t="shared" si="2782"/>
        <v>1</v>
      </c>
      <c r="J415" s="50">
        <f t="shared" si="2783"/>
        <v>2</v>
      </c>
      <c r="K415" s="53">
        <f t="shared" si="2784"/>
        <v>1</v>
      </c>
      <c r="L415" s="54">
        <f t="shared" si="2785"/>
        <v>3</v>
      </c>
      <c r="M415" s="53">
        <f t="shared" si="2786"/>
        <v>2</v>
      </c>
      <c r="N415" s="54">
        <f t="shared" si="2787"/>
        <v>4</v>
      </c>
      <c r="O415" s="49">
        <f t="shared" ref="O415:P415" si="2893">SUM(K415,M415)</f>
        <v>3</v>
      </c>
      <c r="P415" s="50">
        <f t="shared" si="2893"/>
        <v>7</v>
      </c>
      <c r="Q415" s="73">
        <f t="shared" si="2789"/>
        <v>1</v>
      </c>
      <c r="R415" s="50">
        <f t="shared" si="2790"/>
        <v>1</v>
      </c>
      <c r="S415" s="53">
        <f t="shared" si="2791"/>
        <v>1</v>
      </c>
      <c r="T415" s="54">
        <f t="shared" si="2792"/>
        <v>1</v>
      </c>
      <c r="U415" s="53">
        <f t="shared" si="2793"/>
        <v>0</v>
      </c>
      <c r="V415" s="54">
        <f t="shared" si="2794"/>
        <v>0</v>
      </c>
      <c r="W415" s="53">
        <f t="shared" si="2795"/>
        <v>1</v>
      </c>
      <c r="X415" s="54">
        <f t="shared" si="2796"/>
        <v>2</v>
      </c>
      <c r="Y415" s="53">
        <f t="shared" si="2797"/>
        <v>1</v>
      </c>
      <c r="Z415" s="54">
        <f t="shared" si="2798"/>
        <v>3</v>
      </c>
      <c r="AA415" s="53">
        <f t="shared" si="2799"/>
        <v>1</v>
      </c>
      <c r="AB415" s="54">
        <f t="shared" si="2800"/>
        <v>1</v>
      </c>
      <c r="AC415" s="49">
        <f t="shared" ref="AC415:AD415" si="2894">SUM(S415,U415,W415,Y415,AA415)</f>
        <v>4</v>
      </c>
      <c r="AD415" s="50">
        <f t="shared" si="2894"/>
        <v>7</v>
      </c>
      <c r="AE415" s="53">
        <f t="shared" si="2802"/>
        <v>1</v>
      </c>
      <c r="AF415" s="54">
        <f t="shared" si="2803"/>
        <v>3</v>
      </c>
      <c r="AG415" s="53">
        <f t="shared" si="2804"/>
        <v>1</v>
      </c>
      <c r="AH415" s="54">
        <f t="shared" si="2805"/>
        <v>2</v>
      </c>
      <c r="AI415" s="53">
        <f t="shared" si="2806"/>
        <v>2</v>
      </c>
      <c r="AJ415" s="54">
        <f t="shared" si="2807"/>
        <v>4</v>
      </c>
      <c r="AK415" s="53">
        <f t="shared" si="2808"/>
        <v>0</v>
      </c>
      <c r="AL415" s="54">
        <f t="shared" si="2809"/>
        <v>0</v>
      </c>
      <c r="AM415" s="53">
        <f t="shared" si="2810"/>
        <v>2</v>
      </c>
      <c r="AN415" s="54">
        <f t="shared" si="2811"/>
        <v>4</v>
      </c>
      <c r="AO415" s="53">
        <f t="shared" si="2812"/>
        <v>2</v>
      </c>
      <c r="AP415" s="54">
        <f t="shared" si="2813"/>
        <v>4</v>
      </c>
      <c r="AQ415" s="49">
        <f t="shared" ref="AQ415:AR415" si="2895">SUM(AG415,AI415,AK415,AM415,AO415)</f>
        <v>7</v>
      </c>
      <c r="AR415" s="50">
        <f t="shared" si="2895"/>
        <v>14</v>
      </c>
      <c r="AS415" s="53">
        <f t="shared" si="2815"/>
        <v>1</v>
      </c>
      <c r="AT415" s="54">
        <f t="shared" si="2816"/>
        <v>2</v>
      </c>
      <c r="AU415" s="53">
        <f t="shared" si="2817"/>
        <v>1</v>
      </c>
      <c r="AV415" s="54">
        <f t="shared" si="2818"/>
        <v>2</v>
      </c>
      <c r="AW415" s="53">
        <f t="shared" si="2819"/>
        <v>1</v>
      </c>
      <c r="AX415" s="54">
        <f t="shared" si="2820"/>
        <v>2</v>
      </c>
      <c r="AY415" s="53">
        <f t="shared" si="2821"/>
        <v>1</v>
      </c>
      <c r="AZ415" s="54">
        <f t="shared" si="2822"/>
        <v>1</v>
      </c>
      <c r="BA415" s="53">
        <f t="shared" si="2823"/>
        <v>1</v>
      </c>
      <c r="BB415" s="54">
        <f t="shared" si="2824"/>
        <v>2</v>
      </c>
      <c r="BC415" s="49">
        <f t="shared" ref="BC415:BD415" si="2896">SUM(AS415,AU415,AW415,AY415,BA415)</f>
        <v>5</v>
      </c>
      <c r="BD415" s="50">
        <f t="shared" si="2896"/>
        <v>9</v>
      </c>
      <c r="BE415" s="68">
        <f t="shared" ref="BE415:BF415" si="2897">SUM(E415,G415,I415,O415,Q415,AC415,AQ415,BC415)</f>
        <v>24</v>
      </c>
      <c r="BF415" s="69">
        <f t="shared" si="2897"/>
        <v>47</v>
      </c>
      <c r="BG415" s="46" t="str">
        <f>BF415*'ОВгП_РАО'!$B$17</f>
        <v>#REF!</v>
      </c>
      <c r="BH415" s="46" t="str">
        <f>'ОВгП_РАО'!$B$17</f>
        <v>#REF!</v>
      </c>
    </row>
    <row r="416" ht="15.75" customHeight="1">
      <c r="A416" s="80">
        <f t="shared" si="2827"/>
        <v>46272</v>
      </c>
      <c r="B416" s="129" t="s">
        <v>137</v>
      </c>
      <c r="C416" s="47" t="s">
        <v>122</v>
      </c>
      <c r="D416" s="47" t="s">
        <v>136</v>
      </c>
      <c r="E416" s="73">
        <f t="shared" si="2778"/>
        <v>1</v>
      </c>
      <c r="F416" s="50">
        <f t="shared" si="2779"/>
        <v>2</v>
      </c>
      <c r="G416" s="73">
        <f t="shared" si="2780"/>
        <v>1</v>
      </c>
      <c r="H416" s="50">
        <f t="shared" si="2781"/>
        <v>2</v>
      </c>
      <c r="I416" s="73">
        <f t="shared" si="2782"/>
        <v>0</v>
      </c>
      <c r="J416" s="50">
        <f t="shared" si="2783"/>
        <v>0</v>
      </c>
      <c r="K416" s="53">
        <f t="shared" si="2784"/>
        <v>1</v>
      </c>
      <c r="L416" s="54">
        <f t="shared" si="2785"/>
        <v>1</v>
      </c>
      <c r="M416" s="53">
        <f t="shared" si="2786"/>
        <v>0</v>
      </c>
      <c r="N416" s="54">
        <f t="shared" si="2787"/>
        <v>0</v>
      </c>
      <c r="O416" s="49">
        <f t="shared" ref="O416:P416" si="2898">SUM(K416,M416)</f>
        <v>1</v>
      </c>
      <c r="P416" s="50">
        <f t="shared" si="2898"/>
        <v>1</v>
      </c>
      <c r="Q416" s="73">
        <f t="shared" si="2789"/>
        <v>1</v>
      </c>
      <c r="R416" s="50">
        <f t="shared" si="2790"/>
        <v>2</v>
      </c>
      <c r="S416" s="53">
        <f t="shared" si="2791"/>
        <v>1</v>
      </c>
      <c r="T416" s="54">
        <f t="shared" si="2792"/>
        <v>2</v>
      </c>
      <c r="U416" s="53">
        <f t="shared" si="2793"/>
        <v>0</v>
      </c>
      <c r="V416" s="54">
        <f t="shared" si="2794"/>
        <v>0</v>
      </c>
      <c r="W416" s="53">
        <f t="shared" si="2795"/>
        <v>1</v>
      </c>
      <c r="X416" s="54">
        <f t="shared" si="2796"/>
        <v>2</v>
      </c>
      <c r="Y416" s="53">
        <f t="shared" si="2797"/>
        <v>1</v>
      </c>
      <c r="Z416" s="54">
        <f t="shared" si="2798"/>
        <v>1</v>
      </c>
      <c r="AA416" s="53">
        <f t="shared" si="2799"/>
        <v>1</v>
      </c>
      <c r="AB416" s="54">
        <f t="shared" si="2800"/>
        <v>3</v>
      </c>
      <c r="AC416" s="49">
        <f t="shared" ref="AC416:AD416" si="2899">SUM(S416,U416,W416,Y416,AA416)</f>
        <v>4</v>
      </c>
      <c r="AD416" s="50">
        <f t="shared" si="2899"/>
        <v>8</v>
      </c>
      <c r="AE416" s="53">
        <f t="shared" si="2802"/>
        <v>2</v>
      </c>
      <c r="AF416" s="54">
        <f t="shared" si="2803"/>
        <v>4</v>
      </c>
      <c r="AG416" s="53">
        <f t="shared" si="2804"/>
        <v>1</v>
      </c>
      <c r="AH416" s="54">
        <f t="shared" si="2805"/>
        <v>1</v>
      </c>
      <c r="AI416" s="53">
        <f t="shared" si="2806"/>
        <v>2</v>
      </c>
      <c r="AJ416" s="54">
        <f t="shared" si="2807"/>
        <v>4</v>
      </c>
      <c r="AK416" s="53">
        <f t="shared" si="2808"/>
        <v>0</v>
      </c>
      <c r="AL416" s="54">
        <f t="shared" si="2809"/>
        <v>0</v>
      </c>
      <c r="AM416" s="53">
        <f t="shared" si="2810"/>
        <v>0</v>
      </c>
      <c r="AN416" s="54">
        <f t="shared" si="2811"/>
        <v>0</v>
      </c>
      <c r="AO416" s="53">
        <f t="shared" si="2812"/>
        <v>1</v>
      </c>
      <c r="AP416" s="54">
        <f t="shared" si="2813"/>
        <v>2</v>
      </c>
      <c r="AQ416" s="49">
        <f t="shared" ref="AQ416:AR416" si="2900">SUM(AG416,AI416,AK416,AM416,AO416)</f>
        <v>4</v>
      </c>
      <c r="AR416" s="50">
        <f t="shared" si="2900"/>
        <v>7</v>
      </c>
      <c r="AS416" s="53">
        <f t="shared" si="2815"/>
        <v>1</v>
      </c>
      <c r="AT416" s="54">
        <f t="shared" si="2816"/>
        <v>1</v>
      </c>
      <c r="AU416" s="53">
        <f t="shared" si="2817"/>
        <v>1</v>
      </c>
      <c r="AV416" s="54">
        <f t="shared" si="2818"/>
        <v>1</v>
      </c>
      <c r="AW416" s="53">
        <f t="shared" si="2819"/>
        <v>2</v>
      </c>
      <c r="AX416" s="54">
        <f t="shared" si="2820"/>
        <v>4</v>
      </c>
      <c r="AY416" s="53">
        <f t="shared" si="2821"/>
        <v>0</v>
      </c>
      <c r="AZ416" s="54">
        <f t="shared" si="2822"/>
        <v>0</v>
      </c>
      <c r="BA416" s="53">
        <f t="shared" si="2823"/>
        <v>2</v>
      </c>
      <c r="BB416" s="54">
        <f t="shared" si="2824"/>
        <v>4</v>
      </c>
      <c r="BC416" s="49">
        <f t="shared" ref="BC416:BD416" si="2901">SUM(AS416,AU416,AW416,AY416,BA416)</f>
        <v>6</v>
      </c>
      <c r="BD416" s="50">
        <f t="shared" si="2901"/>
        <v>10</v>
      </c>
      <c r="BE416" s="68">
        <f t="shared" ref="BE416:BF416" si="2902">SUM(E416,G416,I416,O416,Q416,AC416,AQ416,BC416)</f>
        <v>18</v>
      </c>
      <c r="BF416" s="69">
        <f t="shared" si="2902"/>
        <v>32</v>
      </c>
      <c r="BG416" s="46" t="str">
        <f>BF416*'ОВгП_РАО'!$B$18</f>
        <v>#REF!</v>
      </c>
      <c r="BH416" s="46" t="str">
        <f>'ОВгП_РАО'!$B$18</f>
        <v>#REF!</v>
      </c>
    </row>
    <row r="417" ht="15.75" customHeight="1">
      <c r="A417" s="80">
        <f t="shared" si="2827"/>
        <v>46272</v>
      </c>
      <c r="B417" s="129" t="s">
        <v>138</v>
      </c>
      <c r="C417" s="47" t="s">
        <v>122</v>
      </c>
      <c r="D417" s="47" t="s">
        <v>139</v>
      </c>
      <c r="E417" s="73">
        <f t="shared" si="2778"/>
        <v>1</v>
      </c>
      <c r="F417" s="50">
        <f t="shared" si="2779"/>
        <v>3</v>
      </c>
      <c r="G417" s="73">
        <f t="shared" si="2780"/>
        <v>2</v>
      </c>
      <c r="H417" s="50">
        <f t="shared" si="2781"/>
        <v>4</v>
      </c>
      <c r="I417" s="73">
        <f t="shared" si="2782"/>
        <v>1</v>
      </c>
      <c r="J417" s="50">
        <f t="shared" si="2783"/>
        <v>2</v>
      </c>
      <c r="K417" s="53">
        <f t="shared" si="2784"/>
        <v>1</v>
      </c>
      <c r="L417" s="54">
        <f t="shared" si="2785"/>
        <v>1</v>
      </c>
      <c r="M417" s="53">
        <f t="shared" si="2786"/>
        <v>1</v>
      </c>
      <c r="N417" s="54">
        <f t="shared" si="2787"/>
        <v>1</v>
      </c>
      <c r="O417" s="49">
        <f t="shared" ref="O417:P417" si="2903">SUM(K417,M417)</f>
        <v>2</v>
      </c>
      <c r="P417" s="50">
        <f t="shared" si="2903"/>
        <v>2</v>
      </c>
      <c r="Q417" s="73">
        <f t="shared" si="2789"/>
        <v>1</v>
      </c>
      <c r="R417" s="50">
        <f t="shared" si="2790"/>
        <v>1</v>
      </c>
      <c r="S417" s="53">
        <f t="shared" si="2791"/>
        <v>1</v>
      </c>
      <c r="T417" s="54">
        <f t="shared" si="2792"/>
        <v>1</v>
      </c>
      <c r="U417" s="53">
        <f t="shared" si="2793"/>
        <v>2</v>
      </c>
      <c r="V417" s="54">
        <f t="shared" si="2794"/>
        <v>4</v>
      </c>
      <c r="W417" s="53">
        <f t="shared" si="2795"/>
        <v>1</v>
      </c>
      <c r="X417" s="54">
        <f t="shared" si="2796"/>
        <v>1</v>
      </c>
      <c r="Y417" s="53">
        <f t="shared" si="2797"/>
        <v>1</v>
      </c>
      <c r="Z417" s="54">
        <f t="shared" si="2798"/>
        <v>2</v>
      </c>
      <c r="AA417" s="53">
        <f t="shared" si="2799"/>
        <v>1</v>
      </c>
      <c r="AB417" s="54">
        <f t="shared" si="2800"/>
        <v>1</v>
      </c>
      <c r="AC417" s="49">
        <f t="shared" ref="AC417:AD417" si="2904">SUM(S417,U417,W417,Y417,AA417)</f>
        <v>6</v>
      </c>
      <c r="AD417" s="50">
        <f t="shared" si="2904"/>
        <v>9</v>
      </c>
      <c r="AE417" s="53">
        <f t="shared" si="2802"/>
        <v>0</v>
      </c>
      <c r="AF417" s="54">
        <f t="shared" si="2803"/>
        <v>0</v>
      </c>
      <c r="AG417" s="53">
        <f t="shared" si="2804"/>
        <v>2</v>
      </c>
      <c r="AH417" s="54">
        <f t="shared" si="2805"/>
        <v>4</v>
      </c>
      <c r="AI417" s="53">
        <f t="shared" si="2806"/>
        <v>1</v>
      </c>
      <c r="AJ417" s="54">
        <f t="shared" si="2807"/>
        <v>2</v>
      </c>
      <c r="AK417" s="53">
        <f t="shared" si="2808"/>
        <v>0</v>
      </c>
      <c r="AL417" s="54">
        <f t="shared" si="2809"/>
        <v>0</v>
      </c>
      <c r="AM417" s="53">
        <f t="shared" si="2810"/>
        <v>1</v>
      </c>
      <c r="AN417" s="54">
        <f t="shared" si="2811"/>
        <v>1</v>
      </c>
      <c r="AO417" s="53">
        <f t="shared" si="2812"/>
        <v>1</v>
      </c>
      <c r="AP417" s="54">
        <f t="shared" si="2813"/>
        <v>3</v>
      </c>
      <c r="AQ417" s="49">
        <f t="shared" ref="AQ417:AR417" si="2905">SUM(AG417,AI417,AK417,AM417,AO417)</f>
        <v>5</v>
      </c>
      <c r="AR417" s="50">
        <f t="shared" si="2905"/>
        <v>10</v>
      </c>
      <c r="AS417" s="53">
        <f t="shared" si="2815"/>
        <v>0</v>
      </c>
      <c r="AT417" s="54">
        <f t="shared" si="2816"/>
        <v>0</v>
      </c>
      <c r="AU417" s="53">
        <f t="shared" si="2817"/>
        <v>0</v>
      </c>
      <c r="AV417" s="54">
        <f t="shared" si="2818"/>
        <v>0</v>
      </c>
      <c r="AW417" s="53">
        <f t="shared" si="2819"/>
        <v>2</v>
      </c>
      <c r="AX417" s="54">
        <f t="shared" si="2820"/>
        <v>4</v>
      </c>
      <c r="AY417" s="53">
        <f t="shared" si="2821"/>
        <v>2</v>
      </c>
      <c r="AZ417" s="54">
        <f t="shared" si="2822"/>
        <v>4</v>
      </c>
      <c r="BA417" s="53">
        <f t="shared" si="2823"/>
        <v>0</v>
      </c>
      <c r="BB417" s="54">
        <f t="shared" si="2824"/>
        <v>0</v>
      </c>
      <c r="BC417" s="49">
        <f t="shared" ref="BC417:BD417" si="2906">SUM(AS417,AU417,AW417,AY417,BA417)</f>
        <v>4</v>
      </c>
      <c r="BD417" s="50">
        <f t="shared" si="2906"/>
        <v>8</v>
      </c>
      <c r="BE417" s="68">
        <f t="shared" ref="BE417:BF417" si="2907">SUM(E417,G417,I417,O417,Q417,AC417,AQ417,BC417)</f>
        <v>22</v>
      </c>
      <c r="BF417" s="69">
        <f t="shared" si="2907"/>
        <v>39</v>
      </c>
      <c r="BG417" s="46" t="str">
        <f>BF417*'ОВгП_РАО'!$B$19</f>
        <v>#REF!</v>
      </c>
      <c r="BH417" s="46" t="str">
        <f>'ОВгП_РАО'!$B$19</f>
        <v>#REF!</v>
      </c>
    </row>
    <row r="418" ht="15.75" customHeight="1">
      <c r="A418" s="80">
        <f t="shared" si="2827"/>
        <v>46272</v>
      </c>
      <c r="B418" s="129" t="s">
        <v>140</v>
      </c>
      <c r="C418" s="47" t="s">
        <v>122</v>
      </c>
      <c r="D418" s="47" t="s">
        <v>139</v>
      </c>
      <c r="E418" s="73">
        <f t="shared" si="2778"/>
        <v>1</v>
      </c>
      <c r="F418" s="50">
        <f t="shared" si="2779"/>
        <v>2</v>
      </c>
      <c r="G418" s="73">
        <f t="shared" si="2780"/>
        <v>1</v>
      </c>
      <c r="H418" s="50">
        <f t="shared" si="2781"/>
        <v>1</v>
      </c>
      <c r="I418" s="73">
        <f t="shared" si="2782"/>
        <v>2</v>
      </c>
      <c r="J418" s="50">
        <f t="shared" si="2783"/>
        <v>4</v>
      </c>
      <c r="K418" s="53">
        <f t="shared" si="2784"/>
        <v>1</v>
      </c>
      <c r="L418" s="54">
        <f t="shared" si="2785"/>
        <v>2</v>
      </c>
      <c r="M418" s="53">
        <f t="shared" si="2786"/>
        <v>1</v>
      </c>
      <c r="N418" s="54">
        <f t="shared" si="2787"/>
        <v>1</v>
      </c>
      <c r="O418" s="49">
        <f t="shared" ref="O418:P418" si="2908">SUM(K418,M418)</f>
        <v>2</v>
      </c>
      <c r="P418" s="50">
        <f t="shared" si="2908"/>
        <v>3</v>
      </c>
      <c r="Q418" s="73">
        <f t="shared" si="2789"/>
        <v>1</v>
      </c>
      <c r="R418" s="50">
        <f t="shared" si="2790"/>
        <v>2</v>
      </c>
      <c r="S418" s="53">
        <f t="shared" si="2791"/>
        <v>1</v>
      </c>
      <c r="T418" s="54">
        <f t="shared" si="2792"/>
        <v>1</v>
      </c>
      <c r="U418" s="53">
        <f t="shared" si="2793"/>
        <v>1</v>
      </c>
      <c r="V418" s="54">
        <f t="shared" si="2794"/>
        <v>2</v>
      </c>
      <c r="W418" s="53">
        <f t="shared" si="2795"/>
        <v>2</v>
      </c>
      <c r="X418" s="54">
        <f t="shared" si="2796"/>
        <v>4</v>
      </c>
      <c r="Y418" s="53">
        <f t="shared" si="2797"/>
        <v>2</v>
      </c>
      <c r="Z418" s="54">
        <f t="shared" si="2798"/>
        <v>4</v>
      </c>
      <c r="AA418" s="53">
        <f t="shared" si="2799"/>
        <v>0</v>
      </c>
      <c r="AB418" s="54">
        <f t="shared" si="2800"/>
        <v>0</v>
      </c>
      <c r="AC418" s="49">
        <f t="shared" ref="AC418:AD418" si="2909">SUM(S418,U418,W418,Y418,AA418)</f>
        <v>6</v>
      </c>
      <c r="AD418" s="50">
        <f t="shared" si="2909"/>
        <v>11</v>
      </c>
      <c r="AE418" s="53">
        <f t="shared" si="2802"/>
        <v>0</v>
      </c>
      <c r="AF418" s="54">
        <f t="shared" si="2803"/>
        <v>0</v>
      </c>
      <c r="AG418" s="53">
        <f t="shared" si="2804"/>
        <v>1</v>
      </c>
      <c r="AH418" s="54">
        <f t="shared" si="2805"/>
        <v>1</v>
      </c>
      <c r="AI418" s="53">
        <f t="shared" si="2806"/>
        <v>1</v>
      </c>
      <c r="AJ418" s="54">
        <f t="shared" si="2807"/>
        <v>2</v>
      </c>
      <c r="AK418" s="53">
        <f t="shared" si="2808"/>
        <v>1</v>
      </c>
      <c r="AL418" s="54">
        <f t="shared" si="2809"/>
        <v>3</v>
      </c>
      <c r="AM418" s="53">
        <f t="shared" si="2810"/>
        <v>0</v>
      </c>
      <c r="AN418" s="54">
        <f t="shared" si="2811"/>
        <v>0</v>
      </c>
      <c r="AO418" s="53">
        <f t="shared" si="2812"/>
        <v>1</v>
      </c>
      <c r="AP418" s="54">
        <f t="shared" si="2813"/>
        <v>1</v>
      </c>
      <c r="AQ418" s="49">
        <f t="shared" ref="AQ418:AR418" si="2910">SUM(AG418,AI418,AK418,AM418,AO418)</f>
        <v>4</v>
      </c>
      <c r="AR418" s="50">
        <f t="shared" si="2910"/>
        <v>7</v>
      </c>
      <c r="AS418" s="53">
        <f t="shared" si="2815"/>
        <v>1</v>
      </c>
      <c r="AT418" s="54">
        <f t="shared" si="2816"/>
        <v>2</v>
      </c>
      <c r="AU418" s="53">
        <f t="shared" si="2817"/>
        <v>1</v>
      </c>
      <c r="AV418" s="54">
        <f t="shared" si="2818"/>
        <v>2</v>
      </c>
      <c r="AW418" s="53">
        <f t="shared" si="2819"/>
        <v>1</v>
      </c>
      <c r="AX418" s="54">
        <f t="shared" si="2820"/>
        <v>3</v>
      </c>
      <c r="AY418" s="53">
        <f t="shared" si="2821"/>
        <v>0</v>
      </c>
      <c r="AZ418" s="54">
        <f t="shared" si="2822"/>
        <v>0</v>
      </c>
      <c r="BA418" s="53">
        <f t="shared" si="2823"/>
        <v>1</v>
      </c>
      <c r="BB418" s="54">
        <f t="shared" si="2824"/>
        <v>1</v>
      </c>
      <c r="BC418" s="49">
        <f t="shared" ref="BC418:BD418" si="2911">SUM(AS418,AU418,AW418,AY418,BA418)</f>
        <v>4</v>
      </c>
      <c r="BD418" s="50">
        <f t="shared" si="2911"/>
        <v>8</v>
      </c>
      <c r="BE418" s="68">
        <f t="shared" ref="BE418:BF418" si="2912">SUM(E418,G418,I418,O418,Q418,AC418,AQ418,BC418)</f>
        <v>21</v>
      </c>
      <c r="BF418" s="69">
        <f t="shared" si="2912"/>
        <v>38</v>
      </c>
      <c r="BG418" s="46" t="str">
        <f>BF418*'ОВгП_РАО'!$B$20</f>
        <v>#REF!</v>
      </c>
      <c r="BH418" s="46" t="str">
        <f>'ОВгП_РАО'!$B$20</f>
        <v>#REF!</v>
      </c>
    </row>
    <row r="419" ht="15.75" customHeight="1">
      <c r="A419" s="80">
        <f t="shared" si="2827"/>
        <v>46272</v>
      </c>
      <c r="B419" s="129" t="s">
        <v>141</v>
      </c>
      <c r="C419" s="47" t="s">
        <v>122</v>
      </c>
      <c r="D419" s="47" t="s">
        <v>139</v>
      </c>
      <c r="E419" s="73">
        <f t="shared" si="2778"/>
        <v>1</v>
      </c>
      <c r="F419" s="50">
        <f t="shared" si="2779"/>
        <v>2</v>
      </c>
      <c r="G419" s="73">
        <f t="shared" si="2780"/>
        <v>1</v>
      </c>
      <c r="H419" s="50">
        <f t="shared" si="2781"/>
        <v>3</v>
      </c>
      <c r="I419" s="73">
        <f t="shared" si="2782"/>
        <v>2</v>
      </c>
      <c r="J419" s="50">
        <f t="shared" si="2783"/>
        <v>4</v>
      </c>
      <c r="K419" s="53">
        <f t="shared" si="2784"/>
        <v>2</v>
      </c>
      <c r="L419" s="54">
        <f t="shared" si="2785"/>
        <v>4</v>
      </c>
      <c r="M419" s="53">
        <f t="shared" si="2786"/>
        <v>2</v>
      </c>
      <c r="N419" s="54">
        <f t="shared" si="2787"/>
        <v>4</v>
      </c>
      <c r="O419" s="49">
        <f t="shared" ref="O419:P419" si="2913">SUM(K419,M419)</f>
        <v>4</v>
      </c>
      <c r="P419" s="50">
        <f t="shared" si="2913"/>
        <v>8</v>
      </c>
      <c r="Q419" s="73">
        <f t="shared" si="2789"/>
        <v>1</v>
      </c>
      <c r="R419" s="50">
        <f t="shared" si="2790"/>
        <v>2</v>
      </c>
      <c r="S419" s="53">
        <f t="shared" si="2791"/>
        <v>2</v>
      </c>
      <c r="T419" s="54">
        <f t="shared" si="2792"/>
        <v>4</v>
      </c>
      <c r="U419" s="53">
        <f t="shared" si="2793"/>
        <v>0</v>
      </c>
      <c r="V419" s="54">
        <f t="shared" si="2794"/>
        <v>0</v>
      </c>
      <c r="W419" s="53">
        <f t="shared" si="2795"/>
        <v>1</v>
      </c>
      <c r="X419" s="54">
        <f t="shared" si="2796"/>
        <v>3</v>
      </c>
      <c r="Y419" s="53">
        <f t="shared" si="2797"/>
        <v>1</v>
      </c>
      <c r="Z419" s="54">
        <f t="shared" si="2798"/>
        <v>2</v>
      </c>
      <c r="AA419" s="53">
        <f t="shared" si="2799"/>
        <v>1</v>
      </c>
      <c r="AB419" s="54">
        <f t="shared" si="2800"/>
        <v>1</v>
      </c>
      <c r="AC419" s="49">
        <f t="shared" ref="AC419:AD419" si="2914">SUM(S419,U419,W419,Y419,AA419)</f>
        <v>5</v>
      </c>
      <c r="AD419" s="50">
        <f t="shared" si="2914"/>
        <v>10</v>
      </c>
      <c r="AE419" s="53">
        <f t="shared" si="2802"/>
        <v>1</v>
      </c>
      <c r="AF419" s="54">
        <f t="shared" si="2803"/>
        <v>1</v>
      </c>
      <c r="AG419" s="53">
        <f t="shared" si="2804"/>
        <v>1</v>
      </c>
      <c r="AH419" s="54">
        <f t="shared" si="2805"/>
        <v>1</v>
      </c>
      <c r="AI419" s="53">
        <f t="shared" si="2806"/>
        <v>2</v>
      </c>
      <c r="AJ419" s="54">
        <f t="shared" si="2807"/>
        <v>4</v>
      </c>
      <c r="AK419" s="53">
        <f t="shared" si="2808"/>
        <v>1</v>
      </c>
      <c r="AL419" s="54">
        <f t="shared" si="2809"/>
        <v>1</v>
      </c>
      <c r="AM419" s="53">
        <f t="shared" si="2810"/>
        <v>1</v>
      </c>
      <c r="AN419" s="54">
        <f t="shared" si="2811"/>
        <v>1</v>
      </c>
      <c r="AO419" s="53">
        <f t="shared" si="2812"/>
        <v>1</v>
      </c>
      <c r="AP419" s="54">
        <f t="shared" si="2813"/>
        <v>3</v>
      </c>
      <c r="AQ419" s="49">
        <f t="shared" ref="AQ419:AR419" si="2915">SUM(AG419,AI419,AK419,AM419,AO419)</f>
        <v>6</v>
      </c>
      <c r="AR419" s="50">
        <f t="shared" si="2915"/>
        <v>10</v>
      </c>
      <c r="AS419" s="53">
        <f t="shared" si="2815"/>
        <v>1</v>
      </c>
      <c r="AT419" s="54">
        <f t="shared" si="2816"/>
        <v>2</v>
      </c>
      <c r="AU419" s="53">
        <f t="shared" si="2817"/>
        <v>1</v>
      </c>
      <c r="AV419" s="54">
        <f t="shared" si="2818"/>
        <v>2</v>
      </c>
      <c r="AW419" s="53">
        <f t="shared" si="2819"/>
        <v>1</v>
      </c>
      <c r="AX419" s="54">
        <f t="shared" si="2820"/>
        <v>2</v>
      </c>
      <c r="AY419" s="53">
        <f t="shared" si="2821"/>
        <v>1</v>
      </c>
      <c r="AZ419" s="54">
        <f t="shared" si="2822"/>
        <v>2</v>
      </c>
      <c r="BA419" s="53">
        <f t="shared" si="2823"/>
        <v>1</v>
      </c>
      <c r="BB419" s="54">
        <f t="shared" si="2824"/>
        <v>1</v>
      </c>
      <c r="BC419" s="49">
        <f t="shared" ref="BC419:BD419" si="2916">SUM(AS419,AU419,AW419,AY419,BA419)</f>
        <v>5</v>
      </c>
      <c r="BD419" s="50">
        <f t="shared" si="2916"/>
        <v>9</v>
      </c>
      <c r="BE419" s="68">
        <f t="shared" ref="BE419:BF419" si="2917">SUM(E419,G419,I419,O419,Q419,AC419,AQ419,BC419)</f>
        <v>25</v>
      </c>
      <c r="BF419" s="69">
        <f t="shared" si="2917"/>
        <v>48</v>
      </c>
      <c r="BG419" s="46" t="str">
        <f>BF419*'ОВгП_РАО'!$B$21</f>
        <v>#REF!</v>
      </c>
      <c r="BH419" s="46" t="str">
        <f>'ОВгП_РАО'!$B$21</f>
        <v>#REF!</v>
      </c>
    </row>
    <row r="420" ht="15.75" customHeight="1">
      <c r="A420" s="80">
        <f t="shared" si="2827"/>
        <v>46272</v>
      </c>
      <c r="B420" s="47" t="s">
        <v>142</v>
      </c>
      <c r="C420" s="46" t="s">
        <v>96</v>
      </c>
      <c r="D420" s="47" t="s">
        <v>98</v>
      </c>
      <c r="E420" s="73">
        <f t="shared" si="2778"/>
        <v>2</v>
      </c>
      <c r="F420" s="50">
        <f t="shared" si="2779"/>
        <v>4</v>
      </c>
      <c r="G420" s="73">
        <f t="shared" si="2780"/>
        <v>1</v>
      </c>
      <c r="H420" s="50">
        <f t="shared" si="2781"/>
        <v>2</v>
      </c>
      <c r="I420" s="73">
        <f t="shared" si="2782"/>
        <v>1</v>
      </c>
      <c r="J420" s="50">
        <f t="shared" si="2783"/>
        <v>1</v>
      </c>
      <c r="K420" s="53">
        <f t="shared" si="2784"/>
        <v>1</v>
      </c>
      <c r="L420" s="54">
        <f t="shared" si="2785"/>
        <v>3</v>
      </c>
      <c r="M420" s="53">
        <f t="shared" si="2786"/>
        <v>1</v>
      </c>
      <c r="N420" s="54">
        <f t="shared" si="2787"/>
        <v>2</v>
      </c>
      <c r="O420" s="49">
        <f t="shared" ref="O420:P420" si="2918">SUM(K420,M420)</f>
        <v>2</v>
      </c>
      <c r="P420" s="50">
        <f t="shared" si="2918"/>
        <v>5</v>
      </c>
      <c r="Q420" s="73">
        <f t="shared" si="2789"/>
        <v>1</v>
      </c>
      <c r="R420" s="50">
        <f t="shared" si="2790"/>
        <v>2</v>
      </c>
      <c r="S420" s="53">
        <f t="shared" si="2791"/>
        <v>2</v>
      </c>
      <c r="T420" s="54">
        <f t="shared" si="2792"/>
        <v>4</v>
      </c>
      <c r="U420" s="53">
        <f t="shared" si="2793"/>
        <v>1</v>
      </c>
      <c r="V420" s="54">
        <f t="shared" si="2794"/>
        <v>3</v>
      </c>
      <c r="W420" s="53">
        <f t="shared" si="2795"/>
        <v>2</v>
      </c>
      <c r="X420" s="54">
        <f t="shared" si="2796"/>
        <v>4</v>
      </c>
      <c r="Y420" s="53">
        <f t="shared" si="2797"/>
        <v>1</v>
      </c>
      <c r="Z420" s="54">
        <f t="shared" si="2798"/>
        <v>2</v>
      </c>
      <c r="AA420" s="53">
        <f t="shared" si="2799"/>
        <v>1</v>
      </c>
      <c r="AB420" s="54">
        <f t="shared" si="2800"/>
        <v>2</v>
      </c>
      <c r="AC420" s="49">
        <f t="shared" ref="AC420:AD420" si="2919">SUM(S420,U420,W420,Y420,AA420)</f>
        <v>7</v>
      </c>
      <c r="AD420" s="50">
        <f t="shared" si="2919"/>
        <v>15</v>
      </c>
      <c r="AE420" s="53">
        <f t="shared" si="2802"/>
        <v>1</v>
      </c>
      <c r="AF420" s="54">
        <f t="shared" si="2803"/>
        <v>3</v>
      </c>
      <c r="AG420" s="53">
        <f t="shared" si="2804"/>
        <v>1</v>
      </c>
      <c r="AH420" s="54">
        <f t="shared" si="2805"/>
        <v>1</v>
      </c>
      <c r="AI420" s="53">
        <f t="shared" si="2806"/>
        <v>1</v>
      </c>
      <c r="AJ420" s="54">
        <f t="shared" si="2807"/>
        <v>3</v>
      </c>
      <c r="AK420" s="53">
        <f t="shared" si="2808"/>
        <v>1</v>
      </c>
      <c r="AL420" s="54">
        <f t="shared" si="2809"/>
        <v>2</v>
      </c>
      <c r="AM420" s="53">
        <f t="shared" si="2810"/>
        <v>1</v>
      </c>
      <c r="AN420" s="54">
        <f t="shared" si="2811"/>
        <v>3</v>
      </c>
      <c r="AO420" s="53">
        <f t="shared" si="2812"/>
        <v>1</v>
      </c>
      <c r="AP420" s="54">
        <f t="shared" si="2813"/>
        <v>3</v>
      </c>
      <c r="AQ420" s="49">
        <f t="shared" ref="AQ420:AR420" si="2920">SUM(AG420,AI420,AK420,AM420,AO420)</f>
        <v>5</v>
      </c>
      <c r="AR420" s="50">
        <f t="shared" si="2920"/>
        <v>12</v>
      </c>
      <c r="AS420" s="53">
        <f t="shared" si="2815"/>
        <v>0</v>
      </c>
      <c r="AT420" s="54">
        <f t="shared" si="2816"/>
        <v>0</v>
      </c>
      <c r="AU420" s="53">
        <f t="shared" si="2817"/>
        <v>1</v>
      </c>
      <c r="AV420" s="54">
        <f t="shared" si="2818"/>
        <v>3</v>
      </c>
      <c r="AW420" s="53">
        <f t="shared" si="2819"/>
        <v>1</v>
      </c>
      <c r="AX420" s="54">
        <f t="shared" si="2820"/>
        <v>1</v>
      </c>
      <c r="AY420" s="53">
        <f t="shared" si="2821"/>
        <v>1</v>
      </c>
      <c r="AZ420" s="54">
        <f t="shared" si="2822"/>
        <v>3</v>
      </c>
      <c r="BA420" s="53">
        <f t="shared" si="2823"/>
        <v>1</v>
      </c>
      <c r="BB420" s="54">
        <f t="shared" si="2824"/>
        <v>2</v>
      </c>
      <c r="BC420" s="49">
        <f t="shared" ref="BC420:BD420" si="2921">SUM(AS420,AU420,AW420,AY420,BA420)</f>
        <v>4</v>
      </c>
      <c r="BD420" s="50">
        <f t="shared" si="2921"/>
        <v>9</v>
      </c>
      <c r="BE420" s="68">
        <f t="shared" ref="BE420:BF420" si="2922">SUM(E420,G420,I420,O420,Q420,AC420,AQ420,BC420)</f>
        <v>23</v>
      </c>
      <c r="BF420" s="69">
        <f t="shared" si="2922"/>
        <v>50</v>
      </c>
      <c r="BG420" s="46" t="str">
        <f>BF420*'ОВгП_РАО'!$B$22</f>
        <v>#REF!</v>
      </c>
      <c r="BH420" s="46" t="str">
        <f>'ОВгП_РАО'!$B$22</f>
        <v>#REF!</v>
      </c>
    </row>
    <row r="421" ht="15.75" customHeight="1">
      <c r="A421" s="80">
        <f t="shared" si="2827"/>
        <v>46272</v>
      </c>
      <c r="B421" s="47" t="s">
        <v>143</v>
      </c>
      <c r="C421" s="46" t="s">
        <v>96</v>
      </c>
      <c r="D421" s="47" t="s">
        <v>98</v>
      </c>
      <c r="E421" s="73">
        <f t="shared" si="2778"/>
        <v>2</v>
      </c>
      <c r="F421" s="50">
        <f t="shared" si="2779"/>
        <v>4</v>
      </c>
      <c r="G421" s="73">
        <f t="shared" si="2780"/>
        <v>1</v>
      </c>
      <c r="H421" s="50">
        <f t="shared" si="2781"/>
        <v>2</v>
      </c>
      <c r="I421" s="73">
        <f t="shared" si="2782"/>
        <v>1</v>
      </c>
      <c r="J421" s="50">
        <f t="shared" si="2783"/>
        <v>2</v>
      </c>
      <c r="K421" s="53">
        <f t="shared" si="2784"/>
        <v>2</v>
      </c>
      <c r="L421" s="54">
        <f t="shared" si="2785"/>
        <v>4</v>
      </c>
      <c r="M421" s="53">
        <f t="shared" si="2786"/>
        <v>2</v>
      </c>
      <c r="N421" s="54">
        <f t="shared" si="2787"/>
        <v>4</v>
      </c>
      <c r="O421" s="49">
        <f t="shared" ref="O421:P421" si="2923">SUM(K421,M421)</f>
        <v>4</v>
      </c>
      <c r="P421" s="50">
        <f t="shared" si="2923"/>
        <v>8</v>
      </c>
      <c r="Q421" s="73">
        <f t="shared" si="2789"/>
        <v>2</v>
      </c>
      <c r="R421" s="50">
        <f t="shared" si="2790"/>
        <v>4</v>
      </c>
      <c r="S421" s="53">
        <f t="shared" si="2791"/>
        <v>1</v>
      </c>
      <c r="T421" s="54">
        <f t="shared" si="2792"/>
        <v>2</v>
      </c>
      <c r="U421" s="53">
        <f t="shared" si="2793"/>
        <v>1</v>
      </c>
      <c r="V421" s="54">
        <f t="shared" si="2794"/>
        <v>3</v>
      </c>
      <c r="W421" s="53">
        <f t="shared" si="2795"/>
        <v>1</v>
      </c>
      <c r="X421" s="54">
        <f t="shared" si="2796"/>
        <v>3</v>
      </c>
      <c r="Y421" s="53">
        <f t="shared" si="2797"/>
        <v>0</v>
      </c>
      <c r="Z421" s="54">
        <f t="shared" si="2798"/>
        <v>0</v>
      </c>
      <c r="AA421" s="53">
        <f t="shared" si="2799"/>
        <v>2</v>
      </c>
      <c r="AB421" s="54">
        <f t="shared" si="2800"/>
        <v>4</v>
      </c>
      <c r="AC421" s="49">
        <f t="shared" ref="AC421:AD421" si="2924">SUM(S421,U421,W421,Y421,AA421)</f>
        <v>5</v>
      </c>
      <c r="AD421" s="50">
        <f t="shared" si="2924"/>
        <v>12</v>
      </c>
      <c r="AE421" s="53">
        <f t="shared" si="2802"/>
        <v>1</v>
      </c>
      <c r="AF421" s="54">
        <f t="shared" si="2803"/>
        <v>3</v>
      </c>
      <c r="AG421" s="53">
        <f t="shared" si="2804"/>
        <v>1</v>
      </c>
      <c r="AH421" s="54">
        <f t="shared" si="2805"/>
        <v>3</v>
      </c>
      <c r="AI421" s="53">
        <f t="shared" si="2806"/>
        <v>1</v>
      </c>
      <c r="AJ421" s="54">
        <f t="shared" si="2807"/>
        <v>3</v>
      </c>
      <c r="AK421" s="53">
        <f t="shared" si="2808"/>
        <v>1</v>
      </c>
      <c r="AL421" s="54">
        <f t="shared" si="2809"/>
        <v>1</v>
      </c>
      <c r="AM421" s="53">
        <f t="shared" si="2810"/>
        <v>1</v>
      </c>
      <c r="AN421" s="54">
        <f t="shared" si="2811"/>
        <v>3</v>
      </c>
      <c r="AO421" s="53">
        <f t="shared" si="2812"/>
        <v>1</v>
      </c>
      <c r="AP421" s="54">
        <f t="shared" si="2813"/>
        <v>3</v>
      </c>
      <c r="AQ421" s="49">
        <f t="shared" ref="AQ421:AR421" si="2925">SUM(AG421,AI421,AK421,AM421,AO421)</f>
        <v>5</v>
      </c>
      <c r="AR421" s="50">
        <f t="shared" si="2925"/>
        <v>13</v>
      </c>
      <c r="AS421" s="53">
        <f t="shared" si="2815"/>
        <v>2</v>
      </c>
      <c r="AT421" s="54">
        <f t="shared" si="2816"/>
        <v>4</v>
      </c>
      <c r="AU421" s="53">
        <f t="shared" si="2817"/>
        <v>2</v>
      </c>
      <c r="AV421" s="54">
        <f t="shared" si="2818"/>
        <v>4</v>
      </c>
      <c r="AW421" s="53">
        <f t="shared" si="2819"/>
        <v>1</v>
      </c>
      <c r="AX421" s="54">
        <f t="shared" si="2820"/>
        <v>3</v>
      </c>
      <c r="AY421" s="53">
        <f t="shared" si="2821"/>
        <v>1</v>
      </c>
      <c r="AZ421" s="54">
        <f t="shared" si="2822"/>
        <v>1</v>
      </c>
      <c r="BA421" s="53">
        <f t="shared" si="2823"/>
        <v>2</v>
      </c>
      <c r="BB421" s="54">
        <f t="shared" si="2824"/>
        <v>4</v>
      </c>
      <c r="BC421" s="49">
        <f t="shared" ref="BC421:BD421" si="2926">SUM(AS421,AU421,AW421,AY421,BA421)</f>
        <v>8</v>
      </c>
      <c r="BD421" s="50">
        <f t="shared" si="2926"/>
        <v>16</v>
      </c>
      <c r="BE421" s="68">
        <f t="shared" ref="BE421:BF421" si="2927">SUM(E421,G421,I421,O421,Q421,AC421,AQ421,BC421)</f>
        <v>28</v>
      </c>
      <c r="BF421" s="69">
        <f t="shared" si="2927"/>
        <v>61</v>
      </c>
      <c r="BG421" s="46" t="str">
        <f>BF421*'ОВгП_РАО'!$B$23</f>
        <v>#REF!</v>
      </c>
      <c r="BH421" s="46" t="str">
        <f>'ОВгП_РАО'!$B$23</f>
        <v>#REF!</v>
      </c>
    </row>
    <row r="422" ht="15.75" customHeight="1">
      <c r="A422" s="80">
        <f t="shared" si="2827"/>
        <v>46272</v>
      </c>
      <c r="B422" s="47" t="s">
        <v>144</v>
      </c>
      <c r="C422" s="46" t="s">
        <v>96</v>
      </c>
      <c r="D422" s="47" t="s">
        <v>145</v>
      </c>
      <c r="E422" s="73">
        <f t="shared" si="2778"/>
        <v>2</v>
      </c>
      <c r="F422" s="50">
        <f t="shared" si="2779"/>
        <v>4</v>
      </c>
      <c r="G422" s="73">
        <f t="shared" si="2780"/>
        <v>2</v>
      </c>
      <c r="H422" s="50">
        <f t="shared" si="2781"/>
        <v>4</v>
      </c>
      <c r="I422" s="73">
        <f t="shared" si="2782"/>
        <v>0</v>
      </c>
      <c r="J422" s="50">
        <f t="shared" si="2783"/>
        <v>0</v>
      </c>
      <c r="K422" s="53">
        <f t="shared" si="2784"/>
        <v>1</v>
      </c>
      <c r="L422" s="54">
        <f t="shared" si="2785"/>
        <v>3</v>
      </c>
      <c r="M422" s="53">
        <f t="shared" si="2786"/>
        <v>0</v>
      </c>
      <c r="N422" s="54">
        <f t="shared" si="2787"/>
        <v>0</v>
      </c>
      <c r="O422" s="49">
        <f t="shared" ref="O422:P422" si="2928">SUM(K422,M422)</f>
        <v>1</v>
      </c>
      <c r="P422" s="50">
        <f t="shared" si="2928"/>
        <v>3</v>
      </c>
      <c r="Q422" s="73">
        <f t="shared" si="2789"/>
        <v>1</v>
      </c>
      <c r="R422" s="50">
        <f t="shared" si="2790"/>
        <v>2</v>
      </c>
      <c r="S422" s="53">
        <f t="shared" si="2791"/>
        <v>1</v>
      </c>
      <c r="T422" s="54">
        <f t="shared" si="2792"/>
        <v>3</v>
      </c>
      <c r="U422" s="53">
        <f t="shared" si="2793"/>
        <v>1</v>
      </c>
      <c r="V422" s="54">
        <f t="shared" si="2794"/>
        <v>2</v>
      </c>
      <c r="W422" s="53">
        <f t="shared" si="2795"/>
        <v>1</v>
      </c>
      <c r="X422" s="54">
        <f t="shared" si="2796"/>
        <v>3</v>
      </c>
      <c r="Y422" s="53">
        <f t="shared" si="2797"/>
        <v>1</v>
      </c>
      <c r="Z422" s="54">
        <f t="shared" si="2798"/>
        <v>2</v>
      </c>
      <c r="AA422" s="53">
        <f t="shared" si="2799"/>
        <v>1</v>
      </c>
      <c r="AB422" s="54">
        <f t="shared" si="2800"/>
        <v>2</v>
      </c>
      <c r="AC422" s="49">
        <f t="shared" ref="AC422:AD422" si="2929">SUM(S422,U422,W422,Y422,AA422)</f>
        <v>5</v>
      </c>
      <c r="AD422" s="50">
        <f t="shared" si="2929"/>
        <v>12</v>
      </c>
      <c r="AE422" s="53">
        <f t="shared" si="2802"/>
        <v>1</v>
      </c>
      <c r="AF422" s="54">
        <f t="shared" si="2803"/>
        <v>3</v>
      </c>
      <c r="AG422" s="53">
        <f t="shared" si="2804"/>
        <v>1</v>
      </c>
      <c r="AH422" s="54">
        <f t="shared" si="2805"/>
        <v>3</v>
      </c>
      <c r="AI422" s="53">
        <f t="shared" si="2806"/>
        <v>2</v>
      </c>
      <c r="AJ422" s="54">
        <f t="shared" si="2807"/>
        <v>4</v>
      </c>
      <c r="AK422" s="53">
        <f t="shared" si="2808"/>
        <v>2</v>
      </c>
      <c r="AL422" s="54">
        <f t="shared" si="2809"/>
        <v>4</v>
      </c>
      <c r="AM422" s="53">
        <f t="shared" si="2810"/>
        <v>1</v>
      </c>
      <c r="AN422" s="54">
        <f t="shared" si="2811"/>
        <v>2</v>
      </c>
      <c r="AO422" s="53">
        <f t="shared" si="2812"/>
        <v>1</v>
      </c>
      <c r="AP422" s="54">
        <f t="shared" si="2813"/>
        <v>2</v>
      </c>
      <c r="AQ422" s="49">
        <f t="shared" ref="AQ422:AR422" si="2930">SUM(AG422,AI422,AK422,AM422,AO422)</f>
        <v>7</v>
      </c>
      <c r="AR422" s="50">
        <f t="shared" si="2930"/>
        <v>15</v>
      </c>
      <c r="AS422" s="53">
        <f t="shared" si="2815"/>
        <v>2</v>
      </c>
      <c r="AT422" s="54">
        <f t="shared" si="2816"/>
        <v>4</v>
      </c>
      <c r="AU422" s="53">
        <f t="shared" si="2817"/>
        <v>1</v>
      </c>
      <c r="AV422" s="54">
        <f t="shared" si="2818"/>
        <v>1</v>
      </c>
      <c r="AW422" s="53">
        <f t="shared" si="2819"/>
        <v>0</v>
      </c>
      <c r="AX422" s="54">
        <f t="shared" si="2820"/>
        <v>0</v>
      </c>
      <c r="AY422" s="53">
        <f t="shared" si="2821"/>
        <v>2</v>
      </c>
      <c r="AZ422" s="54">
        <f t="shared" si="2822"/>
        <v>4</v>
      </c>
      <c r="BA422" s="53">
        <f t="shared" si="2823"/>
        <v>1</v>
      </c>
      <c r="BB422" s="54">
        <f t="shared" si="2824"/>
        <v>2</v>
      </c>
      <c r="BC422" s="49">
        <f t="shared" ref="BC422:BD422" si="2931">SUM(AS422,AU422,AW422,AY422,BA422)</f>
        <v>6</v>
      </c>
      <c r="BD422" s="50">
        <f t="shared" si="2931"/>
        <v>11</v>
      </c>
      <c r="BE422" s="68">
        <f t="shared" ref="BE422:BF422" si="2932">SUM(E422,G422,I422,O422,Q422,AC422,AQ422,BC422)</f>
        <v>24</v>
      </c>
      <c r="BF422" s="69">
        <f t="shared" si="2932"/>
        <v>51</v>
      </c>
      <c r="BG422" s="46" t="str">
        <f>BF422*'ОВгП_РАО'!$B$24</f>
        <v>#REF!</v>
      </c>
      <c r="BH422" s="46" t="str">
        <f>'ОВгП_РАО'!$B$24</f>
        <v>#REF!</v>
      </c>
    </row>
    <row r="423" ht="15.75" customHeight="1">
      <c r="A423" s="80">
        <f t="shared" si="2827"/>
        <v>46272</v>
      </c>
      <c r="B423" s="47" t="s">
        <v>146</v>
      </c>
      <c r="C423" s="46" t="s">
        <v>96</v>
      </c>
      <c r="D423" s="47" t="s">
        <v>145</v>
      </c>
      <c r="E423" s="73">
        <f t="shared" si="2778"/>
        <v>2</v>
      </c>
      <c r="F423" s="50">
        <f t="shared" si="2779"/>
        <v>4</v>
      </c>
      <c r="G423" s="73">
        <f t="shared" si="2780"/>
        <v>0</v>
      </c>
      <c r="H423" s="50">
        <f t="shared" si="2781"/>
        <v>0</v>
      </c>
      <c r="I423" s="73">
        <f t="shared" si="2782"/>
        <v>1</v>
      </c>
      <c r="J423" s="50">
        <f t="shared" si="2783"/>
        <v>1</v>
      </c>
      <c r="K423" s="53">
        <f t="shared" si="2784"/>
        <v>2</v>
      </c>
      <c r="L423" s="54">
        <f t="shared" si="2785"/>
        <v>4</v>
      </c>
      <c r="M423" s="53">
        <f t="shared" si="2786"/>
        <v>1</v>
      </c>
      <c r="N423" s="54">
        <f t="shared" si="2787"/>
        <v>3</v>
      </c>
      <c r="O423" s="49">
        <f t="shared" ref="O423:P423" si="2933">SUM(K423,M423)</f>
        <v>3</v>
      </c>
      <c r="P423" s="50">
        <f t="shared" si="2933"/>
        <v>7</v>
      </c>
      <c r="Q423" s="73">
        <f t="shared" si="2789"/>
        <v>0</v>
      </c>
      <c r="R423" s="50">
        <f t="shared" si="2790"/>
        <v>0</v>
      </c>
      <c r="S423" s="53">
        <f t="shared" si="2791"/>
        <v>1</v>
      </c>
      <c r="T423" s="54">
        <f t="shared" si="2792"/>
        <v>1</v>
      </c>
      <c r="U423" s="53">
        <f t="shared" si="2793"/>
        <v>2</v>
      </c>
      <c r="V423" s="54">
        <f t="shared" si="2794"/>
        <v>4</v>
      </c>
      <c r="W423" s="53">
        <f t="shared" si="2795"/>
        <v>1</v>
      </c>
      <c r="X423" s="54">
        <f t="shared" si="2796"/>
        <v>3</v>
      </c>
      <c r="Y423" s="53">
        <f t="shared" si="2797"/>
        <v>1</v>
      </c>
      <c r="Z423" s="54">
        <f t="shared" si="2798"/>
        <v>3</v>
      </c>
      <c r="AA423" s="53">
        <f t="shared" si="2799"/>
        <v>1</v>
      </c>
      <c r="AB423" s="54">
        <f t="shared" si="2800"/>
        <v>3</v>
      </c>
      <c r="AC423" s="49">
        <f t="shared" ref="AC423:AD423" si="2934">SUM(S423,U423,W423,Y423,AA423)</f>
        <v>6</v>
      </c>
      <c r="AD423" s="50">
        <f t="shared" si="2934"/>
        <v>14</v>
      </c>
      <c r="AE423" s="53">
        <f t="shared" si="2802"/>
        <v>1</v>
      </c>
      <c r="AF423" s="54">
        <f t="shared" si="2803"/>
        <v>3</v>
      </c>
      <c r="AG423" s="53">
        <f t="shared" si="2804"/>
        <v>1</v>
      </c>
      <c r="AH423" s="54">
        <f t="shared" si="2805"/>
        <v>2</v>
      </c>
      <c r="AI423" s="53">
        <f t="shared" si="2806"/>
        <v>2</v>
      </c>
      <c r="AJ423" s="54">
        <f t="shared" si="2807"/>
        <v>4</v>
      </c>
      <c r="AK423" s="53">
        <f t="shared" si="2808"/>
        <v>2</v>
      </c>
      <c r="AL423" s="54">
        <f t="shared" si="2809"/>
        <v>4</v>
      </c>
      <c r="AM423" s="53">
        <f t="shared" si="2810"/>
        <v>0</v>
      </c>
      <c r="AN423" s="54">
        <f t="shared" si="2811"/>
        <v>0</v>
      </c>
      <c r="AO423" s="53">
        <f t="shared" si="2812"/>
        <v>1</v>
      </c>
      <c r="AP423" s="54">
        <f t="shared" si="2813"/>
        <v>1</v>
      </c>
      <c r="AQ423" s="49">
        <f t="shared" ref="AQ423:AR423" si="2935">SUM(AG423,AI423,AK423,AM423,AO423)</f>
        <v>6</v>
      </c>
      <c r="AR423" s="50">
        <f t="shared" si="2935"/>
        <v>11</v>
      </c>
      <c r="AS423" s="53">
        <f t="shared" si="2815"/>
        <v>0</v>
      </c>
      <c r="AT423" s="54">
        <f t="shared" si="2816"/>
        <v>0</v>
      </c>
      <c r="AU423" s="53">
        <f t="shared" si="2817"/>
        <v>2</v>
      </c>
      <c r="AV423" s="54">
        <f t="shared" si="2818"/>
        <v>4</v>
      </c>
      <c r="AW423" s="53">
        <f t="shared" si="2819"/>
        <v>2</v>
      </c>
      <c r="AX423" s="54">
        <f t="shared" si="2820"/>
        <v>4</v>
      </c>
      <c r="AY423" s="53">
        <f t="shared" si="2821"/>
        <v>0</v>
      </c>
      <c r="AZ423" s="54">
        <f t="shared" si="2822"/>
        <v>0</v>
      </c>
      <c r="BA423" s="53">
        <f t="shared" si="2823"/>
        <v>1</v>
      </c>
      <c r="BB423" s="54">
        <f t="shared" si="2824"/>
        <v>3</v>
      </c>
      <c r="BC423" s="49">
        <f t="shared" ref="BC423:BD423" si="2936">SUM(AS423,AU423,AW423,AY423,BA423)</f>
        <v>5</v>
      </c>
      <c r="BD423" s="50">
        <f t="shared" si="2936"/>
        <v>11</v>
      </c>
      <c r="BE423" s="68">
        <f t="shared" ref="BE423:BF423" si="2937">SUM(E423,G423,I423,O423,Q423,AC423,AQ423,BC423)</f>
        <v>23</v>
      </c>
      <c r="BF423" s="69">
        <f t="shared" si="2937"/>
        <v>48</v>
      </c>
      <c r="BG423" s="46" t="str">
        <f>BF423*'ОВгП_РАО'!$B$25</f>
        <v>#REF!</v>
      </c>
      <c r="BH423" s="46" t="str">
        <f>'ОВгП_РАО'!$B$25</f>
        <v>#REF!</v>
      </c>
    </row>
    <row r="424" ht="15.75" customHeight="1">
      <c r="A424" s="80">
        <f t="shared" si="2827"/>
        <v>46272</v>
      </c>
      <c r="B424" s="47" t="s">
        <v>147</v>
      </c>
      <c r="C424" s="46" t="s">
        <v>96</v>
      </c>
      <c r="D424" s="47" t="s">
        <v>148</v>
      </c>
      <c r="E424" s="73">
        <f t="shared" si="2778"/>
        <v>1</v>
      </c>
      <c r="F424" s="50">
        <f t="shared" si="2779"/>
        <v>3</v>
      </c>
      <c r="G424" s="73">
        <f t="shared" si="2780"/>
        <v>0</v>
      </c>
      <c r="H424" s="50">
        <f t="shared" si="2781"/>
        <v>0</v>
      </c>
      <c r="I424" s="73">
        <f t="shared" si="2782"/>
        <v>1</v>
      </c>
      <c r="J424" s="50">
        <f t="shared" si="2783"/>
        <v>1</v>
      </c>
      <c r="K424" s="53">
        <f t="shared" si="2784"/>
        <v>2</v>
      </c>
      <c r="L424" s="54">
        <f t="shared" si="2785"/>
        <v>4</v>
      </c>
      <c r="M424" s="53">
        <f t="shared" si="2786"/>
        <v>0</v>
      </c>
      <c r="N424" s="54">
        <f t="shared" si="2787"/>
        <v>0</v>
      </c>
      <c r="O424" s="49">
        <f t="shared" ref="O424:P424" si="2938">SUM(K424,M424)</f>
        <v>2</v>
      </c>
      <c r="P424" s="50">
        <f t="shared" si="2938"/>
        <v>4</v>
      </c>
      <c r="Q424" s="73">
        <f t="shared" si="2789"/>
        <v>1</v>
      </c>
      <c r="R424" s="50">
        <f t="shared" si="2790"/>
        <v>2</v>
      </c>
      <c r="S424" s="53">
        <f t="shared" si="2791"/>
        <v>0</v>
      </c>
      <c r="T424" s="54">
        <f t="shared" si="2792"/>
        <v>0</v>
      </c>
      <c r="U424" s="53">
        <f t="shared" si="2793"/>
        <v>0</v>
      </c>
      <c r="V424" s="54">
        <f t="shared" si="2794"/>
        <v>0</v>
      </c>
      <c r="W424" s="53">
        <f t="shared" si="2795"/>
        <v>0</v>
      </c>
      <c r="X424" s="54">
        <f t="shared" si="2796"/>
        <v>0</v>
      </c>
      <c r="Y424" s="53">
        <f t="shared" si="2797"/>
        <v>1</v>
      </c>
      <c r="Z424" s="54">
        <f t="shared" si="2798"/>
        <v>1</v>
      </c>
      <c r="AA424" s="53">
        <f t="shared" si="2799"/>
        <v>1</v>
      </c>
      <c r="AB424" s="54">
        <f t="shared" si="2800"/>
        <v>1</v>
      </c>
      <c r="AC424" s="49">
        <f t="shared" ref="AC424:AD424" si="2939">SUM(S424,U424,W424,Y424,AA424)</f>
        <v>2</v>
      </c>
      <c r="AD424" s="50">
        <f t="shared" si="2939"/>
        <v>2</v>
      </c>
      <c r="AE424" s="53">
        <f t="shared" si="2802"/>
        <v>1</v>
      </c>
      <c r="AF424" s="54">
        <f t="shared" si="2803"/>
        <v>3</v>
      </c>
      <c r="AG424" s="53">
        <f t="shared" si="2804"/>
        <v>0</v>
      </c>
      <c r="AH424" s="54">
        <f t="shared" si="2805"/>
        <v>0</v>
      </c>
      <c r="AI424" s="53">
        <f t="shared" si="2806"/>
        <v>2</v>
      </c>
      <c r="AJ424" s="54">
        <f t="shared" si="2807"/>
        <v>4</v>
      </c>
      <c r="AK424" s="53">
        <f t="shared" si="2808"/>
        <v>0</v>
      </c>
      <c r="AL424" s="54">
        <f t="shared" si="2809"/>
        <v>0</v>
      </c>
      <c r="AM424" s="53">
        <f t="shared" si="2810"/>
        <v>2</v>
      </c>
      <c r="AN424" s="54">
        <f t="shared" si="2811"/>
        <v>4</v>
      </c>
      <c r="AO424" s="53">
        <f t="shared" si="2812"/>
        <v>1</v>
      </c>
      <c r="AP424" s="54">
        <f t="shared" si="2813"/>
        <v>1</v>
      </c>
      <c r="AQ424" s="49">
        <f t="shared" ref="AQ424:AR424" si="2940">SUM(AG424,AI424,AK424,AM424,AO424)</f>
        <v>5</v>
      </c>
      <c r="AR424" s="50">
        <f t="shared" si="2940"/>
        <v>9</v>
      </c>
      <c r="AS424" s="53">
        <f t="shared" si="2815"/>
        <v>1</v>
      </c>
      <c r="AT424" s="54">
        <f t="shared" si="2816"/>
        <v>2</v>
      </c>
      <c r="AU424" s="53">
        <f t="shared" si="2817"/>
        <v>2</v>
      </c>
      <c r="AV424" s="54">
        <f t="shared" si="2818"/>
        <v>4</v>
      </c>
      <c r="AW424" s="53">
        <f t="shared" si="2819"/>
        <v>2</v>
      </c>
      <c r="AX424" s="54">
        <f t="shared" si="2820"/>
        <v>4</v>
      </c>
      <c r="AY424" s="53">
        <f t="shared" si="2821"/>
        <v>2</v>
      </c>
      <c r="AZ424" s="54">
        <f t="shared" si="2822"/>
        <v>4</v>
      </c>
      <c r="BA424" s="53">
        <f t="shared" si="2823"/>
        <v>1</v>
      </c>
      <c r="BB424" s="54">
        <f t="shared" si="2824"/>
        <v>1</v>
      </c>
      <c r="BC424" s="49">
        <f t="shared" ref="BC424:BD424" si="2941">SUM(AS424,AU424,AW424,AY424,BA424)</f>
        <v>8</v>
      </c>
      <c r="BD424" s="50">
        <f t="shared" si="2941"/>
        <v>15</v>
      </c>
      <c r="BE424" s="68">
        <f t="shared" ref="BE424:BF424" si="2942">SUM(E424,G424,I424,O424,Q424,AC424,AQ424,BC424)</f>
        <v>20</v>
      </c>
      <c r="BF424" s="69">
        <f t="shared" si="2942"/>
        <v>36</v>
      </c>
      <c r="BG424" s="46" t="str">
        <f>BF424*'ОВгП_РАО'!$B$26</f>
        <v>#REF!</v>
      </c>
      <c r="BH424" s="46" t="str">
        <f>'ОВгП_РАО'!$B$26</f>
        <v>#REF!</v>
      </c>
    </row>
    <row r="425" ht="15.75" customHeight="1">
      <c r="A425" s="80">
        <f t="shared" si="2827"/>
        <v>46272</v>
      </c>
      <c r="B425" s="47" t="s">
        <v>149</v>
      </c>
      <c r="C425" s="47" t="s">
        <v>122</v>
      </c>
      <c r="D425" s="47" t="s">
        <v>150</v>
      </c>
      <c r="E425" s="73">
        <f t="shared" si="2778"/>
        <v>0</v>
      </c>
      <c r="F425" s="50">
        <f t="shared" si="2779"/>
        <v>0</v>
      </c>
      <c r="G425" s="73">
        <f t="shared" si="2780"/>
        <v>1</v>
      </c>
      <c r="H425" s="50">
        <f t="shared" si="2781"/>
        <v>3</v>
      </c>
      <c r="I425" s="73">
        <f t="shared" si="2782"/>
        <v>1</v>
      </c>
      <c r="J425" s="50">
        <f t="shared" si="2783"/>
        <v>1</v>
      </c>
      <c r="K425" s="53">
        <f t="shared" si="2784"/>
        <v>1</v>
      </c>
      <c r="L425" s="54">
        <f t="shared" si="2785"/>
        <v>1</v>
      </c>
      <c r="M425" s="53">
        <f t="shared" si="2786"/>
        <v>1</v>
      </c>
      <c r="N425" s="54">
        <f t="shared" si="2787"/>
        <v>3</v>
      </c>
      <c r="O425" s="49">
        <f t="shared" ref="O425:P425" si="2943">SUM(K425,M425)</f>
        <v>2</v>
      </c>
      <c r="P425" s="50">
        <f t="shared" si="2943"/>
        <v>4</v>
      </c>
      <c r="Q425" s="73">
        <f t="shared" si="2789"/>
        <v>1</v>
      </c>
      <c r="R425" s="50">
        <f t="shared" si="2790"/>
        <v>1</v>
      </c>
      <c r="S425" s="53">
        <f t="shared" si="2791"/>
        <v>2</v>
      </c>
      <c r="T425" s="54">
        <f t="shared" si="2792"/>
        <v>4</v>
      </c>
      <c r="U425" s="53">
        <f t="shared" si="2793"/>
        <v>1</v>
      </c>
      <c r="V425" s="54">
        <f t="shared" si="2794"/>
        <v>2</v>
      </c>
      <c r="W425" s="53">
        <f t="shared" si="2795"/>
        <v>1</v>
      </c>
      <c r="X425" s="54">
        <f t="shared" si="2796"/>
        <v>2</v>
      </c>
      <c r="Y425" s="53">
        <f t="shared" si="2797"/>
        <v>1</v>
      </c>
      <c r="Z425" s="54">
        <f t="shared" si="2798"/>
        <v>2</v>
      </c>
      <c r="AA425" s="53">
        <f t="shared" si="2799"/>
        <v>2</v>
      </c>
      <c r="AB425" s="54">
        <f t="shared" si="2800"/>
        <v>4</v>
      </c>
      <c r="AC425" s="49">
        <f t="shared" ref="AC425:AD425" si="2944">SUM(S425,U425,W425,Y425,AA425)</f>
        <v>7</v>
      </c>
      <c r="AD425" s="50">
        <f t="shared" si="2944"/>
        <v>14</v>
      </c>
      <c r="AE425" s="53">
        <f t="shared" si="2802"/>
        <v>0</v>
      </c>
      <c r="AF425" s="54">
        <f t="shared" si="2803"/>
        <v>0</v>
      </c>
      <c r="AG425" s="53">
        <f t="shared" si="2804"/>
        <v>1</v>
      </c>
      <c r="AH425" s="54">
        <f t="shared" si="2805"/>
        <v>3</v>
      </c>
      <c r="AI425" s="53">
        <f t="shared" si="2806"/>
        <v>2</v>
      </c>
      <c r="AJ425" s="54">
        <f t="shared" si="2807"/>
        <v>4</v>
      </c>
      <c r="AK425" s="53">
        <f t="shared" si="2808"/>
        <v>1</v>
      </c>
      <c r="AL425" s="54">
        <f t="shared" si="2809"/>
        <v>1</v>
      </c>
      <c r="AM425" s="53">
        <f t="shared" si="2810"/>
        <v>1</v>
      </c>
      <c r="AN425" s="54">
        <f t="shared" si="2811"/>
        <v>2</v>
      </c>
      <c r="AO425" s="53">
        <f t="shared" si="2812"/>
        <v>1</v>
      </c>
      <c r="AP425" s="54">
        <f t="shared" si="2813"/>
        <v>3</v>
      </c>
      <c r="AQ425" s="49">
        <f t="shared" ref="AQ425:AR425" si="2945">SUM(AG425,AI425,AK425,AM425,AO425)</f>
        <v>6</v>
      </c>
      <c r="AR425" s="50">
        <f t="shared" si="2945"/>
        <v>13</v>
      </c>
      <c r="AS425" s="53">
        <f t="shared" si="2815"/>
        <v>2</v>
      </c>
      <c r="AT425" s="54">
        <f t="shared" si="2816"/>
        <v>4</v>
      </c>
      <c r="AU425" s="53">
        <f t="shared" si="2817"/>
        <v>0</v>
      </c>
      <c r="AV425" s="54">
        <f t="shared" si="2818"/>
        <v>0</v>
      </c>
      <c r="AW425" s="53">
        <f t="shared" si="2819"/>
        <v>2</v>
      </c>
      <c r="AX425" s="54">
        <f t="shared" si="2820"/>
        <v>4</v>
      </c>
      <c r="AY425" s="53">
        <f t="shared" si="2821"/>
        <v>0</v>
      </c>
      <c r="AZ425" s="54">
        <f t="shared" si="2822"/>
        <v>0</v>
      </c>
      <c r="BA425" s="53">
        <f t="shared" si="2823"/>
        <v>1</v>
      </c>
      <c r="BB425" s="54">
        <f t="shared" si="2824"/>
        <v>2</v>
      </c>
      <c r="BC425" s="49">
        <f t="shared" ref="BC425:BD425" si="2946">SUM(AS425,AU425,AW425,AY425,BA425)</f>
        <v>5</v>
      </c>
      <c r="BD425" s="50">
        <f t="shared" si="2946"/>
        <v>10</v>
      </c>
      <c r="BE425" s="68">
        <f t="shared" ref="BE425:BF425" si="2947">SUM(E425,G425,I425,O425,Q425,AC425,AQ425,BC425)</f>
        <v>23</v>
      </c>
      <c r="BF425" s="69">
        <f t="shared" si="2947"/>
        <v>46</v>
      </c>
      <c r="BG425" s="46" t="str">
        <f>BF425*'ОВгП_РАО'!$B$27</f>
        <v>#REF!</v>
      </c>
      <c r="BH425" s="46" t="str">
        <f>'ОВгП_РАО'!$B$27</f>
        <v>#REF!</v>
      </c>
    </row>
    <row r="426" ht="15.75" customHeight="1">
      <c r="A426" s="80">
        <f t="shared" si="2827"/>
        <v>46272</v>
      </c>
      <c r="B426" s="47" t="s">
        <v>151</v>
      </c>
      <c r="C426" s="47" t="s">
        <v>122</v>
      </c>
      <c r="D426" s="47" t="s">
        <v>152</v>
      </c>
      <c r="E426" s="73">
        <f t="shared" si="2778"/>
        <v>1</v>
      </c>
      <c r="F426" s="50">
        <f t="shared" ref="F426:F434" si="2953">RANDBETWEEN(0,100)</f>
        <v>1</v>
      </c>
      <c r="G426" s="73">
        <f t="shared" si="2780"/>
        <v>19</v>
      </c>
      <c r="H426" s="50">
        <f t="shared" ref="H426:H434" si="2954">RANDBETWEEN(0,100)</f>
        <v>55</v>
      </c>
      <c r="I426" s="73">
        <f t="shared" si="2782"/>
        <v>13</v>
      </c>
      <c r="J426" s="50">
        <f t="shared" ref="J426:J434" si="2955">RANDBETWEEN(0,100)</f>
        <v>39</v>
      </c>
      <c r="K426" s="53">
        <f t="shared" si="2784"/>
        <v>19</v>
      </c>
      <c r="L426" s="54">
        <f t="shared" ref="L426:L434" si="2956">RANDBETWEEN(0,100)</f>
        <v>56</v>
      </c>
      <c r="M426" s="53">
        <f t="shared" si="2786"/>
        <v>4</v>
      </c>
      <c r="N426" s="54">
        <f t="shared" ref="N426:N434" si="2957">RANDBETWEEN(0,100)</f>
        <v>12</v>
      </c>
      <c r="O426" s="49">
        <f t="shared" ref="O426:P426" si="2948">SUM(K426,M426)</f>
        <v>23</v>
      </c>
      <c r="P426" s="50">
        <f t="shared" si="2948"/>
        <v>68</v>
      </c>
      <c r="Q426" s="73">
        <f t="shared" si="2789"/>
        <v>11</v>
      </c>
      <c r="R426" s="50">
        <f t="shared" ref="R426:R434" si="2959">RANDBETWEEN(0,100)</f>
        <v>31</v>
      </c>
      <c r="S426" s="53">
        <f t="shared" si="2791"/>
        <v>1</v>
      </c>
      <c r="T426" s="54">
        <f t="shared" ref="T426:T434" si="2960">RANDBETWEEN(0,300)</f>
        <v>2</v>
      </c>
      <c r="U426" s="53">
        <f t="shared" si="2793"/>
        <v>60</v>
      </c>
      <c r="V426" s="54">
        <f t="shared" ref="V426:V434" si="2961">RANDBETWEEN(0,300)</f>
        <v>180</v>
      </c>
      <c r="W426" s="53">
        <f t="shared" si="2795"/>
        <v>4</v>
      </c>
      <c r="X426" s="54">
        <f t="shared" ref="X426:X434" si="2962">RANDBETWEEN(0,300)</f>
        <v>12</v>
      </c>
      <c r="Y426" s="53">
        <f t="shared" si="2797"/>
        <v>91</v>
      </c>
      <c r="Z426" s="54">
        <f t="shared" ref="Z426:Z434" si="2963">RANDBETWEEN(0,300)</f>
        <v>272</v>
      </c>
      <c r="AA426" s="53">
        <f t="shared" si="2799"/>
        <v>65</v>
      </c>
      <c r="AB426" s="54">
        <f t="shared" ref="AB426:AB434" si="2964">RANDBETWEEN(0,300)</f>
        <v>195</v>
      </c>
      <c r="AC426" s="49">
        <f t="shared" ref="AC426:AD426" si="2949">SUM(S426,U426,W426,Y426,AA426)</f>
        <v>221</v>
      </c>
      <c r="AD426" s="50">
        <f t="shared" si="2949"/>
        <v>661</v>
      </c>
      <c r="AE426" s="53">
        <f t="shared" si="2802"/>
        <v>43</v>
      </c>
      <c r="AF426" s="54">
        <f>RANDBETWEEN(100,500)</f>
        <v>128</v>
      </c>
      <c r="AG426" s="53">
        <f t="shared" si="2804"/>
        <v>131</v>
      </c>
      <c r="AH426" s="54">
        <f>RANDBETWEEN(100,500)</f>
        <v>392</v>
      </c>
      <c r="AI426" s="53">
        <f t="shared" si="2806"/>
        <v>147</v>
      </c>
      <c r="AJ426" s="54">
        <f>RANDBETWEEN(100,500)</f>
        <v>441</v>
      </c>
      <c r="AK426" s="53">
        <f t="shared" si="2808"/>
        <v>104</v>
      </c>
      <c r="AL426" s="54">
        <f>RANDBETWEEN(100,500)</f>
        <v>310</v>
      </c>
      <c r="AM426" s="53">
        <f t="shared" si="2810"/>
        <v>129</v>
      </c>
      <c r="AN426" s="54">
        <f>RANDBETWEEN(100,500)</f>
        <v>386</v>
      </c>
      <c r="AO426" s="53">
        <f t="shared" si="2812"/>
        <v>89</v>
      </c>
      <c r="AP426" s="54">
        <f>RANDBETWEEN(100,500)</f>
        <v>266</v>
      </c>
      <c r="AQ426" s="49">
        <f t="shared" ref="AQ426:AR426" si="2950">SUM(AG426,AI426,AK426,AM426,AO426)</f>
        <v>600</v>
      </c>
      <c r="AR426" s="50">
        <f t="shared" si="2950"/>
        <v>1795</v>
      </c>
      <c r="AS426" s="53">
        <f t="shared" si="2815"/>
        <v>110</v>
      </c>
      <c r="AT426" s="54">
        <f>RANDBETWEEN(100,500)</f>
        <v>328</v>
      </c>
      <c r="AU426" s="53">
        <f t="shared" si="2817"/>
        <v>54</v>
      </c>
      <c r="AV426" s="54">
        <f>RANDBETWEEN(100,500)</f>
        <v>161</v>
      </c>
      <c r="AW426" s="53">
        <f t="shared" si="2819"/>
        <v>119</v>
      </c>
      <c r="AX426" s="54">
        <f>RANDBETWEEN(100,500)</f>
        <v>355</v>
      </c>
      <c r="AY426" s="53">
        <f t="shared" si="2821"/>
        <v>62</v>
      </c>
      <c r="AZ426" s="54">
        <f>RANDBETWEEN(100,500)</f>
        <v>186</v>
      </c>
      <c r="BA426" s="53">
        <f t="shared" si="2823"/>
        <v>83</v>
      </c>
      <c r="BB426" s="54">
        <f>RANDBETWEEN(100,500)</f>
        <v>248</v>
      </c>
      <c r="BC426" s="49">
        <f t="shared" ref="BC426:BD426" si="2951">SUM(AS426,AU426,AW426,AY426,BA426)</f>
        <v>428</v>
      </c>
      <c r="BD426" s="50">
        <f t="shared" si="2951"/>
        <v>1278</v>
      </c>
      <c r="BE426" s="68">
        <f t="shared" ref="BE426:BF426" si="2952">SUM(E426,G426,I426,O426,Q426,AC426,AQ426,BC426)</f>
        <v>1316</v>
      </c>
      <c r="BF426" s="69">
        <f t="shared" si="2952"/>
        <v>3928</v>
      </c>
      <c r="BG426" s="46" t="str">
        <f>BF426*'ОВгП_РАО'!$B$28</f>
        <v>#REF!</v>
      </c>
      <c r="BH426" s="46" t="str">
        <f>'ОВгП_РАО'!$B$28</f>
        <v>#REF!</v>
      </c>
    </row>
    <row r="427" ht="15.75" customHeight="1">
      <c r="A427" s="80">
        <f t="shared" si="2827"/>
        <v>46272</v>
      </c>
      <c r="B427" s="47" t="s">
        <v>153</v>
      </c>
      <c r="C427" s="47" t="s">
        <v>122</v>
      </c>
      <c r="D427" s="47" t="s">
        <v>152</v>
      </c>
      <c r="E427" s="73">
        <f t="shared" si="2778"/>
        <v>18</v>
      </c>
      <c r="F427" s="50">
        <f t="shared" si="2953"/>
        <v>54</v>
      </c>
      <c r="G427" s="73">
        <f t="shared" si="2780"/>
        <v>5</v>
      </c>
      <c r="H427" s="50">
        <f t="shared" si="2954"/>
        <v>15</v>
      </c>
      <c r="I427" s="73">
        <f t="shared" si="2782"/>
        <v>28</v>
      </c>
      <c r="J427" s="50">
        <f t="shared" si="2955"/>
        <v>82</v>
      </c>
      <c r="K427" s="53">
        <f t="shared" si="2784"/>
        <v>1</v>
      </c>
      <c r="L427" s="54">
        <f t="shared" si="2956"/>
        <v>1</v>
      </c>
      <c r="M427" s="53">
        <f t="shared" si="2786"/>
        <v>24</v>
      </c>
      <c r="N427" s="54">
        <f t="shared" si="2957"/>
        <v>72</v>
      </c>
      <c r="O427" s="49">
        <f t="shared" ref="O427:P427" si="2958">SUM(K427,M427)</f>
        <v>25</v>
      </c>
      <c r="P427" s="50">
        <f t="shared" si="2958"/>
        <v>73</v>
      </c>
      <c r="Q427" s="73">
        <f t="shared" si="2789"/>
        <v>25</v>
      </c>
      <c r="R427" s="50">
        <f t="shared" si="2959"/>
        <v>75</v>
      </c>
      <c r="S427" s="53">
        <f t="shared" si="2791"/>
        <v>76</v>
      </c>
      <c r="T427" s="54">
        <f t="shared" si="2960"/>
        <v>228</v>
      </c>
      <c r="U427" s="53">
        <f t="shared" si="2793"/>
        <v>56</v>
      </c>
      <c r="V427" s="54">
        <f t="shared" si="2961"/>
        <v>168</v>
      </c>
      <c r="W427" s="53">
        <f t="shared" si="2795"/>
        <v>35</v>
      </c>
      <c r="X427" s="54">
        <f t="shared" si="2962"/>
        <v>103</v>
      </c>
      <c r="Y427" s="53">
        <f t="shared" si="2797"/>
        <v>87</v>
      </c>
      <c r="Z427" s="54">
        <f t="shared" si="2963"/>
        <v>259</v>
      </c>
      <c r="AA427" s="53">
        <f t="shared" si="2799"/>
        <v>62</v>
      </c>
      <c r="AB427" s="54">
        <f t="shared" si="2964"/>
        <v>186</v>
      </c>
      <c r="AC427" s="49">
        <f t="shared" ref="AC427:AD427" si="2965">SUM(S427,U427,W427,Y427,AA427)</f>
        <v>316</v>
      </c>
      <c r="AD427" s="50">
        <f t="shared" si="2965"/>
        <v>944</v>
      </c>
      <c r="AE427" s="53">
        <f t="shared" si="2802"/>
        <v>98</v>
      </c>
      <c r="AF427" s="54">
        <f t="shared" ref="AF427:AF434" si="2971">RANDBETWEEN(0,300)</f>
        <v>292</v>
      </c>
      <c r="AG427" s="53">
        <f t="shared" si="2804"/>
        <v>68</v>
      </c>
      <c r="AH427" s="54">
        <f t="shared" ref="AH427:AH434" si="2972">RANDBETWEEN(0,300)</f>
        <v>204</v>
      </c>
      <c r="AI427" s="53">
        <f t="shared" si="2806"/>
        <v>48</v>
      </c>
      <c r="AJ427" s="54">
        <f t="shared" ref="AJ427:AJ434" si="2973">RANDBETWEEN(0,300)</f>
        <v>143</v>
      </c>
      <c r="AK427" s="53">
        <f t="shared" si="2808"/>
        <v>96</v>
      </c>
      <c r="AL427" s="54">
        <f t="shared" ref="AL427:AL434" si="2974">RANDBETWEEN(0,300)</f>
        <v>288</v>
      </c>
      <c r="AM427" s="53">
        <f t="shared" si="2810"/>
        <v>10</v>
      </c>
      <c r="AN427" s="54">
        <f t="shared" ref="AN427:AN434" si="2975">RANDBETWEEN(0,300)</f>
        <v>30</v>
      </c>
      <c r="AO427" s="53">
        <f t="shared" si="2812"/>
        <v>35</v>
      </c>
      <c r="AP427" s="54">
        <f t="shared" ref="AP427:AP434" si="2976">RANDBETWEEN(0,300)</f>
        <v>105</v>
      </c>
      <c r="AQ427" s="49">
        <f t="shared" ref="AQ427:AR427" si="2966">SUM(AG427,AI427,AK427,AM427,AO427)</f>
        <v>257</v>
      </c>
      <c r="AR427" s="50">
        <f t="shared" si="2966"/>
        <v>770</v>
      </c>
      <c r="AS427" s="53">
        <f t="shared" si="2815"/>
        <v>10</v>
      </c>
      <c r="AT427" s="54">
        <f t="shared" ref="AT427:AT428" si="2978">RANDBETWEEN(0,300)</f>
        <v>30</v>
      </c>
      <c r="AU427" s="53">
        <f t="shared" si="2817"/>
        <v>71</v>
      </c>
      <c r="AV427" s="54">
        <f t="shared" ref="AV427:AV428" si="2979">RANDBETWEEN(0,300)</f>
        <v>213</v>
      </c>
      <c r="AW427" s="53">
        <f t="shared" si="2819"/>
        <v>38</v>
      </c>
      <c r="AX427" s="54">
        <f t="shared" ref="AX427:AX428" si="2980">RANDBETWEEN(0,300)</f>
        <v>112</v>
      </c>
      <c r="AY427" s="53">
        <f t="shared" si="2821"/>
        <v>7</v>
      </c>
      <c r="AZ427" s="54">
        <f t="shared" ref="AZ427:AZ428" si="2981">RANDBETWEEN(0,300)</f>
        <v>19</v>
      </c>
      <c r="BA427" s="53">
        <f t="shared" si="2823"/>
        <v>29</v>
      </c>
      <c r="BB427" s="54">
        <f t="shared" ref="BB427:BB428" si="2982">RANDBETWEEN(0,300)</f>
        <v>86</v>
      </c>
      <c r="BC427" s="49">
        <f t="shared" ref="BC427:BD427" si="2967">SUM(AS427,AU427,AW427,AY427,BA427)</f>
        <v>155</v>
      </c>
      <c r="BD427" s="50">
        <f t="shared" si="2967"/>
        <v>460</v>
      </c>
      <c r="BE427" s="68">
        <f t="shared" ref="BE427:BF427" si="2968">SUM(E427,G427,I427,O427,Q427,AC427,AQ427,BC427)</f>
        <v>829</v>
      </c>
      <c r="BF427" s="69">
        <f t="shared" si="2968"/>
        <v>2473</v>
      </c>
      <c r="BG427" s="46" t="str">
        <f>BF427*'ОВгП_РАО'!$B$29</f>
        <v>#REF!</v>
      </c>
      <c r="BH427" s="46" t="str">
        <f>'ОВгП_РАО'!$B$29</f>
        <v>#REF!</v>
      </c>
    </row>
    <row r="428" ht="15.75" customHeight="1">
      <c r="A428" s="80">
        <f t="shared" si="2827"/>
        <v>46272</v>
      </c>
      <c r="B428" s="47" t="s">
        <v>154</v>
      </c>
      <c r="C428" s="47" t="s">
        <v>122</v>
      </c>
      <c r="D428" s="47" t="s">
        <v>152</v>
      </c>
      <c r="E428" s="73">
        <f t="shared" si="2778"/>
        <v>34</v>
      </c>
      <c r="F428" s="50">
        <f t="shared" si="2953"/>
        <v>100</v>
      </c>
      <c r="G428" s="73">
        <f t="shared" si="2780"/>
        <v>8</v>
      </c>
      <c r="H428" s="50">
        <f t="shared" si="2954"/>
        <v>23</v>
      </c>
      <c r="I428" s="73">
        <f t="shared" si="2782"/>
        <v>11</v>
      </c>
      <c r="J428" s="50">
        <f t="shared" si="2955"/>
        <v>31</v>
      </c>
      <c r="K428" s="53">
        <f t="shared" si="2784"/>
        <v>24</v>
      </c>
      <c r="L428" s="54">
        <f t="shared" si="2956"/>
        <v>70</v>
      </c>
      <c r="M428" s="53">
        <f t="shared" si="2786"/>
        <v>16</v>
      </c>
      <c r="N428" s="54">
        <f t="shared" si="2957"/>
        <v>47</v>
      </c>
      <c r="O428" s="49">
        <f t="shared" ref="O428:P428" si="2969">SUM(K428,M428)</f>
        <v>40</v>
      </c>
      <c r="P428" s="50">
        <f t="shared" si="2969"/>
        <v>117</v>
      </c>
      <c r="Q428" s="73">
        <f t="shared" si="2789"/>
        <v>33</v>
      </c>
      <c r="R428" s="50">
        <f t="shared" si="2959"/>
        <v>99</v>
      </c>
      <c r="S428" s="53">
        <f t="shared" si="2791"/>
        <v>21</v>
      </c>
      <c r="T428" s="54">
        <f t="shared" si="2960"/>
        <v>61</v>
      </c>
      <c r="U428" s="53">
        <f t="shared" si="2793"/>
        <v>36</v>
      </c>
      <c r="V428" s="54">
        <f t="shared" si="2961"/>
        <v>106</v>
      </c>
      <c r="W428" s="53">
        <f t="shared" si="2795"/>
        <v>95</v>
      </c>
      <c r="X428" s="54">
        <f t="shared" si="2962"/>
        <v>283</v>
      </c>
      <c r="Y428" s="53">
        <f t="shared" si="2797"/>
        <v>16</v>
      </c>
      <c r="Z428" s="54">
        <f t="shared" si="2963"/>
        <v>48</v>
      </c>
      <c r="AA428" s="53">
        <f t="shared" si="2799"/>
        <v>98</v>
      </c>
      <c r="AB428" s="54">
        <f t="shared" si="2964"/>
        <v>293</v>
      </c>
      <c r="AC428" s="49">
        <f t="shared" ref="AC428:AD428" si="2970">SUM(S428,U428,W428,Y428,AA428)</f>
        <v>266</v>
      </c>
      <c r="AD428" s="50">
        <f t="shared" si="2970"/>
        <v>791</v>
      </c>
      <c r="AE428" s="53">
        <f t="shared" si="2802"/>
        <v>90</v>
      </c>
      <c r="AF428" s="54">
        <f t="shared" si="2971"/>
        <v>269</v>
      </c>
      <c r="AG428" s="53">
        <f t="shared" si="2804"/>
        <v>36</v>
      </c>
      <c r="AH428" s="54">
        <f t="shared" si="2972"/>
        <v>108</v>
      </c>
      <c r="AI428" s="53">
        <f t="shared" si="2806"/>
        <v>16</v>
      </c>
      <c r="AJ428" s="54">
        <f t="shared" si="2973"/>
        <v>48</v>
      </c>
      <c r="AK428" s="53">
        <f t="shared" si="2808"/>
        <v>56</v>
      </c>
      <c r="AL428" s="54">
        <f t="shared" si="2974"/>
        <v>166</v>
      </c>
      <c r="AM428" s="53">
        <f t="shared" si="2810"/>
        <v>97</v>
      </c>
      <c r="AN428" s="54">
        <f t="shared" si="2975"/>
        <v>291</v>
      </c>
      <c r="AO428" s="53">
        <f t="shared" si="2812"/>
        <v>10</v>
      </c>
      <c r="AP428" s="54">
        <f t="shared" si="2976"/>
        <v>30</v>
      </c>
      <c r="AQ428" s="49">
        <f t="shared" ref="AQ428:AR428" si="2977">SUM(AG428,AI428,AK428,AM428,AO428)</f>
        <v>215</v>
      </c>
      <c r="AR428" s="50">
        <f t="shared" si="2977"/>
        <v>643</v>
      </c>
      <c r="AS428" s="53">
        <f t="shared" si="2815"/>
        <v>100</v>
      </c>
      <c r="AT428" s="54">
        <f t="shared" si="2978"/>
        <v>298</v>
      </c>
      <c r="AU428" s="53">
        <f t="shared" si="2817"/>
        <v>72</v>
      </c>
      <c r="AV428" s="54">
        <f t="shared" si="2979"/>
        <v>216</v>
      </c>
      <c r="AW428" s="53">
        <f t="shared" si="2819"/>
        <v>18</v>
      </c>
      <c r="AX428" s="54">
        <f t="shared" si="2980"/>
        <v>54</v>
      </c>
      <c r="AY428" s="53">
        <f t="shared" si="2821"/>
        <v>42</v>
      </c>
      <c r="AZ428" s="54">
        <f t="shared" si="2981"/>
        <v>124</v>
      </c>
      <c r="BA428" s="53">
        <f t="shared" si="2823"/>
        <v>49</v>
      </c>
      <c r="BB428" s="54">
        <f t="shared" si="2982"/>
        <v>145</v>
      </c>
      <c r="BC428" s="49">
        <f t="shared" ref="BC428:BD428" si="2983">SUM(AS428,AU428,AW428,AY428,BA428)</f>
        <v>281</v>
      </c>
      <c r="BD428" s="50">
        <f t="shared" si="2983"/>
        <v>837</v>
      </c>
      <c r="BE428" s="68">
        <f t="shared" ref="BE428:BF428" si="2984">SUM(E428,G428,I428,O428,Q428,AC428,AQ428,BC428)</f>
        <v>888</v>
      </c>
      <c r="BF428" s="69">
        <f t="shared" si="2984"/>
        <v>2641</v>
      </c>
      <c r="BG428" s="46" t="str">
        <f>BF428*'ОВгП_РАО'!$B$30</f>
        <v>#REF!</v>
      </c>
      <c r="BH428" s="46" t="str">
        <f>'ОВгП_РАО'!$B$30</f>
        <v>#REF!</v>
      </c>
    </row>
    <row r="429" ht="15.75" customHeight="1">
      <c r="A429" s="80">
        <f t="shared" si="2827"/>
        <v>46272</v>
      </c>
      <c r="B429" s="47" t="s">
        <v>155</v>
      </c>
      <c r="C429" s="47" t="s">
        <v>122</v>
      </c>
      <c r="D429" s="47" t="s">
        <v>156</v>
      </c>
      <c r="E429" s="73">
        <f t="shared" si="2778"/>
        <v>12</v>
      </c>
      <c r="F429" s="50">
        <f t="shared" si="2953"/>
        <v>36</v>
      </c>
      <c r="G429" s="73">
        <f t="shared" si="2780"/>
        <v>26</v>
      </c>
      <c r="H429" s="50">
        <f t="shared" si="2954"/>
        <v>76</v>
      </c>
      <c r="I429" s="73">
        <f t="shared" si="2782"/>
        <v>23</v>
      </c>
      <c r="J429" s="50">
        <f t="shared" si="2955"/>
        <v>69</v>
      </c>
      <c r="K429" s="53">
        <f t="shared" si="2784"/>
        <v>15</v>
      </c>
      <c r="L429" s="54">
        <f t="shared" si="2956"/>
        <v>44</v>
      </c>
      <c r="M429" s="53">
        <f t="shared" si="2786"/>
        <v>14</v>
      </c>
      <c r="N429" s="54">
        <f t="shared" si="2957"/>
        <v>41</v>
      </c>
      <c r="O429" s="49">
        <f t="shared" ref="O429:P429" si="2985">SUM(K429,M429)</f>
        <v>29</v>
      </c>
      <c r="P429" s="50">
        <f t="shared" si="2985"/>
        <v>85</v>
      </c>
      <c r="Q429" s="73">
        <f t="shared" si="2789"/>
        <v>26</v>
      </c>
      <c r="R429" s="50">
        <f t="shared" si="2959"/>
        <v>78</v>
      </c>
      <c r="S429" s="53">
        <f t="shared" si="2791"/>
        <v>12</v>
      </c>
      <c r="T429" s="54">
        <f t="shared" si="2960"/>
        <v>34</v>
      </c>
      <c r="U429" s="53">
        <f t="shared" si="2793"/>
        <v>73</v>
      </c>
      <c r="V429" s="54">
        <f t="shared" si="2961"/>
        <v>217</v>
      </c>
      <c r="W429" s="53">
        <f t="shared" si="2795"/>
        <v>46</v>
      </c>
      <c r="X429" s="54">
        <f t="shared" si="2962"/>
        <v>137</v>
      </c>
      <c r="Y429" s="53">
        <f t="shared" si="2797"/>
        <v>62</v>
      </c>
      <c r="Z429" s="54">
        <f t="shared" si="2963"/>
        <v>184</v>
      </c>
      <c r="AA429" s="53">
        <f t="shared" si="2799"/>
        <v>58</v>
      </c>
      <c r="AB429" s="54">
        <f t="shared" si="2964"/>
        <v>174</v>
      </c>
      <c r="AC429" s="49">
        <f t="shared" ref="AC429:AD429" si="2986">SUM(S429,U429,W429,Y429,AA429)</f>
        <v>251</v>
      </c>
      <c r="AD429" s="50">
        <f t="shared" si="2986"/>
        <v>746</v>
      </c>
      <c r="AE429" s="53">
        <f t="shared" si="2802"/>
        <v>40</v>
      </c>
      <c r="AF429" s="54">
        <f t="shared" si="2971"/>
        <v>120</v>
      </c>
      <c r="AG429" s="53">
        <f t="shared" si="2804"/>
        <v>67</v>
      </c>
      <c r="AH429" s="54">
        <f t="shared" si="2972"/>
        <v>199</v>
      </c>
      <c r="AI429" s="53">
        <f t="shared" si="2806"/>
        <v>81</v>
      </c>
      <c r="AJ429" s="54">
        <f t="shared" si="2973"/>
        <v>243</v>
      </c>
      <c r="AK429" s="53">
        <f t="shared" si="2808"/>
        <v>70</v>
      </c>
      <c r="AL429" s="54">
        <f t="shared" si="2974"/>
        <v>210</v>
      </c>
      <c r="AM429" s="53">
        <f t="shared" si="2810"/>
        <v>51</v>
      </c>
      <c r="AN429" s="54">
        <f t="shared" si="2975"/>
        <v>152</v>
      </c>
      <c r="AO429" s="53">
        <f t="shared" si="2812"/>
        <v>42</v>
      </c>
      <c r="AP429" s="54">
        <f t="shared" si="2976"/>
        <v>124</v>
      </c>
      <c r="AQ429" s="49">
        <f t="shared" ref="AQ429:AR429" si="2987">SUM(AG429,AI429,AK429,AM429,AO429)</f>
        <v>311</v>
      </c>
      <c r="AR429" s="50">
        <f t="shared" si="2987"/>
        <v>928</v>
      </c>
      <c r="AS429" s="53">
        <f t="shared" si="2815"/>
        <v>4</v>
      </c>
      <c r="AT429" s="54">
        <f t="shared" ref="AT429:AT431" si="2993">RANDBETWEEN(0,100)</f>
        <v>12</v>
      </c>
      <c r="AU429" s="53">
        <f t="shared" si="2817"/>
        <v>32</v>
      </c>
      <c r="AV429" s="54">
        <f t="shared" ref="AV429:AV431" si="2994">RANDBETWEEN(0,100)</f>
        <v>95</v>
      </c>
      <c r="AW429" s="53">
        <f t="shared" si="2819"/>
        <v>25</v>
      </c>
      <c r="AX429" s="54">
        <f t="shared" ref="AX429:AX431" si="2995">RANDBETWEEN(0,100)</f>
        <v>75</v>
      </c>
      <c r="AY429" s="53">
        <f t="shared" si="2821"/>
        <v>13</v>
      </c>
      <c r="AZ429" s="54">
        <f t="shared" ref="AZ429:AZ431" si="2996">RANDBETWEEN(0,100)</f>
        <v>38</v>
      </c>
      <c r="BA429" s="53">
        <f t="shared" si="2823"/>
        <v>19</v>
      </c>
      <c r="BB429" s="54">
        <f t="shared" ref="BB429:BB431" si="2997">RANDBETWEEN(0,100)</f>
        <v>57</v>
      </c>
      <c r="BC429" s="49">
        <f t="shared" ref="BC429:BD429" si="2988">SUM(AS429,AU429,AW429,AY429,BA429)</f>
        <v>93</v>
      </c>
      <c r="BD429" s="50">
        <f t="shared" si="2988"/>
        <v>277</v>
      </c>
      <c r="BE429" s="68">
        <f t="shared" ref="BE429:BF429" si="2989">SUM(E429,G429,I429,O429,Q429,AC429,AQ429,BC429)</f>
        <v>771</v>
      </c>
      <c r="BF429" s="69">
        <f t="shared" si="2989"/>
        <v>2295</v>
      </c>
      <c r="BG429" s="46" t="str">
        <f>BF429*'ОВгП_РАО'!$B$31</f>
        <v>#REF!</v>
      </c>
      <c r="BH429" s="46" t="str">
        <f>'ОВгП_РАО'!$B$31</f>
        <v>#REF!</v>
      </c>
    </row>
    <row r="430" ht="15.75" customHeight="1">
      <c r="A430" s="80">
        <f t="shared" si="2827"/>
        <v>46272</v>
      </c>
      <c r="B430" s="47" t="s">
        <v>158</v>
      </c>
      <c r="C430" s="47" t="s">
        <v>122</v>
      </c>
      <c r="D430" s="47" t="s">
        <v>156</v>
      </c>
      <c r="E430" s="73">
        <f t="shared" si="2778"/>
        <v>6</v>
      </c>
      <c r="F430" s="50">
        <f t="shared" si="2953"/>
        <v>16</v>
      </c>
      <c r="G430" s="73">
        <f t="shared" si="2780"/>
        <v>27</v>
      </c>
      <c r="H430" s="50">
        <f t="shared" si="2954"/>
        <v>79</v>
      </c>
      <c r="I430" s="73">
        <f t="shared" si="2782"/>
        <v>6</v>
      </c>
      <c r="J430" s="50">
        <f t="shared" si="2955"/>
        <v>18</v>
      </c>
      <c r="K430" s="53">
        <f t="shared" si="2784"/>
        <v>21</v>
      </c>
      <c r="L430" s="54">
        <f t="shared" si="2956"/>
        <v>61</v>
      </c>
      <c r="M430" s="53">
        <f t="shared" si="2786"/>
        <v>10</v>
      </c>
      <c r="N430" s="54">
        <f t="shared" si="2957"/>
        <v>29</v>
      </c>
      <c r="O430" s="49">
        <f t="shared" ref="O430:P430" si="2990">SUM(K430,M430)</f>
        <v>31</v>
      </c>
      <c r="P430" s="50">
        <f t="shared" si="2990"/>
        <v>90</v>
      </c>
      <c r="Q430" s="73">
        <f t="shared" si="2789"/>
        <v>29</v>
      </c>
      <c r="R430" s="50">
        <f t="shared" si="2959"/>
        <v>85</v>
      </c>
      <c r="S430" s="53">
        <f t="shared" si="2791"/>
        <v>13</v>
      </c>
      <c r="T430" s="54">
        <f t="shared" si="2960"/>
        <v>37</v>
      </c>
      <c r="U430" s="53">
        <f t="shared" si="2793"/>
        <v>38</v>
      </c>
      <c r="V430" s="54">
        <f t="shared" si="2961"/>
        <v>114</v>
      </c>
      <c r="W430" s="53">
        <f t="shared" si="2795"/>
        <v>20</v>
      </c>
      <c r="X430" s="54">
        <f t="shared" si="2962"/>
        <v>58</v>
      </c>
      <c r="Y430" s="53">
        <f t="shared" si="2797"/>
        <v>75</v>
      </c>
      <c r="Z430" s="54">
        <f t="shared" si="2963"/>
        <v>223</v>
      </c>
      <c r="AA430" s="53">
        <f t="shared" si="2799"/>
        <v>45</v>
      </c>
      <c r="AB430" s="54">
        <f t="shared" si="2964"/>
        <v>134</v>
      </c>
      <c r="AC430" s="49">
        <f t="shared" ref="AC430:AD430" si="2991">SUM(S430,U430,W430,Y430,AA430)</f>
        <v>191</v>
      </c>
      <c r="AD430" s="50">
        <f t="shared" si="2991"/>
        <v>566</v>
      </c>
      <c r="AE430" s="53">
        <f t="shared" si="2802"/>
        <v>59</v>
      </c>
      <c r="AF430" s="54">
        <f t="shared" si="2971"/>
        <v>176</v>
      </c>
      <c r="AG430" s="53">
        <f t="shared" si="2804"/>
        <v>64</v>
      </c>
      <c r="AH430" s="54">
        <f t="shared" si="2972"/>
        <v>192</v>
      </c>
      <c r="AI430" s="53">
        <f t="shared" si="2806"/>
        <v>79</v>
      </c>
      <c r="AJ430" s="54">
        <f t="shared" si="2973"/>
        <v>237</v>
      </c>
      <c r="AK430" s="53">
        <f t="shared" si="2808"/>
        <v>91</v>
      </c>
      <c r="AL430" s="54">
        <f t="shared" si="2974"/>
        <v>271</v>
      </c>
      <c r="AM430" s="53">
        <f t="shared" si="2810"/>
        <v>60</v>
      </c>
      <c r="AN430" s="54">
        <f t="shared" si="2975"/>
        <v>180</v>
      </c>
      <c r="AO430" s="53">
        <f t="shared" si="2812"/>
        <v>47</v>
      </c>
      <c r="AP430" s="54">
        <f t="shared" si="2976"/>
        <v>141</v>
      </c>
      <c r="AQ430" s="49">
        <f t="shared" ref="AQ430:AR430" si="2992">SUM(AG430,AI430,AK430,AM430,AO430)</f>
        <v>341</v>
      </c>
      <c r="AR430" s="50">
        <f t="shared" si="2992"/>
        <v>1021</v>
      </c>
      <c r="AS430" s="53">
        <f t="shared" si="2815"/>
        <v>9</v>
      </c>
      <c r="AT430" s="54">
        <f t="shared" si="2993"/>
        <v>27</v>
      </c>
      <c r="AU430" s="53">
        <f t="shared" si="2817"/>
        <v>20</v>
      </c>
      <c r="AV430" s="54">
        <f t="shared" si="2994"/>
        <v>58</v>
      </c>
      <c r="AW430" s="53">
        <f t="shared" si="2819"/>
        <v>7</v>
      </c>
      <c r="AX430" s="54">
        <f t="shared" si="2995"/>
        <v>19</v>
      </c>
      <c r="AY430" s="53">
        <f t="shared" si="2821"/>
        <v>13</v>
      </c>
      <c r="AZ430" s="54">
        <f t="shared" si="2996"/>
        <v>37</v>
      </c>
      <c r="BA430" s="53">
        <f t="shared" si="2823"/>
        <v>7</v>
      </c>
      <c r="BB430" s="54">
        <f t="shared" si="2997"/>
        <v>21</v>
      </c>
      <c r="BC430" s="49">
        <f t="shared" ref="BC430:BD430" si="2998">SUM(AS430,AU430,AW430,AY430,BA430)</f>
        <v>56</v>
      </c>
      <c r="BD430" s="50">
        <f t="shared" si="2998"/>
        <v>162</v>
      </c>
      <c r="BE430" s="68">
        <f t="shared" ref="BE430:BF430" si="2999">SUM(E430,G430,I430,O430,Q430,AC430,AQ430,BC430)</f>
        <v>687</v>
      </c>
      <c r="BF430" s="69">
        <f t="shared" si="2999"/>
        <v>2037</v>
      </c>
      <c r="BG430" s="46" t="str">
        <f>BF430*'ОВгП_РАО'!$B$32</f>
        <v>#REF!</v>
      </c>
      <c r="BH430" s="46" t="str">
        <f>'ОВгП_РАО'!$B$32</f>
        <v>#REF!</v>
      </c>
    </row>
    <row r="431" ht="15.75" customHeight="1">
      <c r="A431" s="80">
        <f t="shared" si="2827"/>
        <v>46272</v>
      </c>
      <c r="B431" s="47" t="s">
        <v>159</v>
      </c>
      <c r="C431" s="47" t="s">
        <v>122</v>
      </c>
      <c r="D431" s="47" t="s">
        <v>156</v>
      </c>
      <c r="E431" s="73">
        <f t="shared" si="2778"/>
        <v>2</v>
      </c>
      <c r="F431" s="50">
        <f t="shared" si="2953"/>
        <v>5</v>
      </c>
      <c r="G431" s="73">
        <f t="shared" si="2780"/>
        <v>8</v>
      </c>
      <c r="H431" s="50">
        <f t="shared" si="2954"/>
        <v>23</v>
      </c>
      <c r="I431" s="73">
        <f t="shared" si="2782"/>
        <v>30</v>
      </c>
      <c r="J431" s="50">
        <f t="shared" si="2955"/>
        <v>90</v>
      </c>
      <c r="K431" s="53">
        <f t="shared" si="2784"/>
        <v>8</v>
      </c>
      <c r="L431" s="54">
        <f t="shared" si="2956"/>
        <v>23</v>
      </c>
      <c r="M431" s="53">
        <f t="shared" si="2786"/>
        <v>22</v>
      </c>
      <c r="N431" s="54">
        <f t="shared" si="2957"/>
        <v>64</v>
      </c>
      <c r="O431" s="49">
        <f t="shared" ref="O431:P431" si="3000">SUM(K431,M431)</f>
        <v>30</v>
      </c>
      <c r="P431" s="50">
        <f t="shared" si="3000"/>
        <v>87</v>
      </c>
      <c r="Q431" s="73">
        <f t="shared" si="2789"/>
        <v>10</v>
      </c>
      <c r="R431" s="50">
        <f t="shared" si="2959"/>
        <v>30</v>
      </c>
      <c r="S431" s="53">
        <f t="shared" si="2791"/>
        <v>38</v>
      </c>
      <c r="T431" s="54">
        <f t="shared" si="2960"/>
        <v>114</v>
      </c>
      <c r="U431" s="53">
        <f t="shared" si="2793"/>
        <v>48</v>
      </c>
      <c r="V431" s="54">
        <f t="shared" si="2961"/>
        <v>143</v>
      </c>
      <c r="W431" s="53">
        <f t="shared" si="2795"/>
        <v>94</v>
      </c>
      <c r="X431" s="54">
        <f t="shared" si="2962"/>
        <v>280</v>
      </c>
      <c r="Y431" s="53">
        <f t="shared" si="2797"/>
        <v>29</v>
      </c>
      <c r="Z431" s="54">
        <f t="shared" si="2963"/>
        <v>85</v>
      </c>
      <c r="AA431" s="53">
        <f t="shared" si="2799"/>
        <v>29</v>
      </c>
      <c r="AB431" s="54">
        <f t="shared" si="2964"/>
        <v>86</v>
      </c>
      <c r="AC431" s="49">
        <f t="shared" ref="AC431:AD431" si="3001">SUM(S431,U431,W431,Y431,AA431)</f>
        <v>238</v>
      </c>
      <c r="AD431" s="50">
        <f t="shared" si="3001"/>
        <v>708</v>
      </c>
      <c r="AE431" s="53">
        <f t="shared" si="2802"/>
        <v>98</v>
      </c>
      <c r="AF431" s="54">
        <f t="shared" si="2971"/>
        <v>293</v>
      </c>
      <c r="AG431" s="53">
        <f t="shared" si="2804"/>
        <v>94</v>
      </c>
      <c r="AH431" s="54">
        <f t="shared" si="2972"/>
        <v>280</v>
      </c>
      <c r="AI431" s="53">
        <f t="shared" si="2806"/>
        <v>25</v>
      </c>
      <c r="AJ431" s="54">
        <f t="shared" si="2973"/>
        <v>75</v>
      </c>
      <c r="AK431" s="53">
        <f t="shared" si="2808"/>
        <v>17</v>
      </c>
      <c r="AL431" s="54">
        <f t="shared" si="2974"/>
        <v>50</v>
      </c>
      <c r="AM431" s="53">
        <f t="shared" si="2810"/>
        <v>77</v>
      </c>
      <c r="AN431" s="54">
        <f t="shared" si="2975"/>
        <v>231</v>
      </c>
      <c r="AO431" s="53">
        <f t="shared" si="2812"/>
        <v>35</v>
      </c>
      <c r="AP431" s="54">
        <f t="shared" si="2976"/>
        <v>105</v>
      </c>
      <c r="AQ431" s="49">
        <f t="shared" ref="AQ431:AR431" si="3002">SUM(AG431,AI431,AK431,AM431,AO431)</f>
        <v>248</v>
      </c>
      <c r="AR431" s="50">
        <f t="shared" si="3002"/>
        <v>741</v>
      </c>
      <c r="AS431" s="53">
        <f t="shared" si="2815"/>
        <v>11</v>
      </c>
      <c r="AT431" s="54">
        <f t="shared" si="2993"/>
        <v>33</v>
      </c>
      <c r="AU431" s="53">
        <f t="shared" si="2817"/>
        <v>22</v>
      </c>
      <c r="AV431" s="54">
        <f t="shared" si="2994"/>
        <v>65</v>
      </c>
      <c r="AW431" s="53">
        <f t="shared" si="2819"/>
        <v>14</v>
      </c>
      <c r="AX431" s="54">
        <f t="shared" si="2995"/>
        <v>42</v>
      </c>
      <c r="AY431" s="53">
        <f t="shared" si="2821"/>
        <v>9</v>
      </c>
      <c r="AZ431" s="54">
        <f t="shared" si="2996"/>
        <v>26</v>
      </c>
      <c r="BA431" s="53">
        <f t="shared" si="2823"/>
        <v>1</v>
      </c>
      <c r="BB431" s="54">
        <f t="shared" si="2997"/>
        <v>1</v>
      </c>
      <c r="BC431" s="49">
        <f t="shared" ref="BC431:BD431" si="3003">SUM(AS431,AU431,AW431,AY431,BA431)</f>
        <v>57</v>
      </c>
      <c r="BD431" s="50">
        <f t="shared" si="3003"/>
        <v>167</v>
      </c>
      <c r="BE431" s="68">
        <f t="shared" ref="BE431:BF431" si="3004">SUM(E431,G431,I431,O431,Q431,AC431,AQ431,BC431)</f>
        <v>623</v>
      </c>
      <c r="BF431" s="69">
        <f t="shared" si="3004"/>
        <v>1851</v>
      </c>
      <c r="BG431" s="46" t="str">
        <f>BF431*'ОВгП_РАО'!$B$33</f>
        <v>#REF!</v>
      </c>
      <c r="BH431" s="46" t="str">
        <f>'ОВгП_РАО'!$B$33</f>
        <v>#REF!</v>
      </c>
    </row>
    <row r="432" ht="15.75" customHeight="1">
      <c r="A432" s="80">
        <f t="shared" si="2827"/>
        <v>46272</v>
      </c>
      <c r="B432" s="47" t="s">
        <v>160</v>
      </c>
      <c r="C432" s="47" t="s">
        <v>161</v>
      </c>
      <c r="D432" s="47" t="s">
        <v>98</v>
      </c>
      <c r="E432" s="73">
        <f t="shared" si="2778"/>
        <v>15</v>
      </c>
      <c r="F432" s="50">
        <f t="shared" si="2953"/>
        <v>45</v>
      </c>
      <c r="G432" s="73">
        <f t="shared" si="2780"/>
        <v>33</v>
      </c>
      <c r="H432" s="50">
        <f t="shared" si="2954"/>
        <v>98</v>
      </c>
      <c r="I432" s="73">
        <f t="shared" si="2782"/>
        <v>11</v>
      </c>
      <c r="J432" s="50">
        <f t="shared" si="2955"/>
        <v>32</v>
      </c>
      <c r="K432" s="53">
        <f t="shared" si="2784"/>
        <v>25</v>
      </c>
      <c r="L432" s="54">
        <f t="shared" si="2956"/>
        <v>73</v>
      </c>
      <c r="M432" s="53">
        <f t="shared" si="2786"/>
        <v>5</v>
      </c>
      <c r="N432" s="54">
        <f t="shared" si="2957"/>
        <v>15</v>
      </c>
      <c r="O432" s="49">
        <f t="shared" ref="O432:P432" si="3005">SUM(K432,M432)</f>
        <v>30</v>
      </c>
      <c r="P432" s="50">
        <f t="shared" si="3005"/>
        <v>88</v>
      </c>
      <c r="Q432" s="73">
        <f t="shared" si="2789"/>
        <v>33</v>
      </c>
      <c r="R432" s="50">
        <f t="shared" si="2959"/>
        <v>98</v>
      </c>
      <c r="S432" s="53">
        <f t="shared" si="2791"/>
        <v>21</v>
      </c>
      <c r="T432" s="54">
        <f t="shared" si="2960"/>
        <v>62</v>
      </c>
      <c r="U432" s="53">
        <f t="shared" si="2793"/>
        <v>74</v>
      </c>
      <c r="V432" s="54">
        <f t="shared" si="2961"/>
        <v>220</v>
      </c>
      <c r="W432" s="53">
        <f t="shared" si="2795"/>
        <v>97</v>
      </c>
      <c r="X432" s="54">
        <f t="shared" si="2962"/>
        <v>289</v>
      </c>
      <c r="Y432" s="53">
        <f t="shared" si="2797"/>
        <v>64</v>
      </c>
      <c r="Z432" s="54">
        <f t="shared" si="2963"/>
        <v>192</v>
      </c>
      <c r="AA432" s="53">
        <f t="shared" si="2799"/>
        <v>16</v>
      </c>
      <c r="AB432" s="54">
        <f t="shared" si="2964"/>
        <v>46</v>
      </c>
      <c r="AC432" s="49">
        <f t="shared" ref="AC432:AD432" si="3006">SUM(S432,U432,W432,Y432,AA432)</f>
        <v>272</v>
      </c>
      <c r="AD432" s="50">
        <f t="shared" si="3006"/>
        <v>809</v>
      </c>
      <c r="AE432" s="53">
        <f t="shared" si="2802"/>
        <v>93</v>
      </c>
      <c r="AF432" s="54">
        <f t="shared" si="2971"/>
        <v>279</v>
      </c>
      <c r="AG432" s="53">
        <f t="shared" si="2804"/>
        <v>78</v>
      </c>
      <c r="AH432" s="54">
        <f t="shared" si="2972"/>
        <v>232</v>
      </c>
      <c r="AI432" s="53">
        <f t="shared" si="2806"/>
        <v>20</v>
      </c>
      <c r="AJ432" s="54">
        <f t="shared" si="2973"/>
        <v>60</v>
      </c>
      <c r="AK432" s="53">
        <f t="shared" si="2808"/>
        <v>30</v>
      </c>
      <c r="AL432" s="54">
        <f t="shared" si="2974"/>
        <v>88</v>
      </c>
      <c r="AM432" s="53">
        <f t="shared" si="2810"/>
        <v>56</v>
      </c>
      <c r="AN432" s="54">
        <f t="shared" si="2975"/>
        <v>168</v>
      </c>
      <c r="AO432" s="53">
        <f t="shared" si="2812"/>
        <v>96</v>
      </c>
      <c r="AP432" s="54">
        <f t="shared" si="2976"/>
        <v>287</v>
      </c>
      <c r="AQ432" s="49">
        <f t="shared" ref="AQ432:AR432" si="3007">SUM(AG432,AI432,AK432,AM432,AO432)</f>
        <v>280</v>
      </c>
      <c r="AR432" s="50">
        <f t="shared" si="3007"/>
        <v>835</v>
      </c>
      <c r="AS432" s="53">
        <f t="shared" si="2815"/>
        <v>6</v>
      </c>
      <c r="AT432" s="54">
        <f t="shared" ref="AT432:AT434" si="3013">RANDBETWEEN(0,300)</f>
        <v>17</v>
      </c>
      <c r="AU432" s="53">
        <f t="shared" si="2817"/>
        <v>45</v>
      </c>
      <c r="AV432" s="54">
        <f t="shared" ref="AV432:AV434" si="3014">RANDBETWEEN(0,300)</f>
        <v>134</v>
      </c>
      <c r="AW432" s="53">
        <f t="shared" si="2819"/>
        <v>42</v>
      </c>
      <c r="AX432" s="54">
        <f t="shared" ref="AX432:AX434" si="3015">RANDBETWEEN(0,300)</f>
        <v>124</v>
      </c>
      <c r="AY432" s="53">
        <f t="shared" si="2821"/>
        <v>36</v>
      </c>
      <c r="AZ432" s="54">
        <f t="shared" ref="AZ432:AZ434" si="3016">RANDBETWEEN(0,300)</f>
        <v>106</v>
      </c>
      <c r="BA432" s="53">
        <f t="shared" si="2823"/>
        <v>31</v>
      </c>
      <c r="BB432" s="54">
        <f t="shared" ref="BB432:BB434" si="3017">RANDBETWEEN(0,300)</f>
        <v>91</v>
      </c>
      <c r="BC432" s="49">
        <f t="shared" ref="BC432:BD432" si="3008">SUM(AS432,AU432,AW432,AY432,BA432)</f>
        <v>160</v>
      </c>
      <c r="BD432" s="50">
        <f t="shared" si="3008"/>
        <v>472</v>
      </c>
      <c r="BE432" s="68">
        <f t="shared" ref="BE432:BF432" si="3009">SUM(E432,G432,I432,O432,Q432,AC432,AQ432,BC432)</f>
        <v>834</v>
      </c>
      <c r="BF432" s="69">
        <f t="shared" si="3009"/>
        <v>2477</v>
      </c>
      <c r="BG432" s="46" t="str">
        <f>BF432*'ОВгП_РАО'!$B$34</f>
        <v>#REF!</v>
      </c>
      <c r="BH432" s="46" t="str">
        <f>'ОВгП_РАО'!$B$34</f>
        <v>#REF!</v>
      </c>
    </row>
    <row r="433" ht="15.75" customHeight="1">
      <c r="A433" s="80">
        <f t="shared" si="2827"/>
        <v>46272</v>
      </c>
      <c r="B433" s="47" t="s">
        <v>163</v>
      </c>
      <c r="C433" s="47" t="s">
        <v>161</v>
      </c>
      <c r="D433" s="47" t="s">
        <v>145</v>
      </c>
      <c r="E433" s="73">
        <f t="shared" si="2778"/>
        <v>14</v>
      </c>
      <c r="F433" s="50">
        <f t="shared" si="2953"/>
        <v>42</v>
      </c>
      <c r="G433" s="73">
        <f t="shared" si="2780"/>
        <v>15</v>
      </c>
      <c r="H433" s="50">
        <f t="shared" si="2954"/>
        <v>44</v>
      </c>
      <c r="I433" s="73">
        <f t="shared" si="2782"/>
        <v>27</v>
      </c>
      <c r="J433" s="50">
        <f t="shared" si="2955"/>
        <v>80</v>
      </c>
      <c r="K433" s="53">
        <f t="shared" si="2784"/>
        <v>11</v>
      </c>
      <c r="L433" s="54">
        <f t="shared" si="2956"/>
        <v>31</v>
      </c>
      <c r="M433" s="53">
        <f t="shared" si="2786"/>
        <v>31</v>
      </c>
      <c r="N433" s="54">
        <f t="shared" si="2957"/>
        <v>91</v>
      </c>
      <c r="O433" s="49">
        <f t="shared" ref="O433:P433" si="3010">SUM(K433,M433)</f>
        <v>42</v>
      </c>
      <c r="P433" s="50">
        <f t="shared" si="3010"/>
        <v>122</v>
      </c>
      <c r="Q433" s="73">
        <f t="shared" si="2789"/>
        <v>20</v>
      </c>
      <c r="R433" s="50">
        <f t="shared" si="2959"/>
        <v>59</v>
      </c>
      <c r="S433" s="53">
        <f t="shared" si="2791"/>
        <v>96</v>
      </c>
      <c r="T433" s="54">
        <f t="shared" si="2960"/>
        <v>287</v>
      </c>
      <c r="U433" s="53">
        <f t="shared" si="2793"/>
        <v>88</v>
      </c>
      <c r="V433" s="54">
        <f t="shared" si="2961"/>
        <v>264</v>
      </c>
      <c r="W433" s="53">
        <f t="shared" si="2795"/>
        <v>86</v>
      </c>
      <c r="X433" s="54">
        <f t="shared" si="2962"/>
        <v>258</v>
      </c>
      <c r="Y433" s="53">
        <f t="shared" si="2797"/>
        <v>37</v>
      </c>
      <c r="Z433" s="54">
        <f t="shared" si="2963"/>
        <v>110</v>
      </c>
      <c r="AA433" s="53">
        <f t="shared" si="2799"/>
        <v>80</v>
      </c>
      <c r="AB433" s="54">
        <f t="shared" si="2964"/>
        <v>238</v>
      </c>
      <c r="AC433" s="49">
        <f t="shared" ref="AC433:AD433" si="3011">SUM(S433,U433,W433,Y433,AA433)</f>
        <v>387</v>
      </c>
      <c r="AD433" s="50">
        <f t="shared" si="3011"/>
        <v>1157</v>
      </c>
      <c r="AE433" s="53">
        <f t="shared" si="2802"/>
        <v>97</v>
      </c>
      <c r="AF433" s="54">
        <f t="shared" si="2971"/>
        <v>291</v>
      </c>
      <c r="AG433" s="53">
        <f t="shared" si="2804"/>
        <v>41</v>
      </c>
      <c r="AH433" s="54">
        <f t="shared" si="2972"/>
        <v>123</v>
      </c>
      <c r="AI433" s="53">
        <f t="shared" si="2806"/>
        <v>84</v>
      </c>
      <c r="AJ433" s="54">
        <f t="shared" si="2973"/>
        <v>251</v>
      </c>
      <c r="AK433" s="53">
        <f t="shared" si="2808"/>
        <v>63</v>
      </c>
      <c r="AL433" s="54">
        <f t="shared" si="2974"/>
        <v>187</v>
      </c>
      <c r="AM433" s="53">
        <f t="shared" si="2810"/>
        <v>42</v>
      </c>
      <c r="AN433" s="54">
        <f t="shared" si="2975"/>
        <v>125</v>
      </c>
      <c r="AO433" s="53">
        <f t="shared" si="2812"/>
        <v>22</v>
      </c>
      <c r="AP433" s="54">
        <f t="shared" si="2976"/>
        <v>65</v>
      </c>
      <c r="AQ433" s="49">
        <f t="shared" ref="AQ433:AR433" si="3012">SUM(AG433,AI433,AK433,AM433,AO433)</f>
        <v>252</v>
      </c>
      <c r="AR433" s="50">
        <f t="shared" si="3012"/>
        <v>751</v>
      </c>
      <c r="AS433" s="53">
        <f t="shared" si="2815"/>
        <v>76</v>
      </c>
      <c r="AT433" s="54">
        <f t="shared" si="3013"/>
        <v>227</v>
      </c>
      <c r="AU433" s="53">
        <f t="shared" si="2817"/>
        <v>18</v>
      </c>
      <c r="AV433" s="54">
        <f t="shared" si="3014"/>
        <v>52</v>
      </c>
      <c r="AW433" s="53">
        <f t="shared" si="2819"/>
        <v>11</v>
      </c>
      <c r="AX433" s="54">
        <f t="shared" si="3015"/>
        <v>33</v>
      </c>
      <c r="AY433" s="53">
        <f t="shared" si="2821"/>
        <v>85</v>
      </c>
      <c r="AZ433" s="54">
        <f t="shared" si="3016"/>
        <v>255</v>
      </c>
      <c r="BA433" s="53">
        <f t="shared" si="2823"/>
        <v>6</v>
      </c>
      <c r="BB433" s="54">
        <f t="shared" si="3017"/>
        <v>17</v>
      </c>
      <c r="BC433" s="49">
        <f t="shared" ref="BC433:BD433" si="3018">SUM(AS433,AU433,AW433,AY433,BA433)</f>
        <v>196</v>
      </c>
      <c r="BD433" s="50">
        <f t="shared" si="3018"/>
        <v>584</v>
      </c>
      <c r="BE433" s="68">
        <f t="shared" ref="BE433:BF433" si="3019">SUM(E433,G433,I433,O433,Q433,AC433,AQ433,BC433)</f>
        <v>953</v>
      </c>
      <c r="BF433" s="69">
        <f t="shared" si="3019"/>
        <v>2839</v>
      </c>
      <c r="BG433" s="46" t="str">
        <f>BF433*'ОВгП_РАО'!$B$35</f>
        <v>#REF!</v>
      </c>
      <c r="BH433" s="46" t="str">
        <f>'ОВгП_РАО'!$B$35</f>
        <v>#REF!</v>
      </c>
    </row>
    <row r="434" ht="15.75" customHeight="1">
      <c r="A434" s="80">
        <f t="shared" si="2827"/>
        <v>46272</v>
      </c>
      <c r="B434" s="47" t="s">
        <v>164</v>
      </c>
      <c r="C434" s="47" t="s">
        <v>161</v>
      </c>
      <c r="D434" s="47" t="s">
        <v>148</v>
      </c>
      <c r="E434" s="73">
        <f t="shared" si="2778"/>
        <v>6</v>
      </c>
      <c r="F434" s="50">
        <f t="shared" si="2953"/>
        <v>17</v>
      </c>
      <c r="G434" s="73">
        <f t="shared" si="2780"/>
        <v>26</v>
      </c>
      <c r="H434" s="50">
        <f t="shared" si="2954"/>
        <v>78</v>
      </c>
      <c r="I434" s="73">
        <f t="shared" si="2782"/>
        <v>29</v>
      </c>
      <c r="J434" s="50">
        <f t="shared" si="2955"/>
        <v>86</v>
      </c>
      <c r="K434" s="53">
        <f t="shared" si="2784"/>
        <v>21</v>
      </c>
      <c r="L434" s="54">
        <f t="shared" si="2956"/>
        <v>63</v>
      </c>
      <c r="M434" s="53">
        <f t="shared" si="2786"/>
        <v>12</v>
      </c>
      <c r="N434" s="54">
        <f t="shared" si="2957"/>
        <v>35</v>
      </c>
      <c r="O434" s="49">
        <f t="shared" ref="O434:P434" si="3020">SUM(K434,M434)</f>
        <v>33</v>
      </c>
      <c r="P434" s="50">
        <f t="shared" si="3020"/>
        <v>98</v>
      </c>
      <c r="Q434" s="73">
        <f t="shared" si="2789"/>
        <v>22</v>
      </c>
      <c r="R434" s="50">
        <f t="shared" si="2959"/>
        <v>64</v>
      </c>
      <c r="S434" s="53">
        <f t="shared" si="2791"/>
        <v>4</v>
      </c>
      <c r="T434" s="54">
        <f t="shared" si="2960"/>
        <v>10</v>
      </c>
      <c r="U434" s="53">
        <f t="shared" si="2793"/>
        <v>12</v>
      </c>
      <c r="V434" s="54">
        <f t="shared" si="2961"/>
        <v>35</v>
      </c>
      <c r="W434" s="53">
        <f t="shared" si="2795"/>
        <v>22</v>
      </c>
      <c r="X434" s="54">
        <f t="shared" si="2962"/>
        <v>66</v>
      </c>
      <c r="Y434" s="53">
        <f t="shared" si="2797"/>
        <v>24</v>
      </c>
      <c r="Z434" s="54">
        <f t="shared" si="2963"/>
        <v>70</v>
      </c>
      <c r="AA434" s="53">
        <f t="shared" si="2799"/>
        <v>81</v>
      </c>
      <c r="AB434" s="54">
        <f t="shared" si="2964"/>
        <v>241</v>
      </c>
      <c r="AC434" s="49">
        <f t="shared" ref="AC434:AD434" si="3021">SUM(S434,U434,W434,Y434,AA434)</f>
        <v>143</v>
      </c>
      <c r="AD434" s="50">
        <f t="shared" si="3021"/>
        <v>422</v>
      </c>
      <c r="AE434" s="53">
        <f t="shared" si="2802"/>
        <v>64</v>
      </c>
      <c r="AF434" s="54">
        <f t="shared" si="2971"/>
        <v>190</v>
      </c>
      <c r="AG434" s="53">
        <f t="shared" si="2804"/>
        <v>50</v>
      </c>
      <c r="AH434" s="54">
        <f t="shared" si="2972"/>
        <v>150</v>
      </c>
      <c r="AI434" s="53">
        <f t="shared" si="2806"/>
        <v>60</v>
      </c>
      <c r="AJ434" s="54">
        <f t="shared" si="2973"/>
        <v>180</v>
      </c>
      <c r="AK434" s="53">
        <f t="shared" si="2808"/>
        <v>39</v>
      </c>
      <c r="AL434" s="54">
        <f t="shared" si="2974"/>
        <v>117</v>
      </c>
      <c r="AM434" s="53">
        <f t="shared" si="2810"/>
        <v>95</v>
      </c>
      <c r="AN434" s="54">
        <f t="shared" si="2975"/>
        <v>284</v>
      </c>
      <c r="AO434" s="53">
        <f t="shared" si="2812"/>
        <v>27</v>
      </c>
      <c r="AP434" s="54">
        <f t="shared" si="2976"/>
        <v>80</v>
      </c>
      <c r="AQ434" s="49">
        <f t="shared" ref="AQ434:AR434" si="3022">SUM(AG434,AI434,AK434,AM434,AO434)</f>
        <v>271</v>
      </c>
      <c r="AR434" s="50">
        <f t="shared" si="3022"/>
        <v>811</v>
      </c>
      <c r="AS434" s="53">
        <f t="shared" si="2815"/>
        <v>93</v>
      </c>
      <c r="AT434" s="54">
        <f t="shared" si="3013"/>
        <v>277</v>
      </c>
      <c r="AU434" s="53">
        <f t="shared" si="2817"/>
        <v>34</v>
      </c>
      <c r="AV434" s="54">
        <f t="shared" si="3014"/>
        <v>100</v>
      </c>
      <c r="AW434" s="53">
        <f t="shared" si="2819"/>
        <v>14</v>
      </c>
      <c r="AX434" s="54">
        <f t="shared" si="3015"/>
        <v>42</v>
      </c>
      <c r="AY434" s="53">
        <f t="shared" si="2821"/>
        <v>81</v>
      </c>
      <c r="AZ434" s="54">
        <f t="shared" si="3016"/>
        <v>243</v>
      </c>
      <c r="BA434" s="53">
        <f t="shared" si="2823"/>
        <v>7</v>
      </c>
      <c r="BB434" s="54">
        <f t="shared" si="3017"/>
        <v>19</v>
      </c>
      <c r="BC434" s="49">
        <f t="shared" ref="BC434:BD434" si="3023">SUM(AS434,AU434,AW434,AY434,BA434)</f>
        <v>229</v>
      </c>
      <c r="BD434" s="50">
        <f t="shared" si="3023"/>
        <v>681</v>
      </c>
      <c r="BE434" s="68">
        <f t="shared" ref="BE434:BF434" si="3024">SUM(E434,G434,I434,O434,Q434,AC434,AQ434,BC434)</f>
        <v>759</v>
      </c>
      <c r="BF434" s="69">
        <f t="shared" si="3024"/>
        <v>2257</v>
      </c>
      <c r="BG434" s="46" t="str">
        <f>BF434*'ОВгП_РАО'!$B$36</f>
        <v>#REF!</v>
      </c>
      <c r="BH434" s="46" t="str">
        <f>'ОВгП_РАО'!B432</f>
        <v>#REF!</v>
      </c>
    </row>
    <row r="435" ht="15.75" customHeight="1">
      <c r="A435" s="161"/>
      <c r="B435" s="162"/>
      <c r="C435" s="162"/>
      <c r="D435" s="162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  <c r="BC435" s="40"/>
      <c r="BD435" s="40"/>
      <c r="BE435" s="40"/>
      <c r="BF435" s="42"/>
    </row>
    <row r="436" ht="15.75" customHeight="1">
      <c r="A436" s="44">
        <f>A434+1</f>
        <v>46273</v>
      </c>
      <c r="B436" s="163" t="s">
        <v>95</v>
      </c>
      <c r="C436" s="46" t="s">
        <v>96</v>
      </c>
      <c r="D436" s="47" t="s">
        <v>98</v>
      </c>
      <c r="E436" s="49">
        <f t="shared" ref="E436:E470" si="3030">ROUNDUP(F436/3,0)</f>
        <v>0</v>
      </c>
      <c r="F436" s="50">
        <f t="shared" ref="F436:F461" si="3031">RANDBETWEEN(0,4)</f>
        <v>0</v>
      </c>
      <c r="G436" s="49">
        <f t="shared" ref="G436:G470" si="3032">ROUNDUP(H436/3,0)</f>
        <v>1</v>
      </c>
      <c r="H436" s="50">
        <f t="shared" ref="H436:H461" si="3033">RANDBETWEEN(0,4)</f>
        <v>3</v>
      </c>
      <c r="I436" s="49">
        <f t="shared" ref="I436:I470" si="3034">ROUNDUP(J436/3,0)</f>
        <v>0</v>
      </c>
      <c r="J436" s="50">
        <f t="shared" ref="J436:J461" si="3035">RANDBETWEEN(0,4)</f>
        <v>0</v>
      </c>
      <c r="K436" s="53">
        <f t="shared" ref="K436:K470" si="3036">ROUNDUP(L436/3,0)</f>
        <v>1</v>
      </c>
      <c r="L436" s="54">
        <f t="shared" ref="L436:L461" si="3037">RANDBETWEEN(0,4)</f>
        <v>1</v>
      </c>
      <c r="M436" s="53">
        <f t="shared" ref="M436:M470" si="3038">ROUNDUP(N436/3,0)</f>
        <v>2</v>
      </c>
      <c r="N436" s="54">
        <f t="shared" ref="N436:N461" si="3039">RANDBETWEEN(0,4)</f>
        <v>4</v>
      </c>
      <c r="O436" s="49">
        <f t="shared" ref="O436:P436" si="3025">SUM(K436,M436)</f>
        <v>3</v>
      </c>
      <c r="P436" s="50">
        <f t="shared" si="3025"/>
        <v>5</v>
      </c>
      <c r="Q436" s="49">
        <f t="shared" ref="Q436:Q470" si="3041">ROUNDUP(R436/3,0)</f>
        <v>1</v>
      </c>
      <c r="R436" s="50">
        <f t="shared" ref="R436:R461" si="3042">RANDBETWEEN(0,4)</f>
        <v>1</v>
      </c>
      <c r="S436" s="53">
        <f t="shared" ref="S436:S470" si="3043">ROUNDUP(T436/3,0)</f>
        <v>0</v>
      </c>
      <c r="T436" s="54">
        <f t="shared" ref="T436:T461" si="3044">RANDBETWEEN(0,4)</f>
        <v>0</v>
      </c>
      <c r="U436" s="53">
        <f t="shared" ref="U436:U470" si="3045">ROUNDUP(V436/3,0)</f>
        <v>1</v>
      </c>
      <c r="V436" s="54">
        <f t="shared" ref="V436:V461" si="3046">RANDBETWEEN(0,4)</f>
        <v>2</v>
      </c>
      <c r="W436" s="53">
        <f t="shared" ref="W436:W470" si="3047">ROUNDUP(X436/3,0)</f>
        <v>2</v>
      </c>
      <c r="X436" s="54">
        <f t="shared" ref="X436:X461" si="3048">RANDBETWEEN(0,4)</f>
        <v>4</v>
      </c>
      <c r="Y436" s="53">
        <f t="shared" ref="Y436:Y470" si="3049">ROUNDUP(Z436/3,0)</f>
        <v>1</v>
      </c>
      <c r="Z436" s="54">
        <f t="shared" ref="Z436:Z461" si="3050">RANDBETWEEN(0,4)</f>
        <v>3</v>
      </c>
      <c r="AA436" s="53">
        <f t="shared" ref="AA436:AA470" si="3051">ROUNDUP(AB436/3,0)</f>
        <v>1</v>
      </c>
      <c r="AB436" s="54">
        <f t="shared" ref="AB436:AB461" si="3052">RANDBETWEEN(0,4)</f>
        <v>2</v>
      </c>
      <c r="AC436" s="49">
        <f t="shared" ref="AC436:AD436" si="3026">SUM(S436,U436,W436,Y436,AA436)</f>
        <v>5</v>
      </c>
      <c r="AD436" s="50">
        <f t="shared" si="3026"/>
        <v>11</v>
      </c>
      <c r="AE436" s="53">
        <f t="shared" ref="AE436:AE470" si="3054">ROUNDUP(AF436/3,0)</f>
        <v>0</v>
      </c>
      <c r="AF436" s="54">
        <f t="shared" ref="AF436:AF461" si="3055">RANDBETWEEN(0,4)</f>
        <v>0</v>
      </c>
      <c r="AG436" s="53">
        <f t="shared" ref="AG436:AG470" si="3056">ROUNDUP(AH436/3,0)</f>
        <v>1</v>
      </c>
      <c r="AH436" s="54">
        <f t="shared" ref="AH436:AH461" si="3057">RANDBETWEEN(0,4)</f>
        <v>3</v>
      </c>
      <c r="AI436" s="53">
        <f t="shared" ref="AI436:AI470" si="3058">ROUNDUP(AJ436/3,0)</f>
        <v>0</v>
      </c>
      <c r="AJ436" s="54">
        <f t="shared" ref="AJ436:AJ461" si="3059">RANDBETWEEN(0,4)</f>
        <v>0</v>
      </c>
      <c r="AK436" s="53">
        <f t="shared" ref="AK436:AK470" si="3060">ROUNDUP(AL436/3,0)</f>
        <v>2</v>
      </c>
      <c r="AL436" s="54">
        <f t="shared" ref="AL436:AL461" si="3061">RANDBETWEEN(0,4)</f>
        <v>4</v>
      </c>
      <c r="AM436" s="53">
        <f t="shared" ref="AM436:AM470" si="3062">ROUNDUP(AN436/3,0)</f>
        <v>1</v>
      </c>
      <c r="AN436" s="54">
        <f t="shared" ref="AN436:AN461" si="3063">RANDBETWEEN(0,4)</f>
        <v>2</v>
      </c>
      <c r="AO436" s="53">
        <f t="shared" ref="AO436:AO470" si="3064">ROUNDUP(AP436/3,0)</f>
        <v>1</v>
      </c>
      <c r="AP436" s="54">
        <f t="shared" ref="AP436:AP461" si="3065">RANDBETWEEN(0,4)</f>
        <v>2</v>
      </c>
      <c r="AQ436" s="49">
        <f t="shared" ref="AQ436:AR436" si="3027">SUM(AG436,AI436,AK436,AM436,AO436)</f>
        <v>5</v>
      </c>
      <c r="AR436" s="50">
        <f t="shared" si="3027"/>
        <v>11</v>
      </c>
      <c r="AS436" s="53">
        <f t="shared" ref="AS436:AS470" si="3067">ROUNDUP(AT436/3,0)</f>
        <v>1</v>
      </c>
      <c r="AT436" s="54">
        <f t="shared" ref="AT436:AT461" si="3068">RANDBETWEEN(0,4)</f>
        <v>1</v>
      </c>
      <c r="AU436" s="53">
        <f t="shared" ref="AU436:AU470" si="3069">ROUNDUP(AV436/3,0)</f>
        <v>2</v>
      </c>
      <c r="AV436" s="54">
        <f t="shared" ref="AV436:AV461" si="3070">RANDBETWEEN(0,4)</f>
        <v>4</v>
      </c>
      <c r="AW436" s="53">
        <f t="shared" ref="AW436:AW470" si="3071">ROUNDUP(AX436/3,0)</f>
        <v>1</v>
      </c>
      <c r="AX436" s="54">
        <f t="shared" ref="AX436:AX461" si="3072">RANDBETWEEN(0,4)</f>
        <v>2</v>
      </c>
      <c r="AY436" s="53">
        <f t="shared" ref="AY436:AY470" si="3073">ROUNDUP(AZ436/3,0)</f>
        <v>0</v>
      </c>
      <c r="AZ436" s="54">
        <f t="shared" ref="AZ436:AZ461" si="3074">RANDBETWEEN(0,4)</f>
        <v>0</v>
      </c>
      <c r="BA436" s="53">
        <f t="shared" ref="BA436:BA470" si="3075">ROUNDUP(BB436/3,0)</f>
        <v>2</v>
      </c>
      <c r="BB436" s="54">
        <f t="shared" ref="BB436:BB461" si="3076">RANDBETWEEN(0,4)</f>
        <v>4</v>
      </c>
      <c r="BC436" s="49">
        <f t="shared" ref="BC436:BD436" si="3028">SUM(AS436,AU436,AW436,AY436,BA436)</f>
        <v>6</v>
      </c>
      <c r="BD436" s="50">
        <f t="shared" si="3028"/>
        <v>11</v>
      </c>
      <c r="BE436" s="68">
        <f t="shared" ref="BE436:BF436" si="3029">SUM(E436,G436,I436,O436,Q436,AC436,AQ436,BC436)</f>
        <v>21</v>
      </c>
      <c r="BF436" s="69">
        <f t="shared" si="3029"/>
        <v>42</v>
      </c>
      <c r="BG436" s="46" t="str">
        <f>BF436*'ОВгП_РАО'!$B$2</f>
        <v>#REF!</v>
      </c>
      <c r="BH436" s="46" t="str">
        <f>'ОВгП_РАО'!$B$2</f>
        <v>#REF!</v>
      </c>
    </row>
    <row r="437" ht="15.75" customHeight="1">
      <c r="A437" s="71">
        <f t="shared" ref="A437:A470" si="3079">A436</f>
        <v>46273</v>
      </c>
      <c r="B437" s="45" t="s">
        <v>115</v>
      </c>
      <c r="C437" s="46" t="s">
        <v>96</v>
      </c>
      <c r="D437" s="47" t="s">
        <v>98</v>
      </c>
      <c r="E437" s="73">
        <f t="shared" si="3030"/>
        <v>0</v>
      </c>
      <c r="F437" s="50">
        <f t="shared" si="3031"/>
        <v>0</v>
      </c>
      <c r="G437" s="73">
        <f t="shared" si="3032"/>
        <v>1</v>
      </c>
      <c r="H437" s="50">
        <f t="shared" si="3033"/>
        <v>3</v>
      </c>
      <c r="I437" s="73">
        <f t="shared" si="3034"/>
        <v>1</v>
      </c>
      <c r="J437" s="50">
        <f t="shared" si="3035"/>
        <v>1</v>
      </c>
      <c r="K437" s="53">
        <f t="shared" si="3036"/>
        <v>2</v>
      </c>
      <c r="L437" s="54">
        <f t="shared" si="3037"/>
        <v>4</v>
      </c>
      <c r="M437" s="53">
        <f t="shared" si="3038"/>
        <v>0</v>
      </c>
      <c r="N437" s="54">
        <f t="shared" si="3039"/>
        <v>0</v>
      </c>
      <c r="O437" s="49">
        <f t="shared" ref="O437:P437" si="3040">SUM(K437,M437)</f>
        <v>2</v>
      </c>
      <c r="P437" s="50">
        <f t="shared" si="3040"/>
        <v>4</v>
      </c>
      <c r="Q437" s="73">
        <f t="shared" si="3041"/>
        <v>1</v>
      </c>
      <c r="R437" s="50">
        <f t="shared" si="3042"/>
        <v>3</v>
      </c>
      <c r="S437" s="53">
        <f t="shared" si="3043"/>
        <v>1</v>
      </c>
      <c r="T437" s="54">
        <f t="shared" si="3044"/>
        <v>2</v>
      </c>
      <c r="U437" s="53">
        <f t="shared" si="3045"/>
        <v>1</v>
      </c>
      <c r="V437" s="54">
        <f t="shared" si="3046"/>
        <v>3</v>
      </c>
      <c r="W437" s="53">
        <f t="shared" si="3047"/>
        <v>0</v>
      </c>
      <c r="X437" s="54">
        <f t="shared" si="3048"/>
        <v>0</v>
      </c>
      <c r="Y437" s="53">
        <f t="shared" si="3049"/>
        <v>0</v>
      </c>
      <c r="Z437" s="54">
        <f t="shared" si="3050"/>
        <v>0</v>
      </c>
      <c r="AA437" s="53">
        <f t="shared" si="3051"/>
        <v>0</v>
      </c>
      <c r="AB437" s="54">
        <f t="shared" si="3052"/>
        <v>0</v>
      </c>
      <c r="AC437" s="49">
        <f t="shared" ref="AC437:AD437" si="3053">SUM(S437,U437,W437,Y437,AA437)</f>
        <v>2</v>
      </c>
      <c r="AD437" s="50">
        <f t="shared" si="3053"/>
        <v>5</v>
      </c>
      <c r="AE437" s="53">
        <f t="shared" si="3054"/>
        <v>0</v>
      </c>
      <c r="AF437" s="54">
        <f t="shared" si="3055"/>
        <v>0</v>
      </c>
      <c r="AG437" s="53">
        <f t="shared" si="3056"/>
        <v>0</v>
      </c>
      <c r="AH437" s="54">
        <f t="shared" si="3057"/>
        <v>0</v>
      </c>
      <c r="AI437" s="53">
        <f t="shared" si="3058"/>
        <v>1</v>
      </c>
      <c r="AJ437" s="54">
        <f t="shared" si="3059"/>
        <v>3</v>
      </c>
      <c r="AK437" s="53">
        <f t="shared" si="3060"/>
        <v>0</v>
      </c>
      <c r="AL437" s="54">
        <f t="shared" si="3061"/>
        <v>0</v>
      </c>
      <c r="AM437" s="53">
        <f t="shared" si="3062"/>
        <v>1</v>
      </c>
      <c r="AN437" s="54">
        <f t="shared" si="3063"/>
        <v>2</v>
      </c>
      <c r="AO437" s="53">
        <f t="shared" si="3064"/>
        <v>1</v>
      </c>
      <c r="AP437" s="54">
        <f t="shared" si="3065"/>
        <v>2</v>
      </c>
      <c r="AQ437" s="49">
        <f t="shared" ref="AQ437:AR437" si="3066">SUM(AG437,AI437,AK437,AM437,AO437)</f>
        <v>3</v>
      </c>
      <c r="AR437" s="50">
        <f t="shared" si="3066"/>
        <v>7</v>
      </c>
      <c r="AS437" s="53">
        <f t="shared" si="3067"/>
        <v>1</v>
      </c>
      <c r="AT437" s="54">
        <f t="shared" si="3068"/>
        <v>3</v>
      </c>
      <c r="AU437" s="53">
        <f t="shared" si="3069"/>
        <v>1</v>
      </c>
      <c r="AV437" s="54">
        <f t="shared" si="3070"/>
        <v>1</v>
      </c>
      <c r="AW437" s="53">
        <f t="shared" si="3071"/>
        <v>2</v>
      </c>
      <c r="AX437" s="54">
        <f t="shared" si="3072"/>
        <v>4</v>
      </c>
      <c r="AY437" s="53">
        <f t="shared" si="3073"/>
        <v>1</v>
      </c>
      <c r="AZ437" s="54">
        <f t="shared" si="3074"/>
        <v>2</v>
      </c>
      <c r="BA437" s="53">
        <f t="shared" si="3075"/>
        <v>0</v>
      </c>
      <c r="BB437" s="54">
        <f t="shared" si="3076"/>
        <v>0</v>
      </c>
      <c r="BC437" s="49">
        <f t="shared" ref="BC437:BD437" si="3077">SUM(AS437,AU437,AW437,AY437,BA437)</f>
        <v>5</v>
      </c>
      <c r="BD437" s="50">
        <f t="shared" si="3077"/>
        <v>10</v>
      </c>
      <c r="BE437" s="68">
        <f t="shared" ref="BE437:BF437" si="3078">SUM(E437,G437,I437,O437,Q437,AC437,AQ437,BC437)</f>
        <v>15</v>
      </c>
      <c r="BF437" s="69">
        <f t="shared" si="3078"/>
        <v>33</v>
      </c>
      <c r="BG437" s="46" t="str">
        <f>BF437*'ОВгП_РАО'!$B$3</f>
        <v>#REF!</v>
      </c>
      <c r="BH437" s="46" t="str">
        <f>'ОВгП_РАО'!$B$3</f>
        <v>#REF!</v>
      </c>
    </row>
    <row r="438" ht="15.75" customHeight="1">
      <c r="A438" s="80">
        <f t="shared" si="3079"/>
        <v>46273</v>
      </c>
      <c r="B438" s="45" t="s">
        <v>116</v>
      </c>
      <c r="C438" s="46" t="s">
        <v>96</v>
      </c>
      <c r="D438" s="47" t="s">
        <v>98</v>
      </c>
      <c r="E438" s="73">
        <f t="shared" si="3030"/>
        <v>1</v>
      </c>
      <c r="F438" s="50">
        <f t="shared" si="3031"/>
        <v>3</v>
      </c>
      <c r="G438" s="73">
        <f t="shared" si="3032"/>
        <v>1</v>
      </c>
      <c r="H438" s="50">
        <f t="shared" si="3033"/>
        <v>2</v>
      </c>
      <c r="I438" s="73">
        <f t="shared" si="3034"/>
        <v>1</v>
      </c>
      <c r="J438" s="50">
        <f t="shared" si="3035"/>
        <v>3</v>
      </c>
      <c r="K438" s="53">
        <f t="shared" si="3036"/>
        <v>1</v>
      </c>
      <c r="L438" s="54">
        <f t="shared" si="3037"/>
        <v>1</v>
      </c>
      <c r="M438" s="53">
        <f t="shared" si="3038"/>
        <v>1</v>
      </c>
      <c r="N438" s="54">
        <f t="shared" si="3039"/>
        <v>1</v>
      </c>
      <c r="O438" s="49">
        <f t="shared" ref="O438:P438" si="3080">SUM(K438,M438)</f>
        <v>2</v>
      </c>
      <c r="P438" s="50">
        <f t="shared" si="3080"/>
        <v>2</v>
      </c>
      <c r="Q438" s="73">
        <f t="shared" si="3041"/>
        <v>1</v>
      </c>
      <c r="R438" s="50">
        <f t="shared" si="3042"/>
        <v>2</v>
      </c>
      <c r="S438" s="53">
        <f t="shared" si="3043"/>
        <v>1</v>
      </c>
      <c r="T438" s="54">
        <f t="shared" si="3044"/>
        <v>3</v>
      </c>
      <c r="U438" s="53">
        <f t="shared" si="3045"/>
        <v>1</v>
      </c>
      <c r="V438" s="54">
        <f t="shared" si="3046"/>
        <v>2</v>
      </c>
      <c r="W438" s="53">
        <f t="shared" si="3047"/>
        <v>1</v>
      </c>
      <c r="X438" s="54">
        <f t="shared" si="3048"/>
        <v>1</v>
      </c>
      <c r="Y438" s="53">
        <f t="shared" si="3049"/>
        <v>1</v>
      </c>
      <c r="Z438" s="54">
        <f t="shared" si="3050"/>
        <v>1</v>
      </c>
      <c r="AA438" s="53">
        <f t="shared" si="3051"/>
        <v>2</v>
      </c>
      <c r="AB438" s="54">
        <f t="shared" si="3052"/>
        <v>4</v>
      </c>
      <c r="AC438" s="49">
        <f t="shared" ref="AC438:AD438" si="3081">SUM(S438,U438,W438,Y438,AA438)</f>
        <v>6</v>
      </c>
      <c r="AD438" s="50">
        <f t="shared" si="3081"/>
        <v>11</v>
      </c>
      <c r="AE438" s="53">
        <f t="shared" si="3054"/>
        <v>0</v>
      </c>
      <c r="AF438" s="54">
        <f t="shared" si="3055"/>
        <v>0</v>
      </c>
      <c r="AG438" s="53">
        <f t="shared" si="3056"/>
        <v>2</v>
      </c>
      <c r="AH438" s="54">
        <f t="shared" si="3057"/>
        <v>4</v>
      </c>
      <c r="AI438" s="53">
        <f t="shared" si="3058"/>
        <v>2</v>
      </c>
      <c r="AJ438" s="54">
        <f t="shared" si="3059"/>
        <v>4</v>
      </c>
      <c r="AK438" s="53">
        <f t="shared" si="3060"/>
        <v>1</v>
      </c>
      <c r="AL438" s="54">
        <f t="shared" si="3061"/>
        <v>1</v>
      </c>
      <c r="AM438" s="53">
        <f t="shared" si="3062"/>
        <v>1</v>
      </c>
      <c r="AN438" s="54">
        <f t="shared" si="3063"/>
        <v>3</v>
      </c>
      <c r="AO438" s="53">
        <f t="shared" si="3064"/>
        <v>1</v>
      </c>
      <c r="AP438" s="54">
        <f t="shared" si="3065"/>
        <v>3</v>
      </c>
      <c r="AQ438" s="49">
        <f t="shared" ref="AQ438:AR438" si="3082">SUM(AG438,AI438,AK438,AM438,AO438)</f>
        <v>7</v>
      </c>
      <c r="AR438" s="50">
        <f t="shared" si="3082"/>
        <v>15</v>
      </c>
      <c r="AS438" s="53">
        <f t="shared" si="3067"/>
        <v>1</v>
      </c>
      <c r="AT438" s="54">
        <f t="shared" si="3068"/>
        <v>1</v>
      </c>
      <c r="AU438" s="53">
        <f t="shared" si="3069"/>
        <v>1</v>
      </c>
      <c r="AV438" s="54">
        <f t="shared" si="3070"/>
        <v>2</v>
      </c>
      <c r="AW438" s="53">
        <f t="shared" si="3071"/>
        <v>1</v>
      </c>
      <c r="AX438" s="54">
        <f t="shared" si="3072"/>
        <v>1</v>
      </c>
      <c r="AY438" s="53">
        <f t="shared" si="3073"/>
        <v>0</v>
      </c>
      <c r="AZ438" s="54">
        <f t="shared" si="3074"/>
        <v>0</v>
      </c>
      <c r="BA438" s="53">
        <f t="shared" si="3075"/>
        <v>1</v>
      </c>
      <c r="BB438" s="54">
        <f t="shared" si="3076"/>
        <v>2</v>
      </c>
      <c r="BC438" s="49">
        <f t="shared" ref="BC438:BD438" si="3083">SUM(AS438,AU438,AW438,AY438,BA438)</f>
        <v>4</v>
      </c>
      <c r="BD438" s="50">
        <f t="shared" si="3083"/>
        <v>6</v>
      </c>
      <c r="BE438" s="68">
        <f t="shared" ref="BE438:BF438" si="3084">SUM(E438,G438,I438,O438,Q438,AC438,AQ438,BC438)</f>
        <v>23</v>
      </c>
      <c r="BF438" s="69">
        <f t="shared" si="3084"/>
        <v>44</v>
      </c>
      <c r="BG438" s="46" t="str">
        <f>BF438*'ОВгП_РАО'!$B$4</f>
        <v>#REF!</v>
      </c>
      <c r="BH438" s="46" t="str">
        <f>'ОВгП_РАО'!$B$4</f>
        <v>#REF!</v>
      </c>
    </row>
    <row r="439" ht="15.75" customHeight="1">
      <c r="A439" s="80">
        <f t="shared" si="3079"/>
        <v>46273</v>
      </c>
      <c r="B439" s="45" t="s">
        <v>117</v>
      </c>
      <c r="C439" s="46" t="s">
        <v>96</v>
      </c>
      <c r="D439" s="47" t="s">
        <v>98</v>
      </c>
      <c r="E439" s="73">
        <f t="shared" si="3030"/>
        <v>1</v>
      </c>
      <c r="F439" s="50">
        <f t="shared" si="3031"/>
        <v>3</v>
      </c>
      <c r="G439" s="73">
        <f t="shared" si="3032"/>
        <v>1</v>
      </c>
      <c r="H439" s="50">
        <f t="shared" si="3033"/>
        <v>1</v>
      </c>
      <c r="I439" s="73">
        <f t="shared" si="3034"/>
        <v>1</v>
      </c>
      <c r="J439" s="50">
        <f t="shared" si="3035"/>
        <v>1</v>
      </c>
      <c r="K439" s="53">
        <f t="shared" si="3036"/>
        <v>2</v>
      </c>
      <c r="L439" s="54">
        <f t="shared" si="3037"/>
        <v>4</v>
      </c>
      <c r="M439" s="53">
        <f t="shared" si="3038"/>
        <v>1</v>
      </c>
      <c r="N439" s="54">
        <f t="shared" si="3039"/>
        <v>3</v>
      </c>
      <c r="O439" s="49">
        <f t="shared" ref="O439:P439" si="3085">SUM(K439,M439)</f>
        <v>3</v>
      </c>
      <c r="P439" s="50">
        <f t="shared" si="3085"/>
        <v>7</v>
      </c>
      <c r="Q439" s="73">
        <f t="shared" si="3041"/>
        <v>1</v>
      </c>
      <c r="R439" s="50">
        <f t="shared" si="3042"/>
        <v>3</v>
      </c>
      <c r="S439" s="53">
        <f t="shared" si="3043"/>
        <v>0</v>
      </c>
      <c r="T439" s="54">
        <f t="shared" si="3044"/>
        <v>0</v>
      </c>
      <c r="U439" s="53">
        <f t="shared" si="3045"/>
        <v>1</v>
      </c>
      <c r="V439" s="54">
        <f t="shared" si="3046"/>
        <v>3</v>
      </c>
      <c r="W439" s="53">
        <f t="shared" si="3047"/>
        <v>1</v>
      </c>
      <c r="X439" s="54">
        <f t="shared" si="3048"/>
        <v>1</v>
      </c>
      <c r="Y439" s="53">
        <f t="shared" si="3049"/>
        <v>1</v>
      </c>
      <c r="Z439" s="54">
        <f t="shared" si="3050"/>
        <v>3</v>
      </c>
      <c r="AA439" s="53">
        <f t="shared" si="3051"/>
        <v>2</v>
      </c>
      <c r="AB439" s="54">
        <f t="shared" si="3052"/>
        <v>4</v>
      </c>
      <c r="AC439" s="49">
        <f t="shared" ref="AC439:AD439" si="3086">SUM(S439,U439,W439,Y439,AA439)</f>
        <v>5</v>
      </c>
      <c r="AD439" s="50">
        <f t="shared" si="3086"/>
        <v>11</v>
      </c>
      <c r="AE439" s="53">
        <f t="shared" si="3054"/>
        <v>1</v>
      </c>
      <c r="AF439" s="54">
        <f t="shared" si="3055"/>
        <v>3</v>
      </c>
      <c r="AG439" s="53">
        <f t="shared" si="3056"/>
        <v>1</v>
      </c>
      <c r="AH439" s="54">
        <f t="shared" si="3057"/>
        <v>1</v>
      </c>
      <c r="AI439" s="53">
        <f t="shared" si="3058"/>
        <v>1</v>
      </c>
      <c r="AJ439" s="54">
        <f t="shared" si="3059"/>
        <v>2</v>
      </c>
      <c r="AK439" s="53">
        <f t="shared" si="3060"/>
        <v>0</v>
      </c>
      <c r="AL439" s="54">
        <f t="shared" si="3061"/>
        <v>0</v>
      </c>
      <c r="AM439" s="53">
        <f t="shared" si="3062"/>
        <v>0</v>
      </c>
      <c r="AN439" s="54">
        <f t="shared" si="3063"/>
        <v>0</v>
      </c>
      <c r="AO439" s="53">
        <f t="shared" si="3064"/>
        <v>2</v>
      </c>
      <c r="AP439" s="54">
        <f t="shared" si="3065"/>
        <v>4</v>
      </c>
      <c r="AQ439" s="49">
        <f t="shared" ref="AQ439:AR439" si="3087">SUM(AG439,AI439,AK439,AM439,AO439)</f>
        <v>4</v>
      </c>
      <c r="AR439" s="50">
        <f t="shared" si="3087"/>
        <v>7</v>
      </c>
      <c r="AS439" s="53">
        <f t="shared" si="3067"/>
        <v>1</v>
      </c>
      <c r="AT439" s="54">
        <f t="shared" si="3068"/>
        <v>3</v>
      </c>
      <c r="AU439" s="53">
        <f t="shared" si="3069"/>
        <v>2</v>
      </c>
      <c r="AV439" s="54">
        <f t="shared" si="3070"/>
        <v>4</v>
      </c>
      <c r="AW439" s="53">
        <f t="shared" si="3071"/>
        <v>1</v>
      </c>
      <c r="AX439" s="54">
        <f t="shared" si="3072"/>
        <v>2</v>
      </c>
      <c r="AY439" s="53">
        <f t="shared" si="3073"/>
        <v>2</v>
      </c>
      <c r="AZ439" s="54">
        <f t="shared" si="3074"/>
        <v>4</v>
      </c>
      <c r="BA439" s="53">
        <f t="shared" si="3075"/>
        <v>0</v>
      </c>
      <c r="BB439" s="54">
        <f t="shared" si="3076"/>
        <v>0</v>
      </c>
      <c r="BC439" s="49">
        <f t="shared" ref="BC439:BD439" si="3088">SUM(AS439,AU439,AW439,AY439,BA439)</f>
        <v>6</v>
      </c>
      <c r="BD439" s="50">
        <f t="shared" si="3088"/>
        <v>13</v>
      </c>
      <c r="BE439" s="68">
        <f t="shared" ref="BE439:BF439" si="3089">SUM(E439,G439,I439,O439,Q439,AC439,AQ439,BC439)</f>
        <v>22</v>
      </c>
      <c r="BF439" s="69">
        <f t="shared" si="3089"/>
        <v>46</v>
      </c>
      <c r="BG439" s="46" t="str">
        <f>BF439*'ОВгП_РАО'!$B$5</f>
        <v>#REF!</v>
      </c>
      <c r="BH439" s="46" t="str">
        <f>'ОВгП_РАО'!$B$5</f>
        <v>#REF!</v>
      </c>
    </row>
    <row r="440" ht="15.75" customHeight="1">
      <c r="A440" s="80">
        <f t="shared" si="3079"/>
        <v>46273</v>
      </c>
      <c r="B440" s="45" t="s">
        <v>118</v>
      </c>
      <c r="C440" s="45" t="s">
        <v>96</v>
      </c>
      <c r="D440" s="47" t="s">
        <v>98</v>
      </c>
      <c r="E440" s="73">
        <f t="shared" si="3030"/>
        <v>1</v>
      </c>
      <c r="F440" s="50">
        <f t="shared" si="3031"/>
        <v>3</v>
      </c>
      <c r="G440" s="73">
        <f t="shared" si="3032"/>
        <v>2</v>
      </c>
      <c r="H440" s="50">
        <f t="shared" si="3033"/>
        <v>4</v>
      </c>
      <c r="I440" s="73">
        <f t="shared" si="3034"/>
        <v>1</v>
      </c>
      <c r="J440" s="50">
        <f t="shared" si="3035"/>
        <v>1</v>
      </c>
      <c r="K440" s="53">
        <f t="shared" si="3036"/>
        <v>1</v>
      </c>
      <c r="L440" s="54">
        <f t="shared" si="3037"/>
        <v>1</v>
      </c>
      <c r="M440" s="53">
        <f t="shared" si="3038"/>
        <v>1</v>
      </c>
      <c r="N440" s="54">
        <f t="shared" si="3039"/>
        <v>3</v>
      </c>
      <c r="O440" s="49">
        <f t="shared" ref="O440:P440" si="3090">SUM(K440,M440)</f>
        <v>2</v>
      </c>
      <c r="P440" s="50">
        <f t="shared" si="3090"/>
        <v>4</v>
      </c>
      <c r="Q440" s="73">
        <f t="shared" si="3041"/>
        <v>1</v>
      </c>
      <c r="R440" s="50">
        <f t="shared" si="3042"/>
        <v>3</v>
      </c>
      <c r="S440" s="53">
        <f t="shared" si="3043"/>
        <v>1</v>
      </c>
      <c r="T440" s="54">
        <f t="shared" si="3044"/>
        <v>3</v>
      </c>
      <c r="U440" s="53">
        <f t="shared" si="3045"/>
        <v>1</v>
      </c>
      <c r="V440" s="54">
        <f t="shared" si="3046"/>
        <v>3</v>
      </c>
      <c r="W440" s="53">
        <f t="shared" si="3047"/>
        <v>2</v>
      </c>
      <c r="X440" s="54">
        <f t="shared" si="3048"/>
        <v>4</v>
      </c>
      <c r="Y440" s="53">
        <f t="shared" si="3049"/>
        <v>0</v>
      </c>
      <c r="Z440" s="54">
        <f t="shared" si="3050"/>
        <v>0</v>
      </c>
      <c r="AA440" s="53">
        <f t="shared" si="3051"/>
        <v>2</v>
      </c>
      <c r="AB440" s="54">
        <f t="shared" si="3052"/>
        <v>4</v>
      </c>
      <c r="AC440" s="49">
        <f t="shared" ref="AC440:AD440" si="3091">SUM(S440,U440,W440,Y440,AA440)</f>
        <v>6</v>
      </c>
      <c r="AD440" s="50">
        <f t="shared" si="3091"/>
        <v>14</v>
      </c>
      <c r="AE440" s="53">
        <f t="shared" si="3054"/>
        <v>1</v>
      </c>
      <c r="AF440" s="54">
        <f t="shared" si="3055"/>
        <v>3</v>
      </c>
      <c r="AG440" s="53">
        <f t="shared" si="3056"/>
        <v>1</v>
      </c>
      <c r="AH440" s="54">
        <f t="shared" si="3057"/>
        <v>1</v>
      </c>
      <c r="AI440" s="53">
        <f t="shared" si="3058"/>
        <v>1</v>
      </c>
      <c r="AJ440" s="54">
        <f t="shared" si="3059"/>
        <v>3</v>
      </c>
      <c r="AK440" s="53">
        <f t="shared" si="3060"/>
        <v>2</v>
      </c>
      <c r="AL440" s="54">
        <f t="shared" si="3061"/>
        <v>4</v>
      </c>
      <c r="AM440" s="53">
        <f t="shared" si="3062"/>
        <v>2</v>
      </c>
      <c r="AN440" s="54">
        <f t="shared" si="3063"/>
        <v>4</v>
      </c>
      <c r="AO440" s="53">
        <f t="shared" si="3064"/>
        <v>0</v>
      </c>
      <c r="AP440" s="54">
        <f t="shared" si="3065"/>
        <v>0</v>
      </c>
      <c r="AQ440" s="49">
        <f t="shared" ref="AQ440:AR440" si="3092">SUM(AG440,AI440,AK440,AM440,AO440)</f>
        <v>6</v>
      </c>
      <c r="AR440" s="50">
        <f t="shared" si="3092"/>
        <v>12</v>
      </c>
      <c r="AS440" s="53">
        <f t="shared" si="3067"/>
        <v>1</v>
      </c>
      <c r="AT440" s="54">
        <f t="shared" si="3068"/>
        <v>3</v>
      </c>
      <c r="AU440" s="53">
        <f t="shared" si="3069"/>
        <v>2</v>
      </c>
      <c r="AV440" s="54">
        <f t="shared" si="3070"/>
        <v>4</v>
      </c>
      <c r="AW440" s="53">
        <f t="shared" si="3071"/>
        <v>1</v>
      </c>
      <c r="AX440" s="54">
        <f t="shared" si="3072"/>
        <v>1</v>
      </c>
      <c r="AY440" s="53">
        <f t="shared" si="3073"/>
        <v>1</v>
      </c>
      <c r="AZ440" s="54">
        <f t="shared" si="3074"/>
        <v>3</v>
      </c>
      <c r="BA440" s="53">
        <f t="shared" si="3075"/>
        <v>1</v>
      </c>
      <c r="BB440" s="54">
        <f t="shared" si="3076"/>
        <v>3</v>
      </c>
      <c r="BC440" s="49">
        <f t="shared" ref="BC440:BD440" si="3093">SUM(AS440,AU440,AW440,AY440,BA440)</f>
        <v>6</v>
      </c>
      <c r="BD440" s="50">
        <f t="shared" si="3093"/>
        <v>14</v>
      </c>
      <c r="BE440" s="68">
        <f t="shared" ref="BE440:BF440" si="3094">SUM(E440,G440,I440,O440,Q440,AC440,AQ440,BC440)</f>
        <v>25</v>
      </c>
      <c r="BF440" s="69">
        <f t="shared" si="3094"/>
        <v>55</v>
      </c>
      <c r="BG440" s="46" t="str">
        <f>BF440*'ОВгП_РАО'!$B$6</f>
        <v>#REF!</v>
      </c>
      <c r="BH440" s="46" t="str">
        <f>'ОВгП_РАО'!$B$6</f>
        <v>#REF!</v>
      </c>
    </row>
    <row r="441" ht="15.75" customHeight="1">
      <c r="A441" s="80">
        <f t="shared" si="3079"/>
        <v>46273</v>
      </c>
      <c r="B441" s="46" t="s">
        <v>119</v>
      </c>
      <c r="C441" s="45" t="s">
        <v>96</v>
      </c>
      <c r="D441" s="47" t="s">
        <v>120</v>
      </c>
      <c r="E441" s="73">
        <f t="shared" si="3030"/>
        <v>1</v>
      </c>
      <c r="F441" s="50">
        <f t="shared" si="3031"/>
        <v>3</v>
      </c>
      <c r="G441" s="73">
        <f t="shared" si="3032"/>
        <v>2</v>
      </c>
      <c r="H441" s="50">
        <f t="shared" si="3033"/>
        <v>4</v>
      </c>
      <c r="I441" s="73">
        <f t="shared" si="3034"/>
        <v>1</v>
      </c>
      <c r="J441" s="50">
        <f t="shared" si="3035"/>
        <v>2</v>
      </c>
      <c r="K441" s="53">
        <f t="shared" si="3036"/>
        <v>1</v>
      </c>
      <c r="L441" s="54">
        <f t="shared" si="3037"/>
        <v>1</v>
      </c>
      <c r="M441" s="53">
        <f t="shared" si="3038"/>
        <v>2</v>
      </c>
      <c r="N441" s="54">
        <f t="shared" si="3039"/>
        <v>4</v>
      </c>
      <c r="O441" s="49">
        <f t="shared" ref="O441:P441" si="3095">SUM(K441,M441)</f>
        <v>3</v>
      </c>
      <c r="P441" s="50">
        <f t="shared" si="3095"/>
        <v>5</v>
      </c>
      <c r="Q441" s="73">
        <f t="shared" si="3041"/>
        <v>1</v>
      </c>
      <c r="R441" s="50">
        <f t="shared" si="3042"/>
        <v>1</v>
      </c>
      <c r="S441" s="53">
        <f t="shared" si="3043"/>
        <v>1</v>
      </c>
      <c r="T441" s="54">
        <f t="shared" si="3044"/>
        <v>1</v>
      </c>
      <c r="U441" s="53">
        <f t="shared" si="3045"/>
        <v>1</v>
      </c>
      <c r="V441" s="54">
        <f t="shared" si="3046"/>
        <v>1</v>
      </c>
      <c r="W441" s="53">
        <f t="shared" si="3047"/>
        <v>1</v>
      </c>
      <c r="X441" s="54">
        <f t="shared" si="3048"/>
        <v>3</v>
      </c>
      <c r="Y441" s="53">
        <f t="shared" si="3049"/>
        <v>2</v>
      </c>
      <c r="Z441" s="54">
        <f t="shared" si="3050"/>
        <v>4</v>
      </c>
      <c r="AA441" s="53">
        <f t="shared" si="3051"/>
        <v>1</v>
      </c>
      <c r="AB441" s="54">
        <f t="shared" si="3052"/>
        <v>2</v>
      </c>
      <c r="AC441" s="49">
        <f t="shared" ref="AC441:AD441" si="3096">SUM(S441,U441,W441,Y441,AA441)</f>
        <v>6</v>
      </c>
      <c r="AD441" s="50">
        <f t="shared" si="3096"/>
        <v>11</v>
      </c>
      <c r="AE441" s="53">
        <f t="shared" si="3054"/>
        <v>2</v>
      </c>
      <c r="AF441" s="54">
        <f t="shared" si="3055"/>
        <v>4</v>
      </c>
      <c r="AG441" s="53">
        <f t="shared" si="3056"/>
        <v>1</v>
      </c>
      <c r="AH441" s="54">
        <f t="shared" si="3057"/>
        <v>3</v>
      </c>
      <c r="AI441" s="53">
        <f t="shared" si="3058"/>
        <v>1</v>
      </c>
      <c r="AJ441" s="54">
        <f t="shared" si="3059"/>
        <v>3</v>
      </c>
      <c r="AK441" s="53">
        <f t="shared" si="3060"/>
        <v>1</v>
      </c>
      <c r="AL441" s="54">
        <f t="shared" si="3061"/>
        <v>2</v>
      </c>
      <c r="AM441" s="53">
        <f t="shared" si="3062"/>
        <v>1</v>
      </c>
      <c r="AN441" s="54">
        <f t="shared" si="3063"/>
        <v>2</v>
      </c>
      <c r="AO441" s="53">
        <f t="shared" si="3064"/>
        <v>2</v>
      </c>
      <c r="AP441" s="54">
        <f t="shared" si="3065"/>
        <v>4</v>
      </c>
      <c r="AQ441" s="49">
        <f t="shared" ref="AQ441:AR441" si="3097">SUM(AG441,AI441,AK441,AM441,AO441)</f>
        <v>6</v>
      </c>
      <c r="AR441" s="50">
        <f t="shared" si="3097"/>
        <v>14</v>
      </c>
      <c r="AS441" s="53">
        <f t="shared" si="3067"/>
        <v>1</v>
      </c>
      <c r="AT441" s="54">
        <f t="shared" si="3068"/>
        <v>1</v>
      </c>
      <c r="AU441" s="53">
        <f t="shared" si="3069"/>
        <v>1</v>
      </c>
      <c r="AV441" s="54">
        <f t="shared" si="3070"/>
        <v>3</v>
      </c>
      <c r="AW441" s="53">
        <f t="shared" si="3071"/>
        <v>1</v>
      </c>
      <c r="AX441" s="54">
        <f t="shared" si="3072"/>
        <v>1</v>
      </c>
      <c r="AY441" s="53">
        <f t="shared" si="3073"/>
        <v>2</v>
      </c>
      <c r="AZ441" s="54">
        <f t="shared" si="3074"/>
        <v>4</v>
      </c>
      <c r="BA441" s="53">
        <f t="shared" si="3075"/>
        <v>0</v>
      </c>
      <c r="BB441" s="54">
        <f t="shared" si="3076"/>
        <v>0</v>
      </c>
      <c r="BC441" s="49">
        <f t="shared" ref="BC441:BD441" si="3098">SUM(AS441,AU441,AW441,AY441,BA441)</f>
        <v>5</v>
      </c>
      <c r="BD441" s="50">
        <f t="shared" si="3098"/>
        <v>9</v>
      </c>
      <c r="BE441" s="68">
        <f t="shared" ref="BE441:BF441" si="3099">SUM(E441,G441,I441,O441,Q441,AC441,AQ441,BC441)</f>
        <v>25</v>
      </c>
      <c r="BF441" s="69">
        <f t="shared" si="3099"/>
        <v>49</v>
      </c>
      <c r="BG441" s="46" t="str">
        <f>BF441*'ОВгП_РАО'!$B$7</f>
        <v>#REF!</v>
      </c>
      <c r="BH441" s="46" t="str">
        <f>'ОВгП_РАО'!$B$7</f>
        <v>#REF!</v>
      </c>
    </row>
    <row r="442" ht="15.75" customHeight="1">
      <c r="A442" s="80">
        <f t="shared" si="3079"/>
        <v>46273</v>
      </c>
      <c r="B442" s="45" t="s">
        <v>121</v>
      </c>
      <c r="C442" s="47" t="s">
        <v>122</v>
      </c>
      <c r="D442" s="47" t="s">
        <v>123</v>
      </c>
      <c r="E442" s="73">
        <f t="shared" si="3030"/>
        <v>0</v>
      </c>
      <c r="F442" s="50">
        <f t="shared" si="3031"/>
        <v>0</v>
      </c>
      <c r="G442" s="73">
        <f t="shared" si="3032"/>
        <v>2</v>
      </c>
      <c r="H442" s="50">
        <f t="shared" si="3033"/>
        <v>4</v>
      </c>
      <c r="I442" s="73">
        <f t="shared" si="3034"/>
        <v>2</v>
      </c>
      <c r="J442" s="50">
        <f t="shared" si="3035"/>
        <v>4</v>
      </c>
      <c r="K442" s="53">
        <f t="shared" si="3036"/>
        <v>1</v>
      </c>
      <c r="L442" s="54">
        <f t="shared" si="3037"/>
        <v>2</v>
      </c>
      <c r="M442" s="53">
        <f t="shared" si="3038"/>
        <v>2</v>
      </c>
      <c r="N442" s="54">
        <f t="shared" si="3039"/>
        <v>4</v>
      </c>
      <c r="O442" s="49">
        <f t="shared" ref="O442:P442" si="3100">SUM(K442,M442)</f>
        <v>3</v>
      </c>
      <c r="P442" s="50">
        <f t="shared" si="3100"/>
        <v>6</v>
      </c>
      <c r="Q442" s="73">
        <f t="shared" si="3041"/>
        <v>1</v>
      </c>
      <c r="R442" s="50">
        <f t="shared" si="3042"/>
        <v>3</v>
      </c>
      <c r="S442" s="53">
        <f t="shared" si="3043"/>
        <v>0</v>
      </c>
      <c r="T442" s="54">
        <f t="shared" si="3044"/>
        <v>0</v>
      </c>
      <c r="U442" s="53">
        <f t="shared" si="3045"/>
        <v>1</v>
      </c>
      <c r="V442" s="54">
        <f t="shared" si="3046"/>
        <v>1</v>
      </c>
      <c r="W442" s="53">
        <f t="shared" si="3047"/>
        <v>0</v>
      </c>
      <c r="X442" s="54">
        <f t="shared" si="3048"/>
        <v>0</v>
      </c>
      <c r="Y442" s="53">
        <f t="shared" si="3049"/>
        <v>2</v>
      </c>
      <c r="Z442" s="54">
        <f t="shared" si="3050"/>
        <v>4</v>
      </c>
      <c r="AA442" s="53">
        <f t="shared" si="3051"/>
        <v>0</v>
      </c>
      <c r="AB442" s="54">
        <f t="shared" si="3052"/>
        <v>0</v>
      </c>
      <c r="AC442" s="49">
        <f t="shared" ref="AC442:AD442" si="3101">SUM(S442,U442,W442,Y442,AA442)</f>
        <v>3</v>
      </c>
      <c r="AD442" s="50">
        <f t="shared" si="3101"/>
        <v>5</v>
      </c>
      <c r="AE442" s="53">
        <f t="shared" si="3054"/>
        <v>0</v>
      </c>
      <c r="AF442" s="54">
        <f t="shared" si="3055"/>
        <v>0</v>
      </c>
      <c r="AG442" s="53">
        <f t="shared" si="3056"/>
        <v>0</v>
      </c>
      <c r="AH442" s="54">
        <f t="shared" si="3057"/>
        <v>0</v>
      </c>
      <c r="AI442" s="53">
        <f t="shared" si="3058"/>
        <v>1</v>
      </c>
      <c r="AJ442" s="54">
        <f t="shared" si="3059"/>
        <v>3</v>
      </c>
      <c r="AK442" s="53">
        <f t="shared" si="3060"/>
        <v>0</v>
      </c>
      <c r="AL442" s="54">
        <f t="shared" si="3061"/>
        <v>0</v>
      </c>
      <c r="AM442" s="53">
        <f t="shared" si="3062"/>
        <v>1</v>
      </c>
      <c r="AN442" s="54">
        <f t="shared" si="3063"/>
        <v>2</v>
      </c>
      <c r="AO442" s="53">
        <f t="shared" si="3064"/>
        <v>2</v>
      </c>
      <c r="AP442" s="54">
        <f t="shared" si="3065"/>
        <v>4</v>
      </c>
      <c r="AQ442" s="49">
        <f t="shared" ref="AQ442:AR442" si="3102">SUM(AG442,AI442,AK442,AM442,AO442)</f>
        <v>4</v>
      </c>
      <c r="AR442" s="50">
        <f t="shared" si="3102"/>
        <v>9</v>
      </c>
      <c r="AS442" s="53">
        <f t="shared" si="3067"/>
        <v>1</v>
      </c>
      <c r="AT442" s="54">
        <f t="shared" si="3068"/>
        <v>3</v>
      </c>
      <c r="AU442" s="53">
        <f t="shared" si="3069"/>
        <v>1</v>
      </c>
      <c r="AV442" s="54">
        <f t="shared" si="3070"/>
        <v>2</v>
      </c>
      <c r="AW442" s="53">
        <f t="shared" si="3071"/>
        <v>2</v>
      </c>
      <c r="AX442" s="54">
        <f t="shared" si="3072"/>
        <v>4</v>
      </c>
      <c r="AY442" s="53">
        <f t="shared" si="3073"/>
        <v>1</v>
      </c>
      <c r="AZ442" s="54">
        <f t="shared" si="3074"/>
        <v>1</v>
      </c>
      <c r="BA442" s="53">
        <f t="shared" si="3075"/>
        <v>1</v>
      </c>
      <c r="BB442" s="54">
        <f t="shared" si="3076"/>
        <v>3</v>
      </c>
      <c r="BC442" s="49">
        <f t="shared" ref="BC442:BD442" si="3103">SUM(AS442,AU442,AW442,AY442,BA442)</f>
        <v>6</v>
      </c>
      <c r="BD442" s="50">
        <f t="shared" si="3103"/>
        <v>13</v>
      </c>
      <c r="BE442" s="68">
        <f t="shared" ref="BE442:BF442" si="3104">SUM(E442,G442,I442,O442,Q442,AC442,AQ442,BC442)</f>
        <v>21</v>
      </c>
      <c r="BF442" s="69">
        <f t="shared" si="3104"/>
        <v>44</v>
      </c>
      <c r="BG442" s="46" t="str">
        <f>BF442*'ОВгП_РАО'!$B$8</f>
        <v>#REF!</v>
      </c>
      <c r="BH442" s="46" t="str">
        <f>'ОВгП_РАО'!$B$8</f>
        <v>#REF!</v>
      </c>
    </row>
    <row r="443" ht="15.75" customHeight="1">
      <c r="A443" s="80">
        <f t="shared" si="3079"/>
        <v>46273</v>
      </c>
      <c r="B443" s="46" t="s">
        <v>124</v>
      </c>
      <c r="C443" s="46" t="s">
        <v>125</v>
      </c>
      <c r="D443" s="46" t="s">
        <v>126</v>
      </c>
      <c r="E443" s="73">
        <f t="shared" si="3030"/>
        <v>1</v>
      </c>
      <c r="F443" s="50">
        <f t="shared" si="3031"/>
        <v>3</v>
      </c>
      <c r="G443" s="73">
        <f t="shared" si="3032"/>
        <v>1</v>
      </c>
      <c r="H443" s="50">
        <f t="shared" si="3033"/>
        <v>1</v>
      </c>
      <c r="I443" s="73">
        <f t="shared" si="3034"/>
        <v>0</v>
      </c>
      <c r="J443" s="50">
        <f t="shared" si="3035"/>
        <v>0</v>
      </c>
      <c r="K443" s="53">
        <f t="shared" si="3036"/>
        <v>0</v>
      </c>
      <c r="L443" s="54">
        <f t="shared" si="3037"/>
        <v>0</v>
      </c>
      <c r="M443" s="53">
        <f t="shared" si="3038"/>
        <v>1</v>
      </c>
      <c r="N443" s="54">
        <f t="shared" si="3039"/>
        <v>3</v>
      </c>
      <c r="O443" s="49">
        <f t="shared" ref="O443:P443" si="3105">SUM(K443,M443)</f>
        <v>1</v>
      </c>
      <c r="P443" s="50">
        <f t="shared" si="3105"/>
        <v>3</v>
      </c>
      <c r="Q443" s="73">
        <f t="shared" si="3041"/>
        <v>1</v>
      </c>
      <c r="R443" s="50">
        <f t="shared" si="3042"/>
        <v>1</v>
      </c>
      <c r="S443" s="53">
        <f t="shared" si="3043"/>
        <v>1</v>
      </c>
      <c r="T443" s="54">
        <f t="shared" si="3044"/>
        <v>1</v>
      </c>
      <c r="U443" s="53">
        <f t="shared" si="3045"/>
        <v>2</v>
      </c>
      <c r="V443" s="54">
        <f t="shared" si="3046"/>
        <v>4</v>
      </c>
      <c r="W443" s="53">
        <f t="shared" si="3047"/>
        <v>1</v>
      </c>
      <c r="X443" s="54">
        <f t="shared" si="3048"/>
        <v>3</v>
      </c>
      <c r="Y443" s="53">
        <f t="shared" si="3049"/>
        <v>2</v>
      </c>
      <c r="Z443" s="54">
        <f t="shared" si="3050"/>
        <v>4</v>
      </c>
      <c r="AA443" s="53">
        <f t="shared" si="3051"/>
        <v>1</v>
      </c>
      <c r="AB443" s="54">
        <f t="shared" si="3052"/>
        <v>2</v>
      </c>
      <c r="AC443" s="49">
        <f t="shared" ref="AC443:AD443" si="3106">SUM(S443,U443,W443,Y443,AA443)</f>
        <v>7</v>
      </c>
      <c r="AD443" s="50">
        <f t="shared" si="3106"/>
        <v>14</v>
      </c>
      <c r="AE443" s="53">
        <f t="shared" si="3054"/>
        <v>1</v>
      </c>
      <c r="AF443" s="54">
        <f t="shared" si="3055"/>
        <v>1</v>
      </c>
      <c r="AG443" s="53">
        <f t="shared" si="3056"/>
        <v>2</v>
      </c>
      <c r="AH443" s="54">
        <f t="shared" si="3057"/>
        <v>4</v>
      </c>
      <c r="AI443" s="53">
        <f t="shared" si="3058"/>
        <v>1</v>
      </c>
      <c r="AJ443" s="54">
        <f t="shared" si="3059"/>
        <v>3</v>
      </c>
      <c r="AK443" s="53">
        <f t="shared" si="3060"/>
        <v>1</v>
      </c>
      <c r="AL443" s="54">
        <f t="shared" si="3061"/>
        <v>2</v>
      </c>
      <c r="AM443" s="53">
        <f t="shared" si="3062"/>
        <v>1</v>
      </c>
      <c r="AN443" s="54">
        <f t="shared" si="3063"/>
        <v>3</v>
      </c>
      <c r="AO443" s="53">
        <f t="shared" si="3064"/>
        <v>1</v>
      </c>
      <c r="AP443" s="54">
        <f t="shared" si="3065"/>
        <v>1</v>
      </c>
      <c r="AQ443" s="49">
        <f t="shared" ref="AQ443:AR443" si="3107">SUM(AG443,AI443,AK443,AM443,AO443)</f>
        <v>6</v>
      </c>
      <c r="AR443" s="50">
        <f t="shared" si="3107"/>
        <v>13</v>
      </c>
      <c r="AS443" s="53">
        <f t="shared" si="3067"/>
        <v>2</v>
      </c>
      <c r="AT443" s="54">
        <f t="shared" si="3068"/>
        <v>4</v>
      </c>
      <c r="AU443" s="53">
        <f t="shared" si="3069"/>
        <v>0</v>
      </c>
      <c r="AV443" s="54">
        <f t="shared" si="3070"/>
        <v>0</v>
      </c>
      <c r="AW443" s="53">
        <f t="shared" si="3071"/>
        <v>1</v>
      </c>
      <c r="AX443" s="54">
        <f t="shared" si="3072"/>
        <v>1</v>
      </c>
      <c r="AY443" s="53">
        <f t="shared" si="3073"/>
        <v>0</v>
      </c>
      <c r="AZ443" s="54">
        <f t="shared" si="3074"/>
        <v>0</v>
      </c>
      <c r="BA443" s="53">
        <f t="shared" si="3075"/>
        <v>2</v>
      </c>
      <c r="BB443" s="54">
        <f t="shared" si="3076"/>
        <v>4</v>
      </c>
      <c r="BC443" s="49">
        <f t="shared" ref="BC443:BD443" si="3108">SUM(AS443,AU443,AW443,AY443,BA443)</f>
        <v>5</v>
      </c>
      <c r="BD443" s="50">
        <f t="shared" si="3108"/>
        <v>9</v>
      </c>
      <c r="BE443" s="68">
        <f t="shared" ref="BE443:BF443" si="3109">SUM(E443,G443,I443,O443,Q443,AC443,AQ443,BC443)</f>
        <v>22</v>
      </c>
      <c r="BF443" s="69">
        <f t="shared" si="3109"/>
        <v>44</v>
      </c>
      <c r="BG443" s="46" t="str">
        <f>BF443*'ОВгП_РАО'!$B$9</f>
        <v>#REF!</v>
      </c>
      <c r="BH443" s="46" t="str">
        <f>'ОВгП_РАО'!$B$9</f>
        <v>#REF!</v>
      </c>
    </row>
    <row r="444" ht="15.75" customHeight="1">
      <c r="A444" s="80">
        <f t="shared" si="3079"/>
        <v>46273</v>
      </c>
      <c r="B444" s="46" t="s">
        <v>127</v>
      </c>
      <c r="C444" s="46" t="s">
        <v>125</v>
      </c>
      <c r="D444" s="46" t="s">
        <v>126</v>
      </c>
      <c r="E444" s="73">
        <f t="shared" si="3030"/>
        <v>1</v>
      </c>
      <c r="F444" s="50">
        <f t="shared" si="3031"/>
        <v>2</v>
      </c>
      <c r="G444" s="73">
        <f t="shared" si="3032"/>
        <v>1</v>
      </c>
      <c r="H444" s="50">
        <f t="shared" si="3033"/>
        <v>2</v>
      </c>
      <c r="I444" s="73">
        <f t="shared" si="3034"/>
        <v>1</v>
      </c>
      <c r="J444" s="50">
        <f t="shared" si="3035"/>
        <v>3</v>
      </c>
      <c r="K444" s="53">
        <f t="shared" si="3036"/>
        <v>1</v>
      </c>
      <c r="L444" s="54">
        <f t="shared" si="3037"/>
        <v>3</v>
      </c>
      <c r="M444" s="53">
        <f t="shared" si="3038"/>
        <v>2</v>
      </c>
      <c r="N444" s="54">
        <f t="shared" si="3039"/>
        <v>4</v>
      </c>
      <c r="O444" s="49">
        <f t="shared" ref="O444:P444" si="3110">SUM(K444,M444)</f>
        <v>3</v>
      </c>
      <c r="P444" s="50">
        <f t="shared" si="3110"/>
        <v>7</v>
      </c>
      <c r="Q444" s="73">
        <f t="shared" si="3041"/>
        <v>0</v>
      </c>
      <c r="R444" s="50">
        <f t="shared" si="3042"/>
        <v>0</v>
      </c>
      <c r="S444" s="53">
        <f t="shared" si="3043"/>
        <v>1</v>
      </c>
      <c r="T444" s="54">
        <f t="shared" si="3044"/>
        <v>1</v>
      </c>
      <c r="U444" s="53">
        <f t="shared" si="3045"/>
        <v>0</v>
      </c>
      <c r="V444" s="54">
        <f t="shared" si="3046"/>
        <v>0</v>
      </c>
      <c r="W444" s="53">
        <f t="shared" si="3047"/>
        <v>1</v>
      </c>
      <c r="X444" s="54">
        <f t="shared" si="3048"/>
        <v>1</v>
      </c>
      <c r="Y444" s="53">
        <f t="shared" si="3049"/>
        <v>0</v>
      </c>
      <c r="Z444" s="54">
        <f t="shared" si="3050"/>
        <v>0</v>
      </c>
      <c r="AA444" s="53">
        <f t="shared" si="3051"/>
        <v>1</v>
      </c>
      <c r="AB444" s="54">
        <f t="shared" si="3052"/>
        <v>1</v>
      </c>
      <c r="AC444" s="49">
        <f t="shared" ref="AC444:AD444" si="3111">SUM(S444,U444,W444,Y444,AA444)</f>
        <v>3</v>
      </c>
      <c r="AD444" s="50">
        <f t="shared" si="3111"/>
        <v>3</v>
      </c>
      <c r="AE444" s="53">
        <f t="shared" si="3054"/>
        <v>2</v>
      </c>
      <c r="AF444" s="54">
        <f t="shared" si="3055"/>
        <v>4</v>
      </c>
      <c r="AG444" s="53">
        <f t="shared" si="3056"/>
        <v>0</v>
      </c>
      <c r="AH444" s="54">
        <f t="shared" si="3057"/>
        <v>0</v>
      </c>
      <c r="AI444" s="53">
        <f t="shared" si="3058"/>
        <v>1</v>
      </c>
      <c r="AJ444" s="54">
        <f t="shared" si="3059"/>
        <v>3</v>
      </c>
      <c r="AK444" s="53">
        <f t="shared" si="3060"/>
        <v>2</v>
      </c>
      <c r="AL444" s="54">
        <f t="shared" si="3061"/>
        <v>4</v>
      </c>
      <c r="AM444" s="53">
        <f t="shared" si="3062"/>
        <v>2</v>
      </c>
      <c r="AN444" s="54">
        <f t="shared" si="3063"/>
        <v>4</v>
      </c>
      <c r="AO444" s="53">
        <f t="shared" si="3064"/>
        <v>1</v>
      </c>
      <c r="AP444" s="54">
        <f t="shared" si="3065"/>
        <v>2</v>
      </c>
      <c r="AQ444" s="49">
        <f t="shared" ref="AQ444:AR444" si="3112">SUM(AG444,AI444,AK444,AM444,AO444)</f>
        <v>6</v>
      </c>
      <c r="AR444" s="50">
        <f t="shared" si="3112"/>
        <v>13</v>
      </c>
      <c r="AS444" s="53">
        <f t="shared" si="3067"/>
        <v>1</v>
      </c>
      <c r="AT444" s="54">
        <f t="shared" si="3068"/>
        <v>2</v>
      </c>
      <c r="AU444" s="53">
        <f t="shared" si="3069"/>
        <v>0</v>
      </c>
      <c r="AV444" s="54">
        <f t="shared" si="3070"/>
        <v>0</v>
      </c>
      <c r="AW444" s="53">
        <f t="shared" si="3071"/>
        <v>1</v>
      </c>
      <c r="AX444" s="54">
        <f t="shared" si="3072"/>
        <v>3</v>
      </c>
      <c r="AY444" s="53">
        <f t="shared" si="3073"/>
        <v>0</v>
      </c>
      <c r="AZ444" s="54">
        <f t="shared" si="3074"/>
        <v>0</v>
      </c>
      <c r="BA444" s="53">
        <f t="shared" si="3075"/>
        <v>1</v>
      </c>
      <c r="BB444" s="54">
        <f t="shared" si="3076"/>
        <v>1</v>
      </c>
      <c r="BC444" s="49">
        <f t="shared" ref="BC444:BD444" si="3113">SUM(AS444,AU444,AW444,AY444,BA444)</f>
        <v>3</v>
      </c>
      <c r="BD444" s="50">
        <f t="shared" si="3113"/>
        <v>6</v>
      </c>
      <c r="BE444" s="68">
        <f t="shared" ref="BE444:BF444" si="3114">SUM(E444,G444,I444,O444,Q444,AC444,AQ444,BC444)</f>
        <v>18</v>
      </c>
      <c r="BF444" s="69">
        <f t="shared" si="3114"/>
        <v>36</v>
      </c>
      <c r="BG444" s="46" t="str">
        <f>BF444*'ОВгП_РАО'!$B$10</f>
        <v>#REF!</v>
      </c>
      <c r="BH444" s="46" t="str">
        <f>'ОВгП_РАО'!$B$10</f>
        <v>#REF!</v>
      </c>
    </row>
    <row r="445" ht="15.75" customHeight="1">
      <c r="A445" s="80">
        <f t="shared" si="3079"/>
        <v>46273</v>
      </c>
      <c r="B445" s="46" t="s">
        <v>128</v>
      </c>
      <c r="C445" s="46" t="s">
        <v>125</v>
      </c>
      <c r="D445" s="46" t="s">
        <v>126</v>
      </c>
      <c r="E445" s="73">
        <f t="shared" si="3030"/>
        <v>1</v>
      </c>
      <c r="F445" s="50">
        <f t="shared" si="3031"/>
        <v>3</v>
      </c>
      <c r="G445" s="73">
        <f t="shared" si="3032"/>
        <v>1</v>
      </c>
      <c r="H445" s="50">
        <f t="shared" si="3033"/>
        <v>1</v>
      </c>
      <c r="I445" s="73">
        <f t="shared" si="3034"/>
        <v>2</v>
      </c>
      <c r="J445" s="50">
        <f t="shared" si="3035"/>
        <v>4</v>
      </c>
      <c r="K445" s="53">
        <f t="shared" si="3036"/>
        <v>1</v>
      </c>
      <c r="L445" s="54">
        <f t="shared" si="3037"/>
        <v>3</v>
      </c>
      <c r="M445" s="53">
        <f t="shared" si="3038"/>
        <v>1</v>
      </c>
      <c r="N445" s="54">
        <f t="shared" si="3039"/>
        <v>2</v>
      </c>
      <c r="O445" s="49">
        <f t="shared" ref="O445:P445" si="3115">SUM(K445,M445)</f>
        <v>2</v>
      </c>
      <c r="P445" s="50">
        <f t="shared" si="3115"/>
        <v>5</v>
      </c>
      <c r="Q445" s="73">
        <f t="shared" si="3041"/>
        <v>2</v>
      </c>
      <c r="R445" s="50">
        <f t="shared" si="3042"/>
        <v>4</v>
      </c>
      <c r="S445" s="53">
        <f t="shared" si="3043"/>
        <v>1</v>
      </c>
      <c r="T445" s="54">
        <f t="shared" si="3044"/>
        <v>2</v>
      </c>
      <c r="U445" s="53">
        <f t="shared" si="3045"/>
        <v>1</v>
      </c>
      <c r="V445" s="54">
        <f t="shared" si="3046"/>
        <v>1</v>
      </c>
      <c r="W445" s="53">
        <f t="shared" si="3047"/>
        <v>0</v>
      </c>
      <c r="X445" s="54">
        <f t="shared" si="3048"/>
        <v>0</v>
      </c>
      <c r="Y445" s="53">
        <f t="shared" si="3049"/>
        <v>0</v>
      </c>
      <c r="Z445" s="54">
        <f t="shared" si="3050"/>
        <v>0</v>
      </c>
      <c r="AA445" s="53">
        <f t="shared" si="3051"/>
        <v>1</v>
      </c>
      <c r="AB445" s="54">
        <f t="shared" si="3052"/>
        <v>1</v>
      </c>
      <c r="AC445" s="49">
        <f t="shared" ref="AC445:AD445" si="3116">SUM(S445,U445,W445,Y445,AA445)</f>
        <v>3</v>
      </c>
      <c r="AD445" s="50">
        <f t="shared" si="3116"/>
        <v>4</v>
      </c>
      <c r="AE445" s="53">
        <f t="shared" si="3054"/>
        <v>2</v>
      </c>
      <c r="AF445" s="54">
        <f t="shared" si="3055"/>
        <v>4</v>
      </c>
      <c r="AG445" s="53">
        <f t="shared" si="3056"/>
        <v>1</v>
      </c>
      <c r="AH445" s="54">
        <f t="shared" si="3057"/>
        <v>1</v>
      </c>
      <c r="AI445" s="53">
        <f t="shared" si="3058"/>
        <v>0</v>
      </c>
      <c r="AJ445" s="54">
        <f t="shared" si="3059"/>
        <v>0</v>
      </c>
      <c r="AK445" s="53">
        <f t="shared" si="3060"/>
        <v>2</v>
      </c>
      <c r="AL445" s="54">
        <f t="shared" si="3061"/>
        <v>4</v>
      </c>
      <c r="AM445" s="53">
        <f t="shared" si="3062"/>
        <v>1</v>
      </c>
      <c r="AN445" s="54">
        <f t="shared" si="3063"/>
        <v>3</v>
      </c>
      <c r="AO445" s="53">
        <f t="shared" si="3064"/>
        <v>2</v>
      </c>
      <c r="AP445" s="54">
        <f t="shared" si="3065"/>
        <v>4</v>
      </c>
      <c r="AQ445" s="49">
        <f t="shared" ref="AQ445:AR445" si="3117">SUM(AG445,AI445,AK445,AM445,AO445)</f>
        <v>6</v>
      </c>
      <c r="AR445" s="50">
        <f t="shared" si="3117"/>
        <v>12</v>
      </c>
      <c r="AS445" s="53">
        <f t="shared" si="3067"/>
        <v>1</v>
      </c>
      <c r="AT445" s="54">
        <f t="shared" si="3068"/>
        <v>2</v>
      </c>
      <c r="AU445" s="53">
        <f t="shared" si="3069"/>
        <v>0</v>
      </c>
      <c r="AV445" s="54">
        <f t="shared" si="3070"/>
        <v>0</v>
      </c>
      <c r="AW445" s="53">
        <f t="shared" si="3071"/>
        <v>1</v>
      </c>
      <c r="AX445" s="54">
        <f t="shared" si="3072"/>
        <v>2</v>
      </c>
      <c r="AY445" s="53">
        <f t="shared" si="3073"/>
        <v>2</v>
      </c>
      <c r="AZ445" s="54">
        <f t="shared" si="3074"/>
        <v>4</v>
      </c>
      <c r="BA445" s="53">
        <f t="shared" si="3075"/>
        <v>0</v>
      </c>
      <c r="BB445" s="54">
        <f t="shared" si="3076"/>
        <v>0</v>
      </c>
      <c r="BC445" s="49">
        <f t="shared" ref="BC445:BD445" si="3118">SUM(AS445,AU445,AW445,AY445,BA445)</f>
        <v>4</v>
      </c>
      <c r="BD445" s="50">
        <f t="shared" si="3118"/>
        <v>8</v>
      </c>
      <c r="BE445" s="68">
        <f t="shared" ref="BE445:BF445" si="3119">SUM(E445,G445,I445,O445,Q445,AC445,AQ445,BC445)</f>
        <v>21</v>
      </c>
      <c r="BF445" s="69">
        <f t="shared" si="3119"/>
        <v>41</v>
      </c>
      <c r="BG445" s="46" t="str">
        <f>BF445*'ОВгП_РАО'!$B$11</f>
        <v>#REF!</v>
      </c>
      <c r="BH445" s="46" t="str">
        <f>'ОВгП_РАО'!$B$11</f>
        <v>#REF!</v>
      </c>
    </row>
    <row r="446" ht="15.75" customHeight="1">
      <c r="A446" s="80">
        <f t="shared" si="3079"/>
        <v>46273</v>
      </c>
      <c r="B446" s="45" t="s">
        <v>129</v>
      </c>
      <c r="C446" s="46" t="s">
        <v>125</v>
      </c>
      <c r="D446" s="45" t="s">
        <v>130</v>
      </c>
      <c r="E446" s="73">
        <f t="shared" si="3030"/>
        <v>1</v>
      </c>
      <c r="F446" s="50">
        <f t="shared" si="3031"/>
        <v>2</v>
      </c>
      <c r="G446" s="73">
        <f t="shared" si="3032"/>
        <v>1</v>
      </c>
      <c r="H446" s="50">
        <f t="shared" si="3033"/>
        <v>2</v>
      </c>
      <c r="I446" s="73">
        <f t="shared" si="3034"/>
        <v>1</v>
      </c>
      <c r="J446" s="50">
        <f t="shared" si="3035"/>
        <v>1</v>
      </c>
      <c r="K446" s="53">
        <f t="shared" si="3036"/>
        <v>1</v>
      </c>
      <c r="L446" s="54">
        <f t="shared" si="3037"/>
        <v>3</v>
      </c>
      <c r="M446" s="53">
        <f t="shared" si="3038"/>
        <v>1</v>
      </c>
      <c r="N446" s="54">
        <f t="shared" si="3039"/>
        <v>2</v>
      </c>
      <c r="O446" s="49">
        <f t="shared" ref="O446:P446" si="3120">SUM(K446,M446)</f>
        <v>2</v>
      </c>
      <c r="P446" s="50">
        <f t="shared" si="3120"/>
        <v>5</v>
      </c>
      <c r="Q446" s="73">
        <f t="shared" si="3041"/>
        <v>1</v>
      </c>
      <c r="R446" s="50">
        <f t="shared" si="3042"/>
        <v>1</v>
      </c>
      <c r="S446" s="53">
        <f t="shared" si="3043"/>
        <v>1</v>
      </c>
      <c r="T446" s="54">
        <f t="shared" si="3044"/>
        <v>3</v>
      </c>
      <c r="U446" s="53">
        <f t="shared" si="3045"/>
        <v>1</v>
      </c>
      <c r="V446" s="54">
        <f t="shared" si="3046"/>
        <v>3</v>
      </c>
      <c r="W446" s="53">
        <f t="shared" si="3047"/>
        <v>2</v>
      </c>
      <c r="X446" s="54">
        <f t="shared" si="3048"/>
        <v>4</v>
      </c>
      <c r="Y446" s="53">
        <f t="shared" si="3049"/>
        <v>2</v>
      </c>
      <c r="Z446" s="54">
        <f t="shared" si="3050"/>
        <v>4</v>
      </c>
      <c r="AA446" s="53">
        <f t="shared" si="3051"/>
        <v>2</v>
      </c>
      <c r="AB446" s="54">
        <f t="shared" si="3052"/>
        <v>4</v>
      </c>
      <c r="AC446" s="49">
        <f t="shared" ref="AC446:AD446" si="3121">SUM(S446,U446,W446,Y446,AA446)</f>
        <v>8</v>
      </c>
      <c r="AD446" s="50">
        <f t="shared" si="3121"/>
        <v>18</v>
      </c>
      <c r="AE446" s="53">
        <f t="shared" si="3054"/>
        <v>1</v>
      </c>
      <c r="AF446" s="54">
        <f t="shared" si="3055"/>
        <v>3</v>
      </c>
      <c r="AG446" s="53">
        <f t="shared" si="3056"/>
        <v>1</v>
      </c>
      <c r="AH446" s="54">
        <f t="shared" si="3057"/>
        <v>1</v>
      </c>
      <c r="AI446" s="53">
        <f t="shared" si="3058"/>
        <v>1</v>
      </c>
      <c r="AJ446" s="54">
        <f t="shared" si="3059"/>
        <v>1</v>
      </c>
      <c r="AK446" s="53">
        <f t="shared" si="3060"/>
        <v>1</v>
      </c>
      <c r="AL446" s="54">
        <f t="shared" si="3061"/>
        <v>2</v>
      </c>
      <c r="AM446" s="53">
        <f t="shared" si="3062"/>
        <v>1</v>
      </c>
      <c r="AN446" s="54">
        <f t="shared" si="3063"/>
        <v>1</v>
      </c>
      <c r="AO446" s="53">
        <f t="shared" si="3064"/>
        <v>1</v>
      </c>
      <c r="AP446" s="54">
        <f t="shared" si="3065"/>
        <v>2</v>
      </c>
      <c r="AQ446" s="49">
        <f t="shared" ref="AQ446:AR446" si="3122">SUM(AG446,AI446,AK446,AM446,AO446)</f>
        <v>5</v>
      </c>
      <c r="AR446" s="50">
        <f t="shared" si="3122"/>
        <v>7</v>
      </c>
      <c r="AS446" s="53">
        <f t="shared" si="3067"/>
        <v>1</v>
      </c>
      <c r="AT446" s="54">
        <f t="shared" si="3068"/>
        <v>1</v>
      </c>
      <c r="AU446" s="53">
        <f t="shared" si="3069"/>
        <v>0</v>
      </c>
      <c r="AV446" s="54">
        <f t="shared" si="3070"/>
        <v>0</v>
      </c>
      <c r="AW446" s="53">
        <f t="shared" si="3071"/>
        <v>1</v>
      </c>
      <c r="AX446" s="54">
        <f t="shared" si="3072"/>
        <v>2</v>
      </c>
      <c r="AY446" s="53">
        <f t="shared" si="3073"/>
        <v>2</v>
      </c>
      <c r="AZ446" s="54">
        <f t="shared" si="3074"/>
        <v>4</v>
      </c>
      <c r="BA446" s="53">
        <f t="shared" si="3075"/>
        <v>1</v>
      </c>
      <c r="BB446" s="54">
        <f t="shared" si="3076"/>
        <v>1</v>
      </c>
      <c r="BC446" s="49">
        <f t="shared" ref="BC446:BD446" si="3123">SUM(AS446,AU446,AW446,AY446,BA446)</f>
        <v>5</v>
      </c>
      <c r="BD446" s="50">
        <f t="shared" si="3123"/>
        <v>8</v>
      </c>
      <c r="BE446" s="68">
        <f t="shared" ref="BE446:BF446" si="3124">SUM(E446,G446,I446,O446,Q446,AC446,AQ446,BC446)</f>
        <v>24</v>
      </c>
      <c r="BF446" s="69">
        <f t="shared" si="3124"/>
        <v>44</v>
      </c>
      <c r="BG446" s="46" t="str">
        <f>BF446*'ОВгП_РАО'!$B$12</f>
        <v>#REF!</v>
      </c>
      <c r="BH446" s="46" t="str">
        <f>'ОВгП_РАО'!$B$12</f>
        <v>#REF!</v>
      </c>
    </row>
    <row r="447" ht="15.75" customHeight="1">
      <c r="A447" s="80">
        <f t="shared" si="3079"/>
        <v>46273</v>
      </c>
      <c r="B447" s="47" t="s">
        <v>131</v>
      </c>
      <c r="C447" s="47" t="s">
        <v>122</v>
      </c>
      <c r="D447" s="47" t="s">
        <v>123</v>
      </c>
      <c r="E447" s="73">
        <f t="shared" si="3030"/>
        <v>0</v>
      </c>
      <c r="F447" s="50">
        <f t="shared" si="3031"/>
        <v>0</v>
      </c>
      <c r="G447" s="73">
        <f t="shared" si="3032"/>
        <v>1</v>
      </c>
      <c r="H447" s="50">
        <f t="shared" si="3033"/>
        <v>2</v>
      </c>
      <c r="I447" s="73">
        <f t="shared" si="3034"/>
        <v>0</v>
      </c>
      <c r="J447" s="50">
        <f t="shared" si="3035"/>
        <v>0</v>
      </c>
      <c r="K447" s="53">
        <f t="shared" si="3036"/>
        <v>1</v>
      </c>
      <c r="L447" s="54">
        <f t="shared" si="3037"/>
        <v>3</v>
      </c>
      <c r="M447" s="53">
        <f t="shared" si="3038"/>
        <v>1</v>
      </c>
      <c r="N447" s="54">
        <f t="shared" si="3039"/>
        <v>1</v>
      </c>
      <c r="O447" s="49">
        <f t="shared" ref="O447:P447" si="3125">SUM(K447,M447)</f>
        <v>2</v>
      </c>
      <c r="P447" s="50">
        <f t="shared" si="3125"/>
        <v>4</v>
      </c>
      <c r="Q447" s="73">
        <f t="shared" si="3041"/>
        <v>0</v>
      </c>
      <c r="R447" s="50">
        <f t="shared" si="3042"/>
        <v>0</v>
      </c>
      <c r="S447" s="53">
        <f t="shared" si="3043"/>
        <v>1</v>
      </c>
      <c r="T447" s="54">
        <f t="shared" si="3044"/>
        <v>3</v>
      </c>
      <c r="U447" s="53">
        <f t="shared" si="3045"/>
        <v>2</v>
      </c>
      <c r="V447" s="54">
        <f t="shared" si="3046"/>
        <v>4</v>
      </c>
      <c r="W447" s="53">
        <f t="shared" si="3047"/>
        <v>1</v>
      </c>
      <c r="X447" s="54">
        <f t="shared" si="3048"/>
        <v>1</v>
      </c>
      <c r="Y447" s="53">
        <f t="shared" si="3049"/>
        <v>2</v>
      </c>
      <c r="Z447" s="54">
        <f t="shared" si="3050"/>
        <v>4</v>
      </c>
      <c r="AA447" s="53">
        <f t="shared" si="3051"/>
        <v>1</v>
      </c>
      <c r="AB447" s="54">
        <f t="shared" si="3052"/>
        <v>1</v>
      </c>
      <c r="AC447" s="49">
        <f t="shared" ref="AC447:AD447" si="3126">SUM(S447,U447,W447,Y447,AA447)</f>
        <v>7</v>
      </c>
      <c r="AD447" s="50">
        <f t="shared" si="3126"/>
        <v>13</v>
      </c>
      <c r="AE447" s="53">
        <f t="shared" si="3054"/>
        <v>2</v>
      </c>
      <c r="AF447" s="54">
        <f t="shared" si="3055"/>
        <v>4</v>
      </c>
      <c r="AG447" s="53">
        <f t="shared" si="3056"/>
        <v>0</v>
      </c>
      <c r="AH447" s="54">
        <f t="shared" si="3057"/>
        <v>0</v>
      </c>
      <c r="AI447" s="53">
        <f t="shared" si="3058"/>
        <v>0</v>
      </c>
      <c r="AJ447" s="54">
        <f t="shared" si="3059"/>
        <v>0</v>
      </c>
      <c r="AK447" s="53">
        <f t="shared" si="3060"/>
        <v>0</v>
      </c>
      <c r="AL447" s="54">
        <f t="shared" si="3061"/>
        <v>0</v>
      </c>
      <c r="AM447" s="53">
        <f t="shared" si="3062"/>
        <v>2</v>
      </c>
      <c r="AN447" s="54">
        <f t="shared" si="3063"/>
        <v>4</v>
      </c>
      <c r="AO447" s="53">
        <f t="shared" si="3064"/>
        <v>2</v>
      </c>
      <c r="AP447" s="54">
        <f t="shared" si="3065"/>
        <v>4</v>
      </c>
      <c r="AQ447" s="49">
        <f t="shared" ref="AQ447:AR447" si="3127">SUM(AG447,AI447,AK447,AM447,AO447)</f>
        <v>4</v>
      </c>
      <c r="AR447" s="50">
        <f t="shared" si="3127"/>
        <v>8</v>
      </c>
      <c r="AS447" s="53">
        <f t="shared" si="3067"/>
        <v>1</v>
      </c>
      <c r="AT447" s="54">
        <f t="shared" si="3068"/>
        <v>3</v>
      </c>
      <c r="AU447" s="53">
        <f t="shared" si="3069"/>
        <v>0</v>
      </c>
      <c r="AV447" s="54">
        <f t="shared" si="3070"/>
        <v>0</v>
      </c>
      <c r="AW447" s="53">
        <f t="shared" si="3071"/>
        <v>2</v>
      </c>
      <c r="AX447" s="54">
        <f t="shared" si="3072"/>
        <v>4</v>
      </c>
      <c r="AY447" s="53">
        <f t="shared" si="3073"/>
        <v>1</v>
      </c>
      <c r="AZ447" s="54">
        <f t="shared" si="3074"/>
        <v>2</v>
      </c>
      <c r="BA447" s="53">
        <f t="shared" si="3075"/>
        <v>2</v>
      </c>
      <c r="BB447" s="54">
        <f t="shared" si="3076"/>
        <v>4</v>
      </c>
      <c r="BC447" s="49">
        <f t="shared" ref="BC447:BD447" si="3128">SUM(AS447,AU447,AW447,AY447,BA447)</f>
        <v>6</v>
      </c>
      <c r="BD447" s="50">
        <f t="shared" si="3128"/>
        <v>13</v>
      </c>
      <c r="BE447" s="68">
        <f t="shared" ref="BE447:BF447" si="3129">SUM(E447,G447,I447,O447,Q447,AC447,AQ447,BC447)</f>
        <v>20</v>
      </c>
      <c r="BF447" s="69">
        <f t="shared" si="3129"/>
        <v>40</v>
      </c>
      <c r="BG447" s="46" t="str">
        <f>BF447*'ОВгП_РАО'!$B$13</f>
        <v>#REF!</v>
      </c>
      <c r="BH447" s="46" t="str">
        <f>'ОВгП_РАО'!$B$13</f>
        <v>#REF!</v>
      </c>
    </row>
    <row r="448" ht="15.75" customHeight="1">
      <c r="A448" s="80">
        <f t="shared" si="3079"/>
        <v>46273</v>
      </c>
      <c r="B448" s="47" t="s">
        <v>132</v>
      </c>
      <c r="C448" s="47" t="s">
        <v>122</v>
      </c>
      <c r="D448" s="47" t="s">
        <v>123</v>
      </c>
      <c r="E448" s="73">
        <f t="shared" si="3030"/>
        <v>0</v>
      </c>
      <c r="F448" s="50">
        <f t="shared" si="3031"/>
        <v>0</v>
      </c>
      <c r="G448" s="73">
        <f t="shared" si="3032"/>
        <v>1</v>
      </c>
      <c r="H448" s="50">
        <f t="shared" si="3033"/>
        <v>2</v>
      </c>
      <c r="I448" s="73">
        <f t="shared" si="3034"/>
        <v>0</v>
      </c>
      <c r="J448" s="50">
        <f t="shared" si="3035"/>
        <v>0</v>
      </c>
      <c r="K448" s="53">
        <f t="shared" si="3036"/>
        <v>1</v>
      </c>
      <c r="L448" s="54">
        <f t="shared" si="3037"/>
        <v>3</v>
      </c>
      <c r="M448" s="53">
        <f t="shared" si="3038"/>
        <v>2</v>
      </c>
      <c r="N448" s="54">
        <f t="shared" si="3039"/>
        <v>4</v>
      </c>
      <c r="O448" s="49">
        <f t="shared" ref="O448:P448" si="3130">SUM(K448,M448)</f>
        <v>3</v>
      </c>
      <c r="P448" s="50">
        <f t="shared" si="3130"/>
        <v>7</v>
      </c>
      <c r="Q448" s="73">
        <f t="shared" si="3041"/>
        <v>0</v>
      </c>
      <c r="R448" s="50">
        <f t="shared" si="3042"/>
        <v>0</v>
      </c>
      <c r="S448" s="53">
        <f t="shared" si="3043"/>
        <v>1</v>
      </c>
      <c r="T448" s="54">
        <f t="shared" si="3044"/>
        <v>1</v>
      </c>
      <c r="U448" s="53">
        <f t="shared" si="3045"/>
        <v>1</v>
      </c>
      <c r="V448" s="54">
        <f t="shared" si="3046"/>
        <v>1</v>
      </c>
      <c r="W448" s="53">
        <f t="shared" si="3047"/>
        <v>0</v>
      </c>
      <c r="X448" s="54">
        <f t="shared" si="3048"/>
        <v>0</v>
      </c>
      <c r="Y448" s="53">
        <f t="shared" si="3049"/>
        <v>1</v>
      </c>
      <c r="Z448" s="54">
        <f t="shared" si="3050"/>
        <v>3</v>
      </c>
      <c r="AA448" s="53">
        <f t="shared" si="3051"/>
        <v>2</v>
      </c>
      <c r="AB448" s="54">
        <f t="shared" si="3052"/>
        <v>4</v>
      </c>
      <c r="AC448" s="49">
        <f t="shared" ref="AC448:AD448" si="3131">SUM(S448,U448,W448,Y448,AA448)</f>
        <v>5</v>
      </c>
      <c r="AD448" s="50">
        <f t="shared" si="3131"/>
        <v>9</v>
      </c>
      <c r="AE448" s="53">
        <f t="shared" si="3054"/>
        <v>1</v>
      </c>
      <c r="AF448" s="54">
        <f t="shared" si="3055"/>
        <v>2</v>
      </c>
      <c r="AG448" s="53">
        <f t="shared" si="3056"/>
        <v>1</v>
      </c>
      <c r="AH448" s="54">
        <f t="shared" si="3057"/>
        <v>3</v>
      </c>
      <c r="AI448" s="53">
        <f t="shared" si="3058"/>
        <v>1</v>
      </c>
      <c r="AJ448" s="54">
        <f t="shared" si="3059"/>
        <v>3</v>
      </c>
      <c r="AK448" s="53">
        <f t="shared" si="3060"/>
        <v>0</v>
      </c>
      <c r="AL448" s="54">
        <f t="shared" si="3061"/>
        <v>0</v>
      </c>
      <c r="AM448" s="53">
        <f t="shared" si="3062"/>
        <v>1</v>
      </c>
      <c r="AN448" s="54">
        <f t="shared" si="3063"/>
        <v>1</v>
      </c>
      <c r="AO448" s="53">
        <f t="shared" si="3064"/>
        <v>1</v>
      </c>
      <c r="AP448" s="54">
        <f t="shared" si="3065"/>
        <v>1</v>
      </c>
      <c r="AQ448" s="49">
        <f t="shared" ref="AQ448:AR448" si="3132">SUM(AG448,AI448,AK448,AM448,AO448)</f>
        <v>4</v>
      </c>
      <c r="AR448" s="50">
        <f t="shared" si="3132"/>
        <v>8</v>
      </c>
      <c r="AS448" s="53">
        <f t="shared" si="3067"/>
        <v>1</v>
      </c>
      <c r="AT448" s="54">
        <f t="shared" si="3068"/>
        <v>2</v>
      </c>
      <c r="AU448" s="53">
        <f t="shared" si="3069"/>
        <v>1</v>
      </c>
      <c r="AV448" s="54">
        <f t="shared" si="3070"/>
        <v>3</v>
      </c>
      <c r="AW448" s="53">
        <f t="shared" si="3071"/>
        <v>2</v>
      </c>
      <c r="AX448" s="54">
        <f t="shared" si="3072"/>
        <v>4</v>
      </c>
      <c r="AY448" s="53">
        <f t="shared" si="3073"/>
        <v>1</v>
      </c>
      <c r="AZ448" s="54">
        <f t="shared" si="3074"/>
        <v>2</v>
      </c>
      <c r="BA448" s="53">
        <f t="shared" si="3075"/>
        <v>2</v>
      </c>
      <c r="BB448" s="54">
        <f t="shared" si="3076"/>
        <v>4</v>
      </c>
      <c r="BC448" s="49">
        <f t="shared" ref="BC448:BD448" si="3133">SUM(AS448,AU448,AW448,AY448,BA448)</f>
        <v>7</v>
      </c>
      <c r="BD448" s="50">
        <f t="shared" si="3133"/>
        <v>15</v>
      </c>
      <c r="BE448" s="68">
        <f t="shared" ref="BE448:BF448" si="3134">SUM(E448,G448,I448,O448,Q448,AC448,AQ448,BC448)</f>
        <v>20</v>
      </c>
      <c r="BF448" s="69">
        <f t="shared" si="3134"/>
        <v>41</v>
      </c>
      <c r="BG448" s="46" t="str">
        <f>BF448*'ОВгП_РАО'!$B$14</f>
        <v>#REF!</v>
      </c>
      <c r="BH448" s="46" t="str">
        <f>'ОВгП_РАО'!$B$14</f>
        <v>#REF!</v>
      </c>
    </row>
    <row r="449" ht="15.75" customHeight="1">
      <c r="A449" s="80">
        <f t="shared" si="3079"/>
        <v>46273</v>
      </c>
      <c r="B449" s="47" t="s">
        <v>133</v>
      </c>
      <c r="C449" s="47" t="s">
        <v>122</v>
      </c>
      <c r="D449" s="47" t="s">
        <v>123</v>
      </c>
      <c r="E449" s="73">
        <f t="shared" si="3030"/>
        <v>0</v>
      </c>
      <c r="F449" s="50">
        <f t="shared" si="3031"/>
        <v>0</v>
      </c>
      <c r="G449" s="73">
        <f t="shared" si="3032"/>
        <v>1</v>
      </c>
      <c r="H449" s="50">
        <f t="shared" si="3033"/>
        <v>2</v>
      </c>
      <c r="I449" s="73">
        <f t="shared" si="3034"/>
        <v>1</v>
      </c>
      <c r="J449" s="50">
        <f t="shared" si="3035"/>
        <v>1</v>
      </c>
      <c r="K449" s="53">
        <f t="shared" si="3036"/>
        <v>1</v>
      </c>
      <c r="L449" s="54">
        <f t="shared" si="3037"/>
        <v>1</v>
      </c>
      <c r="M449" s="53">
        <f t="shared" si="3038"/>
        <v>1</v>
      </c>
      <c r="N449" s="54">
        <f t="shared" si="3039"/>
        <v>1</v>
      </c>
      <c r="O449" s="49">
        <f t="shared" ref="O449:P449" si="3135">SUM(K449,M449)</f>
        <v>2</v>
      </c>
      <c r="P449" s="50">
        <f t="shared" si="3135"/>
        <v>2</v>
      </c>
      <c r="Q449" s="73">
        <f t="shared" si="3041"/>
        <v>1</v>
      </c>
      <c r="R449" s="50">
        <f t="shared" si="3042"/>
        <v>3</v>
      </c>
      <c r="S449" s="53">
        <f t="shared" si="3043"/>
        <v>0</v>
      </c>
      <c r="T449" s="54">
        <f t="shared" si="3044"/>
        <v>0</v>
      </c>
      <c r="U449" s="53">
        <f t="shared" si="3045"/>
        <v>1</v>
      </c>
      <c r="V449" s="54">
        <f t="shared" si="3046"/>
        <v>1</v>
      </c>
      <c r="W449" s="53">
        <f t="shared" si="3047"/>
        <v>1</v>
      </c>
      <c r="X449" s="54">
        <f t="shared" si="3048"/>
        <v>2</v>
      </c>
      <c r="Y449" s="53">
        <f t="shared" si="3049"/>
        <v>1</v>
      </c>
      <c r="Z449" s="54">
        <f t="shared" si="3050"/>
        <v>3</v>
      </c>
      <c r="AA449" s="53">
        <f t="shared" si="3051"/>
        <v>0</v>
      </c>
      <c r="AB449" s="54">
        <f t="shared" si="3052"/>
        <v>0</v>
      </c>
      <c r="AC449" s="49">
        <f t="shared" ref="AC449:AD449" si="3136">SUM(S449,U449,W449,Y449,AA449)</f>
        <v>3</v>
      </c>
      <c r="AD449" s="50">
        <f t="shared" si="3136"/>
        <v>6</v>
      </c>
      <c r="AE449" s="53">
        <f t="shared" si="3054"/>
        <v>1</v>
      </c>
      <c r="AF449" s="54">
        <f t="shared" si="3055"/>
        <v>2</v>
      </c>
      <c r="AG449" s="53">
        <f t="shared" si="3056"/>
        <v>1</v>
      </c>
      <c r="AH449" s="54">
        <f t="shared" si="3057"/>
        <v>1</v>
      </c>
      <c r="AI449" s="53">
        <f t="shared" si="3058"/>
        <v>1</v>
      </c>
      <c r="AJ449" s="54">
        <f t="shared" si="3059"/>
        <v>1</v>
      </c>
      <c r="AK449" s="53">
        <f t="shared" si="3060"/>
        <v>0</v>
      </c>
      <c r="AL449" s="54">
        <f t="shared" si="3061"/>
        <v>0</v>
      </c>
      <c r="AM449" s="53">
        <f t="shared" si="3062"/>
        <v>0</v>
      </c>
      <c r="AN449" s="54">
        <f t="shared" si="3063"/>
        <v>0</v>
      </c>
      <c r="AO449" s="53">
        <f t="shared" si="3064"/>
        <v>2</v>
      </c>
      <c r="AP449" s="54">
        <f t="shared" si="3065"/>
        <v>4</v>
      </c>
      <c r="AQ449" s="49">
        <f t="shared" ref="AQ449:AR449" si="3137">SUM(AG449,AI449,AK449,AM449,AO449)</f>
        <v>4</v>
      </c>
      <c r="AR449" s="50">
        <f t="shared" si="3137"/>
        <v>6</v>
      </c>
      <c r="AS449" s="53">
        <f t="shared" si="3067"/>
        <v>1</v>
      </c>
      <c r="AT449" s="54">
        <f t="shared" si="3068"/>
        <v>3</v>
      </c>
      <c r="AU449" s="53">
        <f t="shared" si="3069"/>
        <v>2</v>
      </c>
      <c r="AV449" s="54">
        <f t="shared" si="3070"/>
        <v>4</v>
      </c>
      <c r="AW449" s="53">
        <f t="shared" si="3071"/>
        <v>1</v>
      </c>
      <c r="AX449" s="54">
        <f t="shared" si="3072"/>
        <v>1</v>
      </c>
      <c r="AY449" s="53">
        <f t="shared" si="3073"/>
        <v>1</v>
      </c>
      <c r="AZ449" s="54">
        <f t="shared" si="3074"/>
        <v>2</v>
      </c>
      <c r="BA449" s="53">
        <f t="shared" si="3075"/>
        <v>0</v>
      </c>
      <c r="BB449" s="54">
        <f t="shared" si="3076"/>
        <v>0</v>
      </c>
      <c r="BC449" s="49">
        <f t="shared" ref="BC449:BD449" si="3138">SUM(AS449,AU449,AW449,AY449,BA449)</f>
        <v>5</v>
      </c>
      <c r="BD449" s="50">
        <f t="shared" si="3138"/>
        <v>10</v>
      </c>
      <c r="BE449" s="68">
        <f t="shared" ref="BE449:BF449" si="3139">SUM(E449,G449,I449,O449,Q449,AC449,AQ449,BC449)</f>
        <v>17</v>
      </c>
      <c r="BF449" s="69">
        <f t="shared" si="3139"/>
        <v>30</v>
      </c>
      <c r="BG449" s="46" t="str">
        <f>BF449*'ОВгП_РАО'!$B$15</f>
        <v>#REF!</v>
      </c>
      <c r="BH449" s="46" t="str">
        <f>'ОВгП_РАО'!$B$15</f>
        <v>#REF!</v>
      </c>
    </row>
    <row r="450" ht="15.75" customHeight="1">
      <c r="A450" s="80">
        <f t="shared" si="3079"/>
        <v>46273</v>
      </c>
      <c r="B450" s="47" t="s">
        <v>134</v>
      </c>
      <c r="C450" s="47" t="s">
        <v>122</v>
      </c>
      <c r="D450" s="47" t="s">
        <v>123</v>
      </c>
      <c r="E450" s="73">
        <f t="shared" si="3030"/>
        <v>0</v>
      </c>
      <c r="F450" s="50">
        <f t="shared" si="3031"/>
        <v>0</v>
      </c>
      <c r="G450" s="73">
        <f t="shared" si="3032"/>
        <v>1</v>
      </c>
      <c r="H450" s="50">
        <f t="shared" si="3033"/>
        <v>2</v>
      </c>
      <c r="I450" s="73">
        <f t="shared" si="3034"/>
        <v>1</v>
      </c>
      <c r="J450" s="50">
        <f t="shared" si="3035"/>
        <v>2</v>
      </c>
      <c r="K450" s="53">
        <f t="shared" si="3036"/>
        <v>1</v>
      </c>
      <c r="L450" s="54">
        <f t="shared" si="3037"/>
        <v>1</v>
      </c>
      <c r="M450" s="53">
        <f t="shared" si="3038"/>
        <v>1</v>
      </c>
      <c r="N450" s="54">
        <f t="shared" si="3039"/>
        <v>2</v>
      </c>
      <c r="O450" s="49">
        <f t="shared" ref="O450:P450" si="3140">SUM(K450,M450)</f>
        <v>2</v>
      </c>
      <c r="P450" s="50">
        <f t="shared" si="3140"/>
        <v>3</v>
      </c>
      <c r="Q450" s="73">
        <f t="shared" si="3041"/>
        <v>1</v>
      </c>
      <c r="R450" s="50">
        <f t="shared" si="3042"/>
        <v>1</v>
      </c>
      <c r="S450" s="53">
        <f t="shared" si="3043"/>
        <v>1</v>
      </c>
      <c r="T450" s="54">
        <f t="shared" si="3044"/>
        <v>1</v>
      </c>
      <c r="U450" s="53">
        <f t="shared" si="3045"/>
        <v>0</v>
      </c>
      <c r="V450" s="54">
        <f t="shared" si="3046"/>
        <v>0</v>
      </c>
      <c r="W450" s="53">
        <f t="shared" si="3047"/>
        <v>1</v>
      </c>
      <c r="X450" s="54">
        <f t="shared" si="3048"/>
        <v>1</v>
      </c>
      <c r="Y450" s="53">
        <f t="shared" si="3049"/>
        <v>1</v>
      </c>
      <c r="Z450" s="54">
        <f t="shared" si="3050"/>
        <v>3</v>
      </c>
      <c r="AA450" s="53">
        <f t="shared" si="3051"/>
        <v>1</v>
      </c>
      <c r="AB450" s="54">
        <f t="shared" si="3052"/>
        <v>3</v>
      </c>
      <c r="AC450" s="49">
        <f t="shared" ref="AC450:AD450" si="3141">SUM(S450,U450,W450,Y450,AA450)</f>
        <v>4</v>
      </c>
      <c r="AD450" s="50">
        <f t="shared" si="3141"/>
        <v>8</v>
      </c>
      <c r="AE450" s="53">
        <f t="shared" si="3054"/>
        <v>2</v>
      </c>
      <c r="AF450" s="54">
        <f t="shared" si="3055"/>
        <v>4</v>
      </c>
      <c r="AG450" s="53">
        <f t="shared" si="3056"/>
        <v>0</v>
      </c>
      <c r="AH450" s="54">
        <f t="shared" si="3057"/>
        <v>0</v>
      </c>
      <c r="AI450" s="53">
        <f t="shared" si="3058"/>
        <v>2</v>
      </c>
      <c r="AJ450" s="54">
        <f t="shared" si="3059"/>
        <v>4</v>
      </c>
      <c r="AK450" s="53">
        <f t="shared" si="3060"/>
        <v>1</v>
      </c>
      <c r="AL450" s="54">
        <f t="shared" si="3061"/>
        <v>2</v>
      </c>
      <c r="AM450" s="53">
        <f t="shared" si="3062"/>
        <v>1</v>
      </c>
      <c r="AN450" s="54">
        <f t="shared" si="3063"/>
        <v>1</v>
      </c>
      <c r="AO450" s="53">
        <f t="shared" si="3064"/>
        <v>0</v>
      </c>
      <c r="AP450" s="54">
        <f t="shared" si="3065"/>
        <v>0</v>
      </c>
      <c r="AQ450" s="49">
        <f t="shared" ref="AQ450:AR450" si="3142">SUM(AG450,AI450,AK450,AM450,AO450)</f>
        <v>4</v>
      </c>
      <c r="AR450" s="50">
        <f t="shared" si="3142"/>
        <v>7</v>
      </c>
      <c r="AS450" s="53">
        <f t="shared" si="3067"/>
        <v>2</v>
      </c>
      <c r="AT450" s="54">
        <f t="shared" si="3068"/>
        <v>4</v>
      </c>
      <c r="AU450" s="53">
        <f t="shared" si="3069"/>
        <v>1</v>
      </c>
      <c r="AV450" s="54">
        <f t="shared" si="3070"/>
        <v>1</v>
      </c>
      <c r="AW450" s="53">
        <f t="shared" si="3071"/>
        <v>1</v>
      </c>
      <c r="AX450" s="54">
        <f t="shared" si="3072"/>
        <v>1</v>
      </c>
      <c r="AY450" s="53">
        <f t="shared" si="3073"/>
        <v>1</v>
      </c>
      <c r="AZ450" s="54">
        <f t="shared" si="3074"/>
        <v>3</v>
      </c>
      <c r="BA450" s="53">
        <f t="shared" si="3075"/>
        <v>1</v>
      </c>
      <c r="BB450" s="54">
        <f t="shared" si="3076"/>
        <v>3</v>
      </c>
      <c r="BC450" s="49">
        <f t="shared" ref="BC450:BD450" si="3143">SUM(AS450,AU450,AW450,AY450,BA450)</f>
        <v>6</v>
      </c>
      <c r="BD450" s="50">
        <f t="shared" si="3143"/>
        <v>12</v>
      </c>
      <c r="BE450" s="68">
        <f t="shared" ref="BE450:BF450" si="3144">SUM(E450,G450,I450,O450,Q450,AC450,AQ450,BC450)</f>
        <v>19</v>
      </c>
      <c r="BF450" s="69">
        <f t="shared" si="3144"/>
        <v>35</v>
      </c>
      <c r="BG450" s="46" t="str">
        <f>BF450*'ОВгП_РАО'!$B$16</f>
        <v>#REF!</v>
      </c>
      <c r="BH450" s="46" t="str">
        <f>'ОВгП_РАО'!$B$16</f>
        <v>#REF!</v>
      </c>
    </row>
    <row r="451" ht="15.75" customHeight="1">
      <c r="A451" s="80">
        <f t="shared" si="3079"/>
        <v>46273</v>
      </c>
      <c r="B451" s="129" t="s">
        <v>135</v>
      </c>
      <c r="C451" s="47" t="s">
        <v>122</v>
      </c>
      <c r="D451" s="47" t="s">
        <v>136</v>
      </c>
      <c r="E451" s="73">
        <f t="shared" si="3030"/>
        <v>1</v>
      </c>
      <c r="F451" s="50">
        <f t="shared" si="3031"/>
        <v>1</v>
      </c>
      <c r="G451" s="73">
        <f t="shared" si="3032"/>
        <v>1</v>
      </c>
      <c r="H451" s="50">
        <f t="shared" si="3033"/>
        <v>1</v>
      </c>
      <c r="I451" s="73">
        <f t="shared" si="3034"/>
        <v>1</v>
      </c>
      <c r="J451" s="50">
        <f t="shared" si="3035"/>
        <v>1</v>
      </c>
      <c r="K451" s="53">
        <f t="shared" si="3036"/>
        <v>1</v>
      </c>
      <c r="L451" s="54">
        <f t="shared" si="3037"/>
        <v>2</v>
      </c>
      <c r="M451" s="53">
        <f t="shared" si="3038"/>
        <v>1</v>
      </c>
      <c r="N451" s="54">
        <f t="shared" si="3039"/>
        <v>2</v>
      </c>
      <c r="O451" s="49">
        <f t="shared" ref="O451:P451" si="3145">SUM(K451,M451)</f>
        <v>2</v>
      </c>
      <c r="P451" s="50">
        <f t="shared" si="3145"/>
        <v>4</v>
      </c>
      <c r="Q451" s="73">
        <f t="shared" si="3041"/>
        <v>1</v>
      </c>
      <c r="R451" s="50">
        <f t="shared" si="3042"/>
        <v>2</v>
      </c>
      <c r="S451" s="53">
        <f t="shared" si="3043"/>
        <v>1</v>
      </c>
      <c r="T451" s="54">
        <f t="shared" si="3044"/>
        <v>3</v>
      </c>
      <c r="U451" s="53">
        <f t="shared" si="3045"/>
        <v>0</v>
      </c>
      <c r="V451" s="54">
        <f t="shared" si="3046"/>
        <v>0</v>
      </c>
      <c r="W451" s="53">
        <f t="shared" si="3047"/>
        <v>1</v>
      </c>
      <c r="X451" s="54">
        <f t="shared" si="3048"/>
        <v>3</v>
      </c>
      <c r="Y451" s="53">
        <f t="shared" si="3049"/>
        <v>2</v>
      </c>
      <c r="Z451" s="54">
        <f t="shared" si="3050"/>
        <v>4</v>
      </c>
      <c r="AA451" s="53">
        <f t="shared" si="3051"/>
        <v>1</v>
      </c>
      <c r="AB451" s="54">
        <f t="shared" si="3052"/>
        <v>3</v>
      </c>
      <c r="AC451" s="49">
        <f t="shared" ref="AC451:AD451" si="3146">SUM(S451,U451,W451,Y451,AA451)</f>
        <v>5</v>
      </c>
      <c r="AD451" s="50">
        <f t="shared" si="3146"/>
        <v>13</v>
      </c>
      <c r="AE451" s="53">
        <f t="shared" si="3054"/>
        <v>1</v>
      </c>
      <c r="AF451" s="54">
        <f t="shared" si="3055"/>
        <v>3</v>
      </c>
      <c r="AG451" s="53">
        <f t="shared" si="3056"/>
        <v>1</v>
      </c>
      <c r="AH451" s="54">
        <f t="shared" si="3057"/>
        <v>3</v>
      </c>
      <c r="AI451" s="53">
        <f t="shared" si="3058"/>
        <v>1</v>
      </c>
      <c r="AJ451" s="54">
        <f t="shared" si="3059"/>
        <v>3</v>
      </c>
      <c r="AK451" s="53">
        <f t="shared" si="3060"/>
        <v>1</v>
      </c>
      <c r="AL451" s="54">
        <f t="shared" si="3061"/>
        <v>2</v>
      </c>
      <c r="AM451" s="53">
        <f t="shared" si="3062"/>
        <v>1</v>
      </c>
      <c r="AN451" s="54">
        <f t="shared" si="3063"/>
        <v>3</v>
      </c>
      <c r="AO451" s="53">
        <f t="shared" si="3064"/>
        <v>2</v>
      </c>
      <c r="AP451" s="54">
        <f t="shared" si="3065"/>
        <v>4</v>
      </c>
      <c r="AQ451" s="49">
        <f t="shared" ref="AQ451:AR451" si="3147">SUM(AG451,AI451,AK451,AM451,AO451)</f>
        <v>6</v>
      </c>
      <c r="AR451" s="50">
        <f t="shared" si="3147"/>
        <v>15</v>
      </c>
      <c r="AS451" s="53">
        <f t="shared" si="3067"/>
        <v>1</v>
      </c>
      <c r="AT451" s="54">
        <f t="shared" si="3068"/>
        <v>3</v>
      </c>
      <c r="AU451" s="53">
        <f t="shared" si="3069"/>
        <v>1</v>
      </c>
      <c r="AV451" s="54">
        <f t="shared" si="3070"/>
        <v>1</v>
      </c>
      <c r="AW451" s="53">
        <f t="shared" si="3071"/>
        <v>1</v>
      </c>
      <c r="AX451" s="54">
        <f t="shared" si="3072"/>
        <v>2</v>
      </c>
      <c r="AY451" s="53">
        <f t="shared" si="3073"/>
        <v>1</v>
      </c>
      <c r="AZ451" s="54">
        <f t="shared" si="3074"/>
        <v>2</v>
      </c>
      <c r="BA451" s="53">
        <f t="shared" si="3075"/>
        <v>0</v>
      </c>
      <c r="BB451" s="54">
        <f t="shared" si="3076"/>
        <v>0</v>
      </c>
      <c r="BC451" s="49">
        <f t="shared" ref="BC451:BD451" si="3148">SUM(AS451,AU451,AW451,AY451,BA451)</f>
        <v>4</v>
      </c>
      <c r="BD451" s="50">
        <f t="shared" si="3148"/>
        <v>8</v>
      </c>
      <c r="BE451" s="68">
        <f t="shared" ref="BE451:BF451" si="3149">SUM(E451,G451,I451,O451,Q451,AC451,AQ451,BC451)</f>
        <v>21</v>
      </c>
      <c r="BF451" s="69">
        <f t="shared" si="3149"/>
        <v>45</v>
      </c>
      <c r="BG451" s="46" t="str">
        <f>BF451*'ОВгП_РАО'!$B$17</f>
        <v>#REF!</v>
      </c>
      <c r="BH451" s="46" t="str">
        <f>'ОВгП_РАО'!$B$17</f>
        <v>#REF!</v>
      </c>
    </row>
    <row r="452" ht="15.75" customHeight="1">
      <c r="A452" s="80">
        <f t="shared" si="3079"/>
        <v>46273</v>
      </c>
      <c r="B452" s="129" t="s">
        <v>137</v>
      </c>
      <c r="C452" s="47" t="s">
        <v>122</v>
      </c>
      <c r="D452" s="47" t="s">
        <v>136</v>
      </c>
      <c r="E452" s="73">
        <f t="shared" si="3030"/>
        <v>1</v>
      </c>
      <c r="F452" s="50">
        <f t="shared" si="3031"/>
        <v>1</v>
      </c>
      <c r="G452" s="73">
        <f t="shared" si="3032"/>
        <v>1</v>
      </c>
      <c r="H452" s="50">
        <f t="shared" si="3033"/>
        <v>3</v>
      </c>
      <c r="I452" s="73">
        <f t="shared" si="3034"/>
        <v>2</v>
      </c>
      <c r="J452" s="50">
        <f t="shared" si="3035"/>
        <v>4</v>
      </c>
      <c r="K452" s="53">
        <f t="shared" si="3036"/>
        <v>1</v>
      </c>
      <c r="L452" s="54">
        <f t="shared" si="3037"/>
        <v>3</v>
      </c>
      <c r="M452" s="53">
        <f t="shared" si="3038"/>
        <v>1</v>
      </c>
      <c r="N452" s="54">
        <f t="shared" si="3039"/>
        <v>3</v>
      </c>
      <c r="O452" s="49">
        <f t="shared" ref="O452:P452" si="3150">SUM(K452,M452)</f>
        <v>2</v>
      </c>
      <c r="P452" s="50">
        <f t="shared" si="3150"/>
        <v>6</v>
      </c>
      <c r="Q452" s="73">
        <f t="shared" si="3041"/>
        <v>1</v>
      </c>
      <c r="R452" s="50">
        <f t="shared" si="3042"/>
        <v>2</v>
      </c>
      <c r="S452" s="53">
        <f t="shared" si="3043"/>
        <v>2</v>
      </c>
      <c r="T452" s="54">
        <f t="shared" si="3044"/>
        <v>4</v>
      </c>
      <c r="U452" s="53">
        <f t="shared" si="3045"/>
        <v>2</v>
      </c>
      <c r="V452" s="54">
        <f t="shared" si="3046"/>
        <v>4</v>
      </c>
      <c r="W452" s="53">
        <f t="shared" si="3047"/>
        <v>1</v>
      </c>
      <c r="X452" s="54">
        <f t="shared" si="3048"/>
        <v>1</v>
      </c>
      <c r="Y452" s="53">
        <f t="shared" si="3049"/>
        <v>1</v>
      </c>
      <c r="Z452" s="54">
        <f t="shared" si="3050"/>
        <v>1</v>
      </c>
      <c r="AA452" s="53">
        <f t="shared" si="3051"/>
        <v>2</v>
      </c>
      <c r="AB452" s="54">
        <f t="shared" si="3052"/>
        <v>4</v>
      </c>
      <c r="AC452" s="49">
        <f t="shared" ref="AC452:AD452" si="3151">SUM(S452,U452,W452,Y452,AA452)</f>
        <v>8</v>
      </c>
      <c r="AD452" s="50">
        <f t="shared" si="3151"/>
        <v>14</v>
      </c>
      <c r="AE452" s="53">
        <f t="shared" si="3054"/>
        <v>1</v>
      </c>
      <c r="AF452" s="54">
        <f t="shared" si="3055"/>
        <v>2</v>
      </c>
      <c r="AG452" s="53">
        <f t="shared" si="3056"/>
        <v>0</v>
      </c>
      <c r="AH452" s="54">
        <f t="shared" si="3057"/>
        <v>0</v>
      </c>
      <c r="AI452" s="53">
        <f t="shared" si="3058"/>
        <v>0</v>
      </c>
      <c r="AJ452" s="54">
        <f t="shared" si="3059"/>
        <v>0</v>
      </c>
      <c r="AK452" s="53">
        <f t="shared" si="3060"/>
        <v>0</v>
      </c>
      <c r="AL452" s="54">
        <f t="shared" si="3061"/>
        <v>0</v>
      </c>
      <c r="AM452" s="53">
        <f t="shared" si="3062"/>
        <v>2</v>
      </c>
      <c r="AN452" s="54">
        <f t="shared" si="3063"/>
        <v>4</v>
      </c>
      <c r="AO452" s="53">
        <f t="shared" si="3064"/>
        <v>1</v>
      </c>
      <c r="AP452" s="54">
        <f t="shared" si="3065"/>
        <v>1</v>
      </c>
      <c r="AQ452" s="49">
        <f t="shared" ref="AQ452:AR452" si="3152">SUM(AG452,AI452,AK452,AM452,AO452)</f>
        <v>3</v>
      </c>
      <c r="AR452" s="50">
        <f t="shared" si="3152"/>
        <v>5</v>
      </c>
      <c r="AS452" s="53">
        <f t="shared" si="3067"/>
        <v>1</v>
      </c>
      <c r="AT452" s="54">
        <f t="shared" si="3068"/>
        <v>1</v>
      </c>
      <c r="AU452" s="53">
        <f t="shared" si="3069"/>
        <v>1</v>
      </c>
      <c r="AV452" s="54">
        <f t="shared" si="3070"/>
        <v>3</v>
      </c>
      <c r="AW452" s="53">
        <f t="shared" si="3071"/>
        <v>1</v>
      </c>
      <c r="AX452" s="54">
        <f t="shared" si="3072"/>
        <v>2</v>
      </c>
      <c r="AY452" s="53">
        <f t="shared" si="3073"/>
        <v>0</v>
      </c>
      <c r="AZ452" s="54">
        <f t="shared" si="3074"/>
        <v>0</v>
      </c>
      <c r="BA452" s="53">
        <f t="shared" si="3075"/>
        <v>2</v>
      </c>
      <c r="BB452" s="54">
        <f t="shared" si="3076"/>
        <v>4</v>
      </c>
      <c r="BC452" s="49">
        <f t="shared" ref="BC452:BD452" si="3153">SUM(AS452,AU452,AW452,AY452,BA452)</f>
        <v>5</v>
      </c>
      <c r="BD452" s="50">
        <f t="shared" si="3153"/>
        <v>10</v>
      </c>
      <c r="BE452" s="68">
        <f t="shared" ref="BE452:BF452" si="3154">SUM(E452,G452,I452,O452,Q452,AC452,AQ452,BC452)</f>
        <v>23</v>
      </c>
      <c r="BF452" s="69">
        <f t="shared" si="3154"/>
        <v>45</v>
      </c>
      <c r="BG452" s="46" t="str">
        <f>BF452*'ОВгП_РАО'!$B$18</f>
        <v>#REF!</v>
      </c>
      <c r="BH452" s="46" t="str">
        <f>'ОВгП_РАО'!$B$18</f>
        <v>#REF!</v>
      </c>
    </row>
    <row r="453" ht="15.75" customHeight="1">
      <c r="A453" s="80">
        <f t="shared" si="3079"/>
        <v>46273</v>
      </c>
      <c r="B453" s="129" t="s">
        <v>138</v>
      </c>
      <c r="C453" s="47" t="s">
        <v>122</v>
      </c>
      <c r="D453" s="47" t="s">
        <v>139</v>
      </c>
      <c r="E453" s="73">
        <f t="shared" si="3030"/>
        <v>1</v>
      </c>
      <c r="F453" s="50">
        <f t="shared" si="3031"/>
        <v>2</v>
      </c>
      <c r="G453" s="73">
        <f t="shared" si="3032"/>
        <v>1</v>
      </c>
      <c r="H453" s="50">
        <f t="shared" si="3033"/>
        <v>2</v>
      </c>
      <c r="I453" s="73">
        <f t="shared" si="3034"/>
        <v>1</v>
      </c>
      <c r="J453" s="50">
        <f t="shared" si="3035"/>
        <v>1</v>
      </c>
      <c r="K453" s="53">
        <f t="shared" si="3036"/>
        <v>1</v>
      </c>
      <c r="L453" s="54">
        <f t="shared" si="3037"/>
        <v>1</v>
      </c>
      <c r="M453" s="53">
        <f t="shared" si="3038"/>
        <v>1</v>
      </c>
      <c r="N453" s="54">
        <f t="shared" si="3039"/>
        <v>3</v>
      </c>
      <c r="O453" s="49">
        <f t="shared" ref="O453:P453" si="3155">SUM(K453,M453)</f>
        <v>2</v>
      </c>
      <c r="P453" s="50">
        <f t="shared" si="3155"/>
        <v>4</v>
      </c>
      <c r="Q453" s="73">
        <f t="shared" si="3041"/>
        <v>2</v>
      </c>
      <c r="R453" s="50">
        <f t="shared" si="3042"/>
        <v>4</v>
      </c>
      <c r="S453" s="53">
        <f t="shared" si="3043"/>
        <v>1</v>
      </c>
      <c r="T453" s="54">
        <f t="shared" si="3044"/>
        <v>2</v>
      </c>
      <c r="U453" s="53">
        <f t="shared" si="3045"/>
        <v>1</v>
      </c>
      <c r="V453" s="54">
        <f t="shared" si="3046"/>
        <v>3</v>
      </c>
      <c r="W453" s="53">
        <f t="shared" si="3047"/>
        <v>0</v>
      </c>
      <c r="X453" s="54">
        <f t="shared" si="3048"/>
        <v>0</v>
      </c>
      <c r="Y453" s="53">
        <f t="shared" si="3049"/>
        <v>2</v>
      </c>
      <c r="Z453" s="54">
        <f t="shared" si="3050"/>
        <v>4</v>
      </c>
      <c r="AA453" s="53">
        <f t="shared" si="3051"/>
        <v>1</v>
      </c>
      <c r="AB453" s="54">
        <f t="shared" si="3052"/>
        <v>3</v>
      </c>
      <c r="AC453" s="49">
        <f t="shared" ref="AC453:AD453" si="3156">SUM(S453,U453,W453,Y453,AA453)</f>
        <v>5</v>
      </c>
      <c r="AD453" s="50">
        <f t="shared" si="3156"/>
        <v>12</v>
      </c>
      <c r="AE453" s="53">
        <f t="shared" si="3054"/>
        <v>1</v>
      </c>
      <c r="AF453" s="54">
        <f t="shared" si="3055"/>
        <v>1</v>
      </c>
      <c r="AG453" s="53">
        <f t="shared" si="3056"/>
        <v>0</v>
      </c>
      <c r="AH453" s="54">
        <f t="shared" si="3057"/>
        <v>0</v>
      </c>
      <c r="AI453" s="53">
        <f t="shared" si="3058"/>
        <v>1</v>
      </c>
      <c r="AJ453" s="54">
        <f t="shared" si="3059"/>
        <v>3</v>
      </c>
      <c r="AK453" s="53">
        <f t="shared" si="3060"/>
        <v>1</v>
      </c>
      <c r="AL453" s="54">
        <f t="shared" si="3061"/>
        <v>2</v>
      </c>
      <c r="AM453" s="53">
        <f t="shared" si="3062"/>
        <v>2</v>
      </c>
      <c r="AN453" s="54">
        <f t="shared" si="3063"/>
        <v>4</v>
      </c>
      <c r="AO453" s="53">
        <f t="shared" si="3064"/>
        <v>1</v>
      </c>
      <c r="AP453" s="54">
        <f t="shared" si="3065"/>
        <v>2</v>
      </c>
      <c r="AQ453" s="49">
        <f t="shared" ref="AQ453:AR453" si="3157">SUM(AG453,AI453,AK453,AM453,AO453)</f>
        <v>5</v>
      </c>
      <c r="AR453" s="50">
        <f t="shared" si="3157"/>
        <v>11</v>
      </c>
      <c r="AS453" s="53">
        <f t="shared" si="3067"/>
        <v>0</v>
      </c>
      <c r="AT453" s="54">
        <f t="shared" si="3068"/>
        <v>0</v>
      </c>
      <c r="AU453" s="53">
        <f t="shared" si="3069"/>
        <v>1</v>
      </c>
      <c r="AV453" s="54">
        <f t="shared" si="3070"/>
        <v>1</v>
      </c>
      <c r="AW453" s="53">
        <f t="shared" si="3071"/>
        <v>2</v>
      </c>
      <c r="AX453" s="54">
        <f t="shared" si="3072"/>
        <v>4</v>
      </c>
      <c r="AY453" s="53">
        <f t="shared" si="3073"/>
        <v>1</v>
      </c>
      <c r="AZ453" s="54">
        <f t="shared" si="3074"/>
        <v>2</v>
      </c>
      <c r="BA453" s="53">
        <f t="shared" si="3075"/>
        <v>2</v>
      </c>
      <c r="BB453" s="54">
        <f t="shared" si="3076"/>
        <v>4</v>
      </c>
      <c r="BC453" s="49">
        <f t="shared" ref="BC453:BD453" si="3158">SUM(AS453,AU453,AW453,AY453,BA453)</f>
        <v>6</v>
      </c>
      <c r="BD453" s="50">
        <f t="shared" si="3158"/>
        <v>11</v>
      </c>
      <c r="BE453" s="68">
        <f t="shared" ref="BE453:BF453" si="3159">SUM(E453,G453,I453,O453,Q453,AC453,AQ453,BC453)</f>
        <v>23</v>
      </c>
      <c r="BF453" s="69">
        <f t="shared" si="3159"/>
        <v>47</v>
      </c>
      <c r="BG453" s="46" t="str">
        <f>BF453*'ОВгП_РАО'!$B$19</f>
        <v>#REF!</v>
      </c>
      <c r="BH453" s="46" t="str">
        <f>'ОВгП_РАО'!$B$19</f>
        <v>#REF!</v>
      </c>
    </row>
    <row r="454" ht="15.75" customHeight="1">
      <c r="A454" s="80">
        <f t="shared" si="3079"/>
        <v>46273</v>
      </c>
      <c r="B454" s="129" t="s">
        <v>140</v>
      </c>
      <c r="C454" s="47" t="s">
        <v>122</v>
      </c>
      <c r="D454" s="47" t="s">
        <v>139</v>
      </c>
      <c r="E454" s="73">
        <f t="shared" si="3030"/>
        <v>0</v>
      </c>
      <c r="F454" s="50">
        <f t="shared" si="3031"/>
        <v>0</v>
      </c>
      <c r="G454" s="73">
        <f t="shared" si="3032"/>
        <v>1</v>
      </c>
      <c r="H454" s="50">
        <f t="shared" si="3033"/>
        <v>2</v>
      </c>
      <c r="I454" s="73">
        <f t="shared" si="3034"/>
        <v>1</v>
      </c>
      <c r="J454" s="50">
        <f t="shared" si="3035"/>
        <v>2</v>
      </c>
      <c r="K454" s="53">
        <f t="shared" si="3036"/>
        <v>0</v>
      </c>
      <c r="L454" s="54">
        <f t="shared" si="3037"/>
        <v>0</v>
      </c>
      <c r="M454" s="53">
        <f t="shared" si="3038"/>
        <v>1</v>
      </c>
      <c r="N454" s="54">
        <f t="shared" si="3039"/>
        <v>3</v>
      </c>
      <c r="O454" s="49">
        <f t="shared" ref="O454:P454" si="3160">SUM(K454,M454)</f>
        <v>1</v>
      </c>
      <c r="P454" s="50">
        <f t="shared" si="3160"/>
        <v>3</v>
      </c>
      <c r="Q454" s="73">
        <f t="shared" si="3041"/>
        <v>2</v>
      </c>
      <c r="R454" s="50">
        <f t="shared" si="3042"/>
        <v>4</v>
      </c>
      <c r="S454" s="53">
        <f t="shared" si="3043"/>
        <v>1</v>
      </c>
      <c r="T454" s="54">
        <f t="shared" si="3044"/>
        <v>1</v>
      </c>
      <c r="U454" s="53">
        <f t="shared" si="3045"/>
        <v>1</v>
      </c>
      <c r="V454" s="54">
        <f t="shared" si="3046"/>
        <v>3</v>
      </c>
      <c r="W454" s="53">
        <f t="shared" si="3047"/>
        <v>1</v>
      </c>
      <c r="X454" s="54">
        <f t="shared" si="3048"/>
        <v>3</v>
      </c>
      <c r="Y454" s="53">
        <f t="shared" si="3049"/>
        <v>1</v>
      </c>
      <c r="Z454" s="54">
        <f t="shared" si="3050"/>
        <v>2</v>
      </c>
      <c r="AA454" s="53">
        <f t="shared" si="3051"/>
        <v>1</v>
      </c>
      <c r="AB454" s="54">
        <f t="shared" si="3052"/>
        <v>1</v>
      </c>
      <c r="AC454" s="49">
        <f t="shared" ref="AC454:AD454" si="3161">SUM(S454,U454,W454,Y454,AA454)</f>
        <v>5</v>
      </c>
      <c r="AD454" s="50">
        <f t="shared" si="3161"/>
        <v>10</v>
      </c>
      <c r="AE454" s="53">
        <f t="shared" si="3054"/>
        <v>2</v>
      </c>
      <c r="AF454" s="54">
        <f t="shared" si="3055"/>
        <v>4</v>
      </c>
      <c r="AG454" s="53">
        <f t="shared" si="3056"/>
        <v>2</v>
      </c>
      <c r="AH454" s="54">
        <f t="shared" si="3057"/>
        <v>4</v>
      </c>
      <c r="AI454" s="53">
        <f t="shared" si="3058"/>
        <v>1</v>
      </c>
      <c r="AJ454" s="54">
        <f t="shared" si="3059"/>
        <v>3</v>
      </c>
      <c r="AK454" s="53">
        <f t="shared" si="3060"/>
        <v>0</v>
      </c>
      <c r="AL454" s="54">
        <f t="shared" si="3061"/>
        <v>0</v>
      </c>
      <c r="AM454" s="53">
        <f t="shared" si="3062"/>
        <v>1</v>
      </c>
      <c r="AN454" s="54">
        <f t="shared" si="3063"/>
        <v>3</v>
      </c>
      <c r="AO454" s="53">
        <f t="shared" si="3064"/>
        <v>1</v>
      </c>
      <c r="AP454" s="54">
        <f t="shared" si="3065"/>
        <v>3</v>
      </c>
      <c r="AQ454" s="49">
        <f t="shared" ref="AQ454:AR454" si="3162">SUM(AG454,AI454,AK454,AM454,AO454)</f>
        <v>5</v>
      </c>
      <c r="AR454" s="50">
        <f t="shared" si="3162"/>
        <v>13</v>
      </c>
      <c r="AS454" s="53">
        <f t="shared" si="3067"/>
        <v>2</v>
      </c>
      <c r="AT454" s="54">
        <f t="shared" si="3068"/>
        <v>4</v>
      </c>
      <c r="AU454" s="53">
        <f t="shared" si="3069"/>
        <v>1</v>
      </c>
      <c r="AV454" s="54">
        <f t="shared" si="3070"/>
        <v>2</v>
      </c>
      <c r="AW454" s="53">
        <f t="shared" si="3071"/>
        <v>1</v>
      </c>
      <c r="AX454" s="54">
        <f t="shared" si="3072"/>
        <v>3</v>
      </c>
      <c r="AY454" s="53">
        <f t="shared" si="3073"/>
        <v>1</v>
      </c>
      <c r="AZ454" s="54">
        <f t="shared" si="3074"/>
        <v>3</v>
      </c>
      <c r="BA454" s="53">
        <f t="shared" si="3075"/>
        <v>1</v>
      </c>
      <c r="BB454" s="54">
        <f t="shared" si="3076"/>
        <v>1</v>
      </c>
      <c r="BC454" s="49">
        <f t="shared" ref="BC454:BD454" si="3163">SUM(AS454,AU454,AW454,AY454,BA454)</f>
        <v>6</v>
      </c>
      <c r="BD454" s="50">
        <f t="shared" si="3163"/>
        <v>13</v>
      </c>
      <c r="BE454" s="68">
        <f t="shared" ref="BE454:BF454" si="3164">SUM(E454,G454,I454,O454,Q454,AC454,AQ454,BC454)</f>
        <v>21</v>
      </c>
      <c r="BF454" s="69">
        <f t="shared" si="3164"/>
        <v>47</v>
      </c>
      <c r="BG454" s="46" t="str">
        <f>BF454*'ОВгП_РАО'!$B$20</f>
        <v>#REF!</v>
      </c>
      <c r="BH454" s="46" t="str">
        <f>'ОВгП_РАО'!$B$20</f>
        <v>#REF!</v>
      </c>
    </row>
    <row r="455" ht="15.75" customHeight="1">
      <c r="A455" s="80">
        <f t="shared" si="3079"/>
        <v>46273</v>
      </c>
      <c r="B455" s="129" t="s">
        <v>141</v>
      </c>
      <c r="C455" s="47" t="s">
        <v>122</v>
      </c>
      <c r="D455" s="47" t="s">
        <v>139</v>
      </c>
      <c r="E455" s="73">
        <f t="shared" si="3030"/>
        <v>1</v>
      </c>
      <c r="F455" s="50">
        <f t="shared" si="3031"/>
        <v>3</v>
      </c>
      <c r="G455" s="73">
        <f t="shared" si="3032"/>
        <v>0</v>
      </c>
      <c r="H455" s="50">
        <f t="shared" si="3033"/>
        <v>0</v>
      </c>
      <c r="I455" s="73">
        <f t="shared" si="3034"/>
        <v>1</v>
      </c>
      <c r="J455" s="50">
        <f t="shared" si="3035"/>
        <v>2</v>
      </c>
      <c r="K455" s="53">
        <f t="shared" si="3036"/>
        <v>1</v>
      </c>
      <c r="L455" s="54">
        <f t="shared" si="3037"/>
        <v>1</v>
      </c>
      <c r="M455" s="53">
        <f t="shared" si="3038"/>
        <v>0</v>
      </c>
      <c r="N455" s="54">
        <f t="shared" si="3039"/>
        <v>0</v>
      </c>
      <c r="O455" s="49">
        <f t="shared" ref="O455:P455" si="3165">SUM(K455,M455)</f>
        <v>1</v>
      </c>
      <c r="P455" s="50">
        <f t="shared" si="3165"/>
        <v>1</v>
      </c>
      <c r="Q455" s="73">
        <f t="shared" si="3041"/>
        <v>1</v>
      </c>
      <c r="R455" s="50">
        <f t="shared" si="3042"/>
        <v>3</v>
      </c>
      <c r="S455" s="53">
        <f t="shared" si="3043"/>
        <v>1</v>
      </c>
      <c r="T455" s="54">
        <f t="shared" si="3044"/>
        <v>2</v>
      </c>
      <c r="U455" s="53">
        <f t="shared" si="3045"/>
        <v>1</v>
      </c>
      <c r="V455" s="54">
        <f t="shared" si="3046"/>
        <v>3</v>
      </c>
      <c r="W455" s="53">
        <f t="shared" si="3047"/>
        <v>1</v>
      </c>
      <c r="X455" s="54">
        <f t="shared" si="3048"/>
        <v>3</v>
      </c>
      <c r="Y455" s="53">
        <f t="shared" si="3049"/>
        <v>2</v>
      </c>
      <c r="Z455" s="54">
        <f t="shared" si="3050"/>
        <v>4</v>
      </c>
      <c r="AA455" s="53">
        <f t="shared" si="3051"/>
        <v>0</v>
      </c>
      <c r="AB455" s="54">
        <f t="shared" si="3052"/>
        <v>0</v>
      </c>
      <c r="AC455" s="49">
        <f t="shared" ref="AC455:AD455" si="3166">SUM(S455,U455,W455,Y455,AA455)</f>
        <v>5</v>
      </c>
      <c r="AD455" s="50">
        <f t="shared" si="3166"/>
        <v>12</v>
      </c>
      <c r="AE455" s="53">
        <f t="shared" si="3054"/>
        <v>1</v>
      </c>
      <c r="AF455" s="54">
        <f t="shared" si="3055"/>
        <v>2</v>
      </c>
      <c r="AG455" s="53">
        <f t="shared" si="3056"/>
        <v>1</v>
      </c>
      <c r="AH455" s="54">
        <f t="shared" si="3057"/>
        <v>2</v>
      </c>
      <c r="AI455" s="53">
        <f t="shared" si="3058"/>
        <v>0</v>
      </c>
      <c r="AJ455" s="54">
        <f t="shared" si="3059"/>
        <v>0</v>
      </c>
      <c r="AK455" s="53">
        <f t="shared" si="3060"/>
        <v>0</v>
      </c>
      <c r="AL455" s="54">
        <f t="shared" si="3061"/>
        <v>0</v>
      </c>
      <c r="AM455" s="53">
        <f t="shared" si="3062"/>
        <v>2</v>
      </c>
      <c r="AN455" s="54">
        <f t="shared" si="3063"/>
        <v>4</v>
      </c>
      <c r="AO455" s="53">
        <f t="shared" si="3064"/>
        <v>1</v>
      </c>
      <c r="AP455" s="54">
        <f t="shared" si="3065"/>
        <v>2</v>
      </c>
      <c r="AQ455" s="49">
        <f t="shared" ref="AQ455:AR455" si="3167">SUM(AG455,AI455,AK455,AM455,AO455)</f>
        <v>4</v>
      </c>
      <c r="AR455" s="50">
        <f t="shared" si="3167"/>
        <v>8</v>
      </c>
      <c r="AS455" s="53">
        <f t="shared" si="3067"/>
        <v>1</v>
      </c>
      <c r="AT455" s="54">
        <f t="shared" si="3068"/>
        <v>1</v>
      </c>
      <c r="AU455" s="53">
        <f t="shared" si="3069"/>
        <v>1</v>
      </c>
      <c r="AV455" s="54">
        <f t="shared" si="3070"/>
        <v>1</v>
      </c>
      <c r="AW455" s="53">
        <f t="shared" si="3071"/>
        <v>0</v>
      </c>
      <c r="AX455" s="54">
        <f t="shared" si="3072"/>
        <v>0</v>
      </c>
      <c r="AY455" s="53">
        <f t="shared" si="3073"/>
        <v>1</v>
      </c>
      <c r="AZ455" s="54">
        <f t="shared" si="3074"/>
        <v>3</v>
      </c>
      <c r="BA455" s="53">
        <f t="shared" si="3075"/>
        <v>1</v>
      </c>
      <c r="BB455" s="54">
        <f t="shared" si="3076"/>
        <v>2</v>
      </c>
      <c r="BC455" s="49">
        <f t="shared" ref="BC455:BD455" si="3168">SUM(AS455,AU455,AW455,AY455,BA455)</f>
        <v>4</v>
      </c>
      <c r="BD455" s="50">
        <f t="shared" si="3168"/>
        <v>7</v>
      </c>
      <c r="BE455" s="68">
        <f t="shared" ref="BE455:BF455" si="3169">SUM(E455,G455,I455,O455,Q455,AC455,AQ455,BC455)</f>
        <v>17</v>
      </c>
      <c r="BF455" s="69">
        <f t="shared" si="3169"/>
        <v>36</v>
      </c>
      <c r="BG455" s="46" t="str">
        <f>BF455*'ОВгП_РАО'!$B$21</f>
        <v>#REF!</v>
      </c>
      <c r="BH455" s="46" t="str">
        <f>'ОВгП_РАО'!$B$21</f>
        <v>#REF!</v>
      </c>
    </row>
    <row r="456" ht="15.75" customHeight="1">
      <c r="A456" s="80">
        <f t="shared" si="3079"/>
        <v>46273</v>
      </c>
      <c r="B456" s="47" t="s">
        <v>142</v>
      </c>
      <c r="C456" s="46" t="s">
        <v>96</v>
      </c>
      <c r="D456" s="47" t="s">
        <v>98</v>
      </c>
      <c r="E456" s="73">
        <f t="shared" si="3030"/>
        <v>1</v>
      </c>
      <c r="F456" s="50">
        <f t="shared" si="3031"/>
        <v>1</v>
      </c>
      <c r="G456" s="73">
        <f t="shared" si="3032"/>
        <v>1</v>
      </c>
      <c r="H456" s="50">
        <f t="shared" si="3033"/>
        <v>1</v>
      </c>
      <c r="I456" s="73">
        <f t="shared" si="3034"/>
        <v>0</v>
      </c>
      <c r="J456" s="50">
        <f t="shared" si="3035"/>
        <v>0</v>
      </c>
      <c r="K456" s="53">
        <f t="shared" si="3036"/>
        <v>0</v>
      </c>
      <c r="L456" s="54">
        <f t="shared" si="3037"/>
        <v>0</v>
      </c>
      <c r="M456" s="53">
        <f t="shared" si="3038"/>
        <v>1</v>
      </c>
      <c r="N456" s="54">
        <f t="shared" si="3039"/>
        <v>1</v>
      </c>
      <c r="O456" s="49">
        <f t="shared" ref="O456:P456" si="3170">SUM(K456,M456)</f>
        <v>1</v>
      </c>
      <c r="P456" s="50">
        <f t="shared" si="3170"/>
        <v>1</v>
      </c>
      <c r="Q456" s="73">
        <f t="shared" si="3041"/>
        <v>1</v>
      </c>
      <c r="R456" s="50">
        <f t="shared" si="3042"/>
        <v>3</v>
      </c>
      <c r="S456" s="53">
        <f t="shared" si="3043"/>
        <v>1</v>
      </c>
      <c r="T456" s="54">
        <f t="shared" si="3044"/>
        <v>3</v>
      </c>
      <c r="U456" s="53">
        <f t="shared" si="3045"/>
        <v>1</v>
      </c>
      <c r="V456" s="54">
        <f t="shared" si="3046"/>
        <v>3</v>
      </c>
      <c r="W456" s="53">
        <f t="shared" si="3047"/>
        <v>0</v>
      </c>
      <c r="X456" s="54">
        <f t="shared" si="3048"/>
        <v>0</v>
      </c>
      <c r="Y456" s="53">
        <f t="shared" si="3049"/>
        <v>1</v>
      </c>
      <c r="Z456" s="54">
        <f t="shared" si="3050"/>
        <v>3</v>
      </c>
      <c r="AA456" s="53">
        <f t="shared" si="3051"/>
        <v>2</v>
      </c>
      <c r="AB456" s="54">
        <f t="shared" si="3052"/>
        <v>4</v>
      </c>
      <c r="AC456" s="49">
        <f t="shared" ref="AC456:AD456" si="3171">SUM(S456,U456,W456,Y456,AA456)</f>
        <v>5</v>
      </c>
      <c r="AD456" s="50">
        <f t="shared" si="3171"/>
        <v>13</v>
      </c>
      <c r="AE456" s="53">
        <f t="shared" si="3054"/>
        <v>1</v>
      </c>
      <c r="AF456" s="54">
        <f t="shared" si="3055"/>
        <v>1</v>
      </c>
      <c r="AG456" s="53">
        <f t="shared" si="3056"/>
        <v>0</v>
      </c>
      <c r="AH456" s="54">
        <f t="shared" si="3057"/>
        <v>0</v>
      </c>
      <c r="AI456" s="53">
        <f t="shared" si="3058"/>
        <v>1</v>
      </c>
      <c r="AJ456" s="54">
        <f t="shared" si="3059"/>
        <v>1</v>
      </c>
      <c r="AK456" s="53">
        <f t="shared" si="3060"/>
        <v>1</v>
      </c>
      <c r="AL456" s="54">
        <f t="shared" si="3061"/>
        <v>1</v>
      </c>
      <c r="AM456" s="53">
        <f t="shared" si="3062"/>
        <v>1</v>
      </c>
      <c r="AN456" s="54">
        <f t="shared" si="3063"/>
        <v>2</v>
      </c>
      <c r="AO456" s="53">
        <f t="shared" si="3064"/>
        <v>1</v>
      </c>
      <c r="AP456" s="54">
        <f t="shared" si="3065"/>
        <v>2</v>
      </c>
      <c r="AQ456" s="49">
        <f t="shared" ref="AQ456:AR456" si="3172">SUM(AG456,AI456,AK456,AM456,AO456)</f>
        <v>4</v>
      </c>
      <c r="AR456" s="50">
        <f t="shared" si="3172"/>
        <v>6</v>
      </c>
      <c r="AS456" s="53">
        <f t="shared" si="3067"/>
        <v>0</v>
      </c>
      <c r="AT456" s="54">
        <f t="shared" si="3068"/>
        <v>0</v>
      </c>
      <c r="AU456" s="53">
        <f t="shared" si="3069"/>
        <v>1</v>
      </c>
      <c r="AV456" s="54">
        <f t="shared" si="3070"/>
        <v>1</v>
      </c>
      <c r="AW456" s="53">
        <f t="shared" si="3071"/>
        <v>0</v>
      </c>
      <c r="AX456" s="54">
        <f t="shared" si="3072"/>
        <v>0</v>
      </c>
      <c r="AY456" s="53">
        <f t="shared" si="3073"/>
        <v>1</v>
      </c>
      <c r="AZ456" s="54">
        <f t="shared" si="3074"/>
        <v>2</v>
      </c>
      <c r="BA456" s="53">
        <f t="shared" si="3075"/>
        <v>1</v>
      </c>
      <c r="BB456" s="54">
        <f t="shared" si="3076"/>
        <v>2</v>
      </c>
      <c r="BC456" s="49">
        <f t="shared" ref="BC456:BD456" si="3173">SUM(AS456,AU456,AW456,AY456,BA456)</f>
        <v>3</v>
      </c>
      <c r="BD456" s="50">
        <f t="shared" si="3173"/>
        <v>5</v>
      </c>
      <c r="BE456" s="68">
        <f t="shared" ref="BE456:BF456" si="3174">SUM(E456,G456,I456,O456,Q456,AC456,AQ456,BC456)</f>
        <v>16</v>
      </c>
      <c r="BF456" s="69">
        <f t="shared" si="3174"/>
        <v>30</v>
      </c>
      <c r="BG456" s="46" t="str">
        <f>BF456*'ОВгП_РАО'!$B$22</f>
        <v>#REF!</v>
      </c>
      <c r="BH456" s="46" t="str">
        <f>'ОВгП_РАО'!$B$22</f>
        <v>#REF!</v>
      </c>
    </row>
    <row r="457" ht="15.75" customHeight="1">
      <c r="A457" s="80">
        <f t="shared" si="3079"/>
        <v>46273</v>
      </c>
      <c r="B457" s="47" t="s">
        <v>143</v>
      </c>
      <c r="C457" s="46" t="s">
        <v>96</v>
      </c>
      <c r="D457" s="47" t="s">
        <v>98</v>
      </c>
      <c r="E457" s="73">
        <f t="shared" si="3030"/>
        <v>0</v>
      </c>
      <c r="F457" s="50">
        <f t="shared" si="3031"/>
        <v>0</v>
      </c>
      <c r="G457" s="73">
        <f t="shared" si="3032"/>
        <v>2</v>
      </c>
      <c r="H457" s="50">
        <f t="shared" si="3033"/>
        <v>4</v>
      </c>
      <c r="I457" s="73">
        <f t="shared" si="3034"/>
        <v>0</v>
      </c>
      <c r="J457" s="50">
        <f t="shared" si="3035"/>
        <v>0</v>
      </c>
      <c r="K457" s="53">
        <f t="shared" si="3036"/>
        <v>1</v>
      </c>
      <c r="L457" s="54">
        <f t="shared" si="3037"/>
        <v>3</v>
      </c>
      <c r="M457" s="53">
        <f t="shared" si="3038"/>
        <v>1</v>
      </c>
      <c r="N457" s="54">
        <f t="shared" si="3039"/>
        <v>2</v>
      </c>
      <c r="O457" s="49">
        <f t="shared" ref="O457:P457" si="3175">SUM(K457,M457)</f>
        <v>2</v>
      </c>
      <c r="P457" s="50">
        <f t="shared" si="3175"/>
        <v>5</v>
      </c>
      <c r="Q457" s="73">
        <f t="shared" si="3041"/>
        <v>1</v>
      </c>
      <c r="R457" s="50">
        <f t="shared" si="3042"/>
        <v>2</v>
      </c>
      <c r="S457" s="53">
        <f t="shared" si="3043"/>
        <v>2</v>
      </c>
      <c r="T457" s="54">
        <f t="shared" si="3044"/>
        <v>4</v>
      </c>
      <c r="U457" s="53">
        <f t="shared" si="3045"/>
        <v>0</v>
      </c>
      <c r="V457" s="54">
        <f t="shared" si="3046"/>
        <v>0</v>
      </c>
      <c r="W457" s="53">
        <f t="shared" si="3047"/>
        <v>1</v>
      </c>
      <c r="X457" s="54">
        <f t="shared" si="3048"/>
        <v>1</v>
      </c>
      <c r="Y457" s="53">
        <f t="shared" si="3049"/>
        <v>0</v>
      </c>
      <c r="Z457" s="54">
        <f t="shared" si="3050"/>
        <v>0</v>
      </c>
      <c r="AA457" s="53">
        <f t="shared" si="3051"/>
        <v>0</v>
      </c>
      <c r="AB457" s="54">
        <f t="shared" si="3052"/>
        <v>0</v>
      </c>
      <c r="AC457" s="49">
        <f t="shared" ref="AC457:AD457" si="3176">SUM(S457,U457,W457,Y457,AA457)</f>
        <v>3</v>
      </c>
      <c r="AD457" s="50">
        <f t="shared" si="3176"/>
        <v>5</v>
      </c>
      <c r="AE457" s="53">
        <f t="shared" si="3054"/>
        <v>1</v>
      </c>
      <c r="AF457" s="54">
        <f t="shared" si="3055"/>
        <v>2</v>
      </c>
      <c r="AG457" s="53">
        <f t="shared" si="3056"/>
        <v>1</v>
      </c>
      <c r="AH457" s="54">
        <f t="shared" si="3057"/>
        <v>2</v>
      </c>
      <c r="AI457" s="53">
        <f t="shared" si="3058"/>
        <v>1</v>
      </c>
      <c r="AJ457" s="54">
        <f t="shared" si="3059"/>
        <v>1</v>
      </c>
      <c r="AK457" s="53">
        <f t="shared" si="3060"/>
        <v>1</v>
      </c>
      <c r="AL457" s="54">
        <f t="shared" si="3061"/>
        <v>2</v>
      </c>
      <c r="AM457" s="53">
        <f t="shared" si="3062"/>
        <v>0</v>
      </c>
      <c r="AN457" s="54">
        <f t="shared" si="3063"/>
        <v>0</v>
      </c>
      <c r="AO457" s="53">
        <f t="shared" si="3064"/>
        <v>1</v>
      </c>
      <c r="AP457" s="54">
        <f t="shared" si="3065"/>
        <v>2</v>
      </c>
      <c r="AQ457" s="49">
        <f t="shared" ref="AQ457:AR457" si="3177">SUM(AG457,AI457,AK457,AM457,AO457)</f>
        <v>4</v>
      </c>
      <c r="AR457" s="50">
        <f t="shared" si="3177"/>
        <v>7</v>
      </c>
      <c r="AS457" s="53">
        <f t="shared" si="3067"/>
        <v>1</v>
      </c>
      <c r="AT457" s="54">
        <f t="shared" si="3068"/>
        <v>1</v>
      </c>
      <c r="AU457" s="53">
        <f t="shared" si="3069"/>
        <v>2</v>
      </c>
      <c r="AV457" s="54">
        <f t="shared" si="3070"/>
        <v>4</v>
      </c>
      <c r="AW457" s="53">
        <f t="shared" si="3071"/>
        <v>1</v>
      </c>
      <c r="AX457" s="54">
        <f t="shared" si="3072"/>
        <v>1</v>
      </c>
      <c r="AY457" s="53">
        <f t="shared" si="3073"/>
        <v>0</v>
      </c>
      <c r="AZ457" s="54">
        <f t="shared" si="3074"/>
        <v>0</v>
      </c>
      <c r="BA457" s="53">
        <f t="shared" si="3075"/>
        <v>1</v>
      </c>
      <c r="BB457" s="54">
        <f t="shared" si="3076"/>
        <v>1</v>
      </c>
      <c r="BC457" s="49">
        <f t="shared" ref="BC457:BD457" si="3178">SUM(AS457,AU457,AW457,AY457,BA457)</f>
        <v>5</v>
      </c>
      <c r="BD457" s="50">
        <f t="shared" si="3178"/>
        <v>7</v>
      </c>
      <c r="BE457" s="68">
        <f t="shared" ref="BE457:BF457" si="3179">SUM(E457,G457,I457,O457,Q457,AC457,AQ457,BC457)</f>
        <v>17</v>
      </c>
      <c r="BF457" s="69">
        <f t="shared" si="3179"/>
        <v>30</v>
      </c>
      <c r="BG457" s="46" t="str">
        <f>BF457*'ОВгП_РАО'!$B$23</f>
        <v>#REF!</v>
      </c>
      <c r="BH457" s="46" t="str">
        <f>'ОВгП_РАО'!$B$23</f>
        <v>#REF!</v>
      </c>
    </row>
    <row r="458" ht="15.75" customHeight="1">
      <c r="A458" s="80">
        <f t="shared" si="3079"/>
        <v>46273</v>
      </c>
      <c r="B458" s="47" t="s">
        <v>144</v>
      </c>
      <c r="C458" s="46" t="s">
        <v>96</v>
      </c>
      <c r="D458" s="47" t="s">
        <v>145</v>
      </c>
      <c r="E458" s="73">
        <f t="shared" si="3030"/>
        <v>1</v>
      </c>
      <c r="F458" s="50">
        <f t="shared" si="3031"/>
        <v>2</v>
      </c>
      <c r="G458" s="73">
        <f t="shared" si="3032"/>
        <v>0</v>
      </c>
      <c r="H458" s="50">
        <f t="shared" si="3033"/>
        <v>0</v>
      </c>
      <c r="I458" s="73">
        <f t="shared" si="3034"/>
        <v>1</v>
      </c>
      <c r="J458" s="50">
        <f t="shared" si="3035"/>
        <v>1</v>
      </c>
      <c r="K458" s="53">
        <f t="shared" si="3036"/>
        <v>1</v>
      </c>
      <c r="L458" s="54">
        <f t="shared" si="3037"/>
        <v>3</v>
      </c>
      <c r="M458" s="53">
        <f t="shared" si="3038"/>
        <v>1</v>
      </c>
      <c r="N458" s="54">
        <f t="shared" si="3039"/>
        <v>3</v>
      </c>
      <c r="O458" s="49">
        <f t="shared" ref="O458:P458" si="3180">SUM(K458,M458)</f>
        <v>2</v>
      </c>
      <c r="P458" s="50">
        <f t="shared" si="3180"/>
        <v>6</v>
      </c>
      <c r="Q458" s="73">
        <f t="shared" si="3041"/>
        <v>1</v>
      </c>
      <c r="R458" s="50">
        <f t="shared" si="3042"/>
        <v>1</v>
      </c>
      <c r="S458" s="53">
        <f t="shared" si="3043"/>
        <v>1</v>
      </c>
      <c r="T458" s="54">
        <f t="shared" si="3044"/>
        <v>2</v>
      </c>
      <c r="U458" s="53">
        <f t="shared" si="3045"/>
        <v>1</v>
      </c>
      <c r="V458" s="54">
        <f t="shared" si="3046"/>
        <v>1</v>
      </c>
      <c r="W458" s="53">
        <f t="shared" si="3047"/>
        <v>2</v>
      </c>
      <c r="X458" s="54">
        <f t="shared" si="3048"/>
        <v>4</v>
      </c>
      <c r="Y458" s="53">
        <f t="shared" si="3049"/>
        <v>1</v>
      </c>
      <c r="Z458" s="54">
        <f t="shared" si="3050"/>
        <v>1</v>
      </c>
      <c r="AA458" s="53">
        <f t="shared" si="3051"/>
        <v>1</v>
      </c>
      <c r="AB458" s="54">
        <f t="shared" si="3052"/>
        <v>3</v>
      </c>
      <c r="AC458" s="49">
        <f t="shared" ref="AC458:AD458" si="3181">SUM(S458,U458,W458,Y458,AA458)</f>
        <v>6</v>
      </c>
      <c r="AD458" s="50">
        <f t="shared" si="3181"/>
        <v>11</v>
      </c>
      <c r="AE458" s="53">
        <f t="shared" si="3054"/>
        <v>1</v>
      </c>
      <c r="AF458" s="54">
        <f t="shared" si="3055"/>
        <v>3</v>
      </c>
      <c r="AG458" s="53">
        <f t="shared" si="3056"/>
        <v>1</v>
      </c>
      <c r="AH458" s="54">
        <f t="shared" si="3057"/>
        <v>1</v>
      </c>
      <c r="AI458" s="53">
        <f t="shared" si="3058"/>
        <v>1</v>
      </c>
      <c r="AJ458" s="54">
        <f t="shared" si="3059"/>
        <v>3</v>
      </c>
      <c r="AK458" s="53">
        <f t="shared" si="3060"/>
        <v>1</v>
      </c>
      <c r="AL458" s="54">
        <f t="shared" si="3061"/>
        <v>2</v>
      </c>
      <c r="AM458" s="53">
        <f t="shared" si="3062"/>
        <v>1</v>
      </c>
      <c r="AN458" s="54">
        <f t="shared" si="3063"/>
        <v>3</v>
      </c>
      <c r="AO458" s="53">
        <f t="shared" si="3064"/>
        <v>0</v>
      </c>
      <c r="AP458" s="54">
        <f t="shared" si="3065"/>
        <v>0</v>
      </c>
      <c r="AQ458" s="49">
        <f t="shared" ref="AQ458:AR458" si="3182">SUM(AG458,AI458,AK458,AM458,AO458)</f>
        <v>4</v>
      </c>
      <c r="AR458" s="50">
        <f t="shared" si="3182"/>
        <v>9</v>
      </c>
      <c r="AS458" s="53">
        <f t="shared" si="3067"/>
        <v>1</v>
      </c>
      <c r="AT458" s="54">
        <f t="shared" si="3068"/>
        <v>1</v>
      </c>
      <c r="AU458" s="53">
        <f t="shared" si="3069"/>
        <v>0</v>
      </c>
      <c r="AV458" s="54">
        <f t="shared" si="3070"/>
        <v>0</v>
      </c>
      <c r="AW458" s="53">
        <f t="shared" si="3071"/>
        <v>1</v>
      </c>
      <c r="AX458" s="54">
        <f t="shared" si="3072"/>
        <v>3</v>
      </c>
      <c r="AY458" s="53">
        <f t="shared" si="3073"/>
        <v>1</v>
      </c>
      <c r="AZ458" s="54">
        <f t="shared" si="3074"/>
        <v>1</v>
      </c>
      <c r="BA458" s="53">
        <f t="shared" si="3075"/>
        <v>1</v>
      </c>
      <c r="BB458" s="54">
        <f t="shared" si="3076"/>
        <v>3</v>
      </c>
      <c r="BC458" s="49">
        <f t="shared" ref="BC458:BD458" si="3183">SUM(AS458,AU458,AW458,AY458,BA458)</f>
        <v>4</v>
      </c>
      <c r="BD458" s="50">
        <f t="shared" si="3183"/>
        <v>8</v>
      </c>
      <c r="BE458" s="68">
        <f t="shared" ref="BE458:BF458" si="3184">SUM(E458,G458,I458,O458,Q458,AC458,AQ458,BC458)</f>
        <v>19</v>
      </c>
      <c r="BF458" s="69">
        <f t="shared" si="3184"/>
        <v>38</v>
      </c>
      <c r="BG458" s="46" t="str">
        <f>BF458*'ОВгП_РАО'!$B$24</f>
        <v>#REF!</v>
      </c>
      <c r="BH458" s="46" t="str">
        <f>'ОВгП_РАО'!$B$24</f>
        <v>#REF!</v>
      </c>
    </row>
    <row r="459" ht="15.75" customHeight="1">
      <c r="A459" s="80">
        <f t="shared" si="3079"/>
        <v>46273</v>
      </c>
      <c r="B459" s="47" t="s">
        <v>146</v>
      </c>
      <c r="C459" s="46" t="s">
        <v>96</v>
      </c>
      <c r="D459" s="47" t="s">
        <v>145</v>
      </c>
      <c r="E459" s="73">
        <f t="shared" si="3030"/>
        <v>0</v>
      </c>
      <c r="F459" s="50">
        <f t="shared" si="3031"/>
        <v>0</v>
      </c>
      <c r="G459" s="73">
        <f t="shared" si="3032"/>
        <v>1</v>
      </c>
      <c r="H459" s="50">
        <f t="shared" si="3033"/>
        <v>1</v>
      </c>
      <c r="I459" s="73">
        <f t="shared" si="3034"/>
        <v>2</v>
      </c>
      <c r="J459" s="50">
        <f t="shared" si="3035"/>
        <v>4</v>
      </c>
      <c r="K459" s="53">
        <f t="shared" si="3036"/>
        <v>0</v>
      </c>
      <c r="L459" s="54">
        <f t="shared" si="3037"/>
        <v>0</v>
      </c>
      <c r="M459" s="53">
        <f t="shared" si="3038"/>
        <v>0</v>
      </c>
      <c r="N459" s="54">
        <f t="shared" si="3039"/>
        <v>0</v>
      </c>
      <c r="O459" s="49">
        <f t="shared" ref="O459:P459" si="3185">SUM(K459,M459)</f>
        <v>0</v>
      </c>
      <c r="P459" s="50">
        <f t="shared" si="3185"/>
        <v>0</v>
      </c>
      <c r="Q459" s="73">
        <f t="shared" si="3041"/>
        <v>0</v>
      </c>
      <c r="R459" s="50">
        <f t="shared" si="3042"/>
        <v>0</v>
      </c>
      <c r="S459" s="53">
        <f t="shared" si="3043"/>
        <v>1</v>
      </c>
      <c r="T459" s="54">
        <f t="shared" si="3044"/>
        <v>2</v>
      </c>
      <c r="U459" s="53">
        <f t="shared" si="3045"/>
        <v>2</v>
      </c>
      <c r="V459" s="54">
        <f t="shared" si="3046"/>
        <v>4</v>
      </c>
      <c r="W459" s="53">
        <f t="shared" si="3047"/>
        <v>1</v>
      </c>
      <c r="X459" s="54">
        <f t="shared" si="3048"/>
        <v>1</v>
      </c>
      <c r="Y459" s="53">
        <f t="shared" si="3049"/>
        <v>2</v>
      </c>
      <c r="Z459" s="54">
        <f t="shared" si="3050"/>
        <v>4</v>
      </c>
      <c r="AA459" s="53">
        <f t="shared" si="3051"/>
        <v>0</v>
      </c>
      <c r="AB459" s="54">
        <f t="shared" si="3052"/>
        <v>0</v>
      </c>
      <c r="AC459" s="49">
        <f t="shared" ref="AC459:AD459" si="3186">SUM(S459,U459,W459,Y459,AA459)</f>
        <v>6</v>
      </c>
      <c r="AD459" s="50">
        <f t="shared" si="3186"/>
        <v>11</v>
      </c>
      <c r="AE459" s="53">
        <f t="shared" si="3054"/>
        <v>2</v>
      </c>
      <c r="AF459" s="54">
        <f t="shared" si="3055"/>
        <v>4</v>
      </c>
      <c r="AG459" s="53">
        <f t="shared" si="3056"/>
        <v>1</v>
      </c>
      <c r="AH459" s="54">
        <f t="shared" si="3057"/>
        <v>3</v>
      </c>
      <c r="AI459" s="53">
        <f t="shared" si="3058"/>
        <v>1</v>
      </c>
      <c r="AJ459" s="54">
        <f t="shared" si="3059"/>
        <v>3</v>
      </c>
      <c r="AK459" s="53">
        <f t="shared" si="3060"/>
        <v>1</v>
      </c>
      <c r="AL459" s="54">
        <f t="shared" si="3061"/>
        <v>2</v>
      </c>
      <c r="AM459" s="53">
        <f t="shared" si="3062"/>
        <v>1</v>
      </c>
      <c r="AN459" s="54">
        <f t="shared" si="3063"/>
        <v>1</v>
      </c>
      <c r="AO459" s="53">
        <f t="shared" si="3064"/>
        <v>1</v>
      </c>
      <c r="AP459" s="54">
        <f t="shared" si="3065"/>
        <v>3</v>
      </c>
      <c r="AQ459" s="49">
        <f t="shared" ref="AQ459:AR459" si="3187">SUM(AG459,AI459,AK459,AM459,AO459)</f>
        <v>5</v>
      </c>
      <c r="AR459" s="50">
        <f t="shared" si="3187"/>
        <v>12</v>
      </c>
      <c r="AS459" s="53">
        <f t="shared" si="3067"/>
        <v>0</v>
      </c>
      <c r="AT459" s="54">
        <f t="shared" si="3068"/>
        <v>0</v>
      </c>
      <c r="AU459" s="53">
        <f t="shared" si="3069"/>
        <v>1</v>
      </c>
      <c r="AV459" s="54">
        <f t="shared" si="3070"/>
        <v>3</v>
      </c>
      <c r="AW459" s="53">
        <f t="shared" si="3071"/>
        <v>1</v>
      </c>
      <c r="AX459" s="54">
        <f t="shared" si="3072"/>
        <v>2</v>
      </c>
      <c r="AY459" s="53">
        <f t="shared" si="3073"/>
        <v>1</v>
      </c>
      <c r="AZ459" s="54">
        <f t="shared" si="3074"/>
        <v>2</v>
      </c>
      <c r="BA459" s="53">
        <f t="shared" si="3075"/>
        <v>1</v>
      </c>
      <c r="BB459" s="54">
        <f t="shared" si="3076"/>
        <v>2</v>
      </c>
      <c r="BC459" s="49">
        <f t="shared" ref="BC459:BD459" si="3188">SUM(AS459,AU459,AW459,AY459,BA459)</f>
        <v>4</v>
      </c>
      <c r="BD459" s="50">
        <f t="shared" si="3188"/>
        <v>9</v>
      </c>
      <c r="BE459" s="68">
        <f t="shared" ref="BE459:BF459" si="3189">SUM(E459,G459,I459,O459,Q459,AC459,AQ459,BC459)</f>
        <v>18</v>
      </c>
      <c r="BF459" s="69">
        <f t="shared" si="3189"/>
        <v>37</v>
      </c>
      <c r="BG459" s="46" t="str">
        <f>BF459*'ОВгП_РАО'!$B$25</f>
        <v>#REF!</v>
      </c>
      <c r="BH459" s="46" t="str">
        <f>'ОВгП_РАО'!$B$25</f>
        <v>#REF!</v>
      </c>
    </row>
    <row r="460" ht="15.75" customHeight="1">
      <c r="A460" s="80">
        <f t="shared" si="3079"/>
        <v>46273</v>
      </c>
      <c r="B460" s="47" t="s">
        <v>147</v>
      </c>
      <c r="C460" s="46" t="s">
        <v>96</v>
      </c>
      <c r="D460" s="47" t="s">
        <v>148</v>
      </c>
      <c r="E460" s="73">
        <f t="shared" si="3030"/>
        <v>2</v>
      </c>
      <c r="F460" s="50">
        <f t="shared" si="3031"/>
        <v>4</v>
      </c>
      <c r="G460" s="73">
        <f t="shared" si="3032"/>
        <v>1</v>
      </c>
      <c r="H460" s="50">
        <f t="shared" si="3033"/>
        <v>1</v>
      </c>
      <c r="I460" s="73">
        <f t="shared" si="3034"/>
        <v>0</v>
      </c>
      <c r="J460" s="50">
        <f t="shared" si="3035"/>
        <v>0</v>
      </c>
      <c r="K460" s="53">
        <f t="shared" si="3036"/>
        <v>1</v>
      </c>
      <c r="L460" s="54">
        <f t="shared" si="3037"/>
        <v>1</v>
      </c>
      <c r="M460" s="53">
        <f t="shared" si="3038"/>
        <v>2</v>
      </c>
      <c r="N460" s="54">
        <f t="shared" si="3039"/>
        <v>4</v>
      </c>
      <c r="O460" s="49">
        <f t="shared" ref="O460:P460" si="3190">SUM(K460,M460)</f>
        <v>3</v>
      </c>
      <c r="P460" s="50">
        <f t="shared" si="3190"/>
        <v>5</v>
      </c>
      <c r="Q460" s="73">
        <f t="shared" si="3041"/>
        <v>1</v>
      </c>
      <c r="R460" s="50">
        <f t="shared" si="3042"/>
        <v>3</v>
      </c>
      <c r="S460" s="53">
        <f t="shared" si="3043"/>
        <v>2</v>
      </c>
      <c r="T460" s="54">
        <f t="shared" si="3044"/>
        <v>4</v>
      </c>
      <c r="U460" s="53">
        <f t="shared" si="3045"/>
        <v>1</v>
      </c>
      <c r="V460" s="54">
        <f t="shared" si="3046"/>
        <v>1</v>
      </c>
      <c r="W460" s="53">
        <f t="shared" si="3047"/>
        <v>1</v>
      </c>
      <c r="X460" s="54">
        <f t="shared" si="3048"/>
        <v>3</v>
      </c>
      <c r="Y460" s="53">
        <f t="shared" si="3049"/>
        <v>1</v>
      </c>
      <c r="Z460" s="54">
        <f t="shared" si="3050"/>
        <v>3</v>
      </c>
      <c r="AA460" s="53">
        <f t="shared" si="3051"/>
        <v>1</v>
      </c>
      <c r="AB460" s="54">
        <f t="shared" si="3052"/>
        <v>2</v>
      </c>
      <c r="AC460" s="49">
        <f t="shared" ref="AC460:AD460" si="3191">SUM(S460,U460,W460,Y460,AA460)</f>
        <v>6</v>
      </c>
      <c r="AD460" s="50">
        <f t="shared" si="3191"/>
        <v>13</v>
      </c>
      <c r="AE460" s="53">
        <f t="shared" si="3054"/>
        <v>1</v>
      </c>
      <c r="AF460" s="54">
        <f t="shared" si="3055"/>
        <v>2</v>
      </c>
      <c r="AG460" s="53">
        <f t="shared" si="3056"/>
        <v>1</v>
      </c>
      <c r="AH460" s="54">
        <f t="shared" si="3057"/>
        <v>1</v>
      </c>
      <c r="AI460" s="53">
        <f t="shared" si="3058"/>
        <v>1</v>
      </c>
      <c r="AJ460" s="54">
        <f t="shared" si="3059"/>
        <v>2</v>
      </c>
      <c r="AK460" s="53">
        <f t="shared" si="3060"/>
        <v>1</v>
      </c>
      <c r="AL460" s="54">
        <f t="shared" si="3061"/>
        <v>3</v>
      </c>
      <c r="AM460" s="53">
        <f t="shared" si="3062"/>
        <v>1</v>
      </c>
      <c r="AN460" s="54">
        <f t="shared" si="3063"/>
        <v>3</v>
      </c>
      <c r="AO460" s="53">
        <f t="shared" si="3064"/>
        <v>2</v>
      </c>
      <c r="AP460" s="54">
        <f t="shared" si="3065"/>
        <v>4</v>
      </c>
      <c r="AQ460" s="49">
        <f t="shared" ref="AQ460:AR460" si="3192">SUM(AG460,AI460,AK460,AM460,AO460)</f>
        <v>6</v>
      </c>
      <c r="AR460" s="50">
        <f t="shared" si="3192"/>
        <v>13</v>
      </c>
      <c r="AS460" s="53">
        <f t="shared" si="3067"/>
        <v>1</v>
      </c>
      <c r="AT460" s="54">
        <f t="shared" si="3068"/>
        <v>1</v>
      </c>
      <c r="AU460" s="53">
        <f t="shared" si="3069"/>
        <v>1</v>
      </c>
      <c r="AV460" s="54">
        <f t="shared" si="3070"/>
        <v>2</v>
      </c>
      <c r="AW460" s="53">
        <f t="shared" si="3071"/>
        <v>1</v>
      </c>
      <c r="AX460" s="54">
        <f t="shared" si="3072"/>
        <v>1</v>
      </c>
      <c r="AY460" s="53">
        <f t="shared" si="3073"/>
        <v>0</v>
      </c>
      <c r="AZ460" s="54">
        <f t="shared" si="3074"/>
        <v>0</v>
      </c>
      <c r="BA460" s="53">
        <f t="shared" si="3075"/>
        <v>1</v>
      </c>
      <c r="BB460" s="54">
        <f t="shared" si="3076"/>
        <v>2</v>
      </c>
      <c r="BC460" s="49">
        <f t="shared" ref="BC460:BD460" si="3193">SUM(AS460,AU460,AW460,AY460,BA460)</f>
        <v>4</v>
      </c>
      <c r="BD460" s="50">
        <f t="shared" si="3193"/>
        <v>6</v>
      </c>
      <c r="BE460" s="68">
        <f t="shared" ref="BE460:BF460" si="3194">SUM(E460,G460,I460,O460,Q460,AC460,AQ460,BC460)</f>
        <v>23</v>
      </c>
      <c r="BF460" s="69">
        <f t="shared" si="3194"/>
        <v>45</v>
      </c>
      <c r="BG460" s="46" t="str">
        <f>BF460*'ОВгП_РАО'!$B$26</f>
        <v>#REF!</v>
      </c>
      <c r="BH460" s="46" t="str">
        <f>'ОВгП_РАО'!$B$26</f>
        <v>#REF!</v>
      </c>
    </row>
    <row r="461" ht="15.75" customHeight="1">
      <c r="A461" s="80">
        <f t="shared" si="3079"/>
        <v>46273</v>
      </c>
      <c r="B461" s="47" t="s">
        <v>149</v>
      </c>
      <c r="C461" s="47" t="s">
        <v>122</v>
      </c>
      <c r="D461" s="47" t="s">
        <v>150</v>
      </c>
      <c r="E461" s="73">
        <f t="shared" si="3030"/>
        <v>2</v>
      </c>
      <c r="F461" s="50">
        <f t="shared" si="3031"/>
        <v>4</v>
      </c>
      <c r="G461" s="73">
        <f t="shared" si="3032"/>
        <v>0</v>
      </c>
      <c r="H461" s="50">
        <f t="shared" si="3033"/>
        <v>0</v>
      </c>
      <c r="I461" s="73">
        <f t="shared" si="3034"/>
        <v>1</v>
      </c>
      <c r="J461" s="50">
        <f t="shared" si="3035"/>
        <v>3</v>
      </c>
      <c r="K461" s="53">
        <f t="shared" si="3036"/>
        <v>1</v>
      </c>
      <c r="L461" s="54">
        <f t="shared" si="3037"/>
        <v>2</v>
      </c>
      <c r="M461" s="53">
        <f t="shared" si="3038"/>
        <v>1</v>
      </c>
      <c r="N461" s="54">
        <f t="shared" si="3039"/>
        <v>1</v>
      </c>
      <c r="O461" s="49">
        <f t="shared" ref="O461:P461" si="3195">SUM(K461,M461)</f>
        <v>2</v>
      </c>
      <c r="P461" s="50">
        <f t="shared" si="3195"/>
        <v>3</v>
      </c>
      <c r="Q461" s="73">
        <f t="shared" si="3041"/>
        <v>1</v>
      </c>
      <c r="R461" s="50">
        <f t="shared" si="3042"/>
        <v>3</v>
      </c>
      <c r="S461" s="53">
        <f t="shared" si="3043"/>
        <v>0</v>
      </c>
      <c r="T461" s="54">
        <f t="shared" si="3044"/>
        <v>0</v>
      </c>
      <c r="U461" s="53">
        <f t="shared" si="3045"/>
        <v>1</v>
      </c>
      <c r="V461" s="54">
        <f t="shared" si="3046"/>
        <v>2</v>
      </c>
      <c r="W461" s="53">
        <f t="shared" si="3047"/>
        <v>0</v>
      </c>
      <c r="X461" s="54">
        <f t="shared" si="3048"/>
        <v>0</v>
      </c>
      <c r="Y461" s="53">
        <f t="shared" si="3049"/>
        <v>1</v>
      </c>
      <c r="Z461" s="54">
        <f t="shared" si="3050"/>
        <v>1</v>
      </c>
      <c r="AA461" s="53">
        <f t="shared" si="3051"/>
        <v>1</v>
      </c>
      <c r="AB461" s="54">
        <f t="shared" si="3052"/>
        <v>2</v>
      </c>
      <c r="AC461" s="49">
        <f t="shared" ref="AC461:AD461" si="3196">SUM(S461,U461,W461,Y461,AA461)</f>
        <v>3</v>
      </c>
      <c r="AD461" s="50">
        <f t="shared" si="3196"/>
        <v>5</v>
      </c>
      <c r="AE461" s="53">
        <f t="shared" si="3054"/>
        <v>1</v>
      </c>
      <c r="AF461" s="54">
        <f t="shared" si="3055"/>
        <v>2</v>
      </c>
      <c r="AG461" s="53">
        <f t="shared" si="3056"/>
        <v>0</v>
      </c>
      <c r="AH461" s="54">
        <f t="shared" si="3057"/>
        <v>0</v>
      </c>
      <c r="AI461" s="53">
        <f t="shared" si="3058"/>
        <v>1</v>
      </c>
      <c r="AJ461" s="54">
        <f t="shared" si="3059"/>
        <v>1</v>
      </c>
      <c r="AK461" s="53">
        <f t="shared" si="3060"/>
        <v>0</v>
      </c>
      <c r="AL461" s="54">
        <f t="shared" si="3061"/>
        <v>0</v>
      </c>
      <c r="AM461" s="53">
        <f t="shared" si="3062"/>
        <v>1</v>
      </c>
      <c r="AN461" s="54">
        <f t="shared" si="3063"/>
        <v>2</v>
      </c>
      <c r="AO461" s="53">
        <f t="shared" si="3064"/>
        <v>0</v>
      </c>
      <c r="AP461" s="54">
        <f t="shared" si="3065"/>
        <v>0</v>
      </c>
      <c r="AQ461" s="49">
        <f t="shared" ref="AQ461:AR461" si="3197">SUM(AG461,AI461,AK461,AM461,AO461)</f>
        <v>2</v>
      </c>
      <c r="AR461" s="50">
        <f t="shared" si="3197"/>
        <v>3</v>
      </c>
      <c r="AS461" s="53">
        <f t="shared" si="3067"/>
        <v>2</v>
      </c>
      <c r="AT461" s="54">
        <f t="shared" si="3068"/>
        <v>4</v>
      </c>
      <c r="AU461" s="53">
        <f t="shared" si="3069"/>
        <v>1</v>
      </c>
      <c r="AV461" s="54">
        <f t="shared" si="3070"/>
        <v>2</v>
      </c>
      <c r="AW461" s="53">
        <f t="shared" si="3071"/>
        <v>1</v>
      </c>
      <c r="AX461" s="54">
        <f t="shared" si="3072"/>
        <v>2</v>
      </c>
      <c r="AY461" s="53">
        <f t="shared" si="3073"/>
        <v>1</v>
      </c>
      <c r="AZ461" s="54">
        <f t="shared" si="3074"/>
        <v>3</v>
      </c>
      <c r="BA461" s="53">
        <f t="shared" si="3075"/>
        <v>0</v>
      </c>
      <c r="BB461" s="54">
        <f t="shared" si="3076"/>
        <v>0</v>
      </c>
      <c r="BC461" s="49">
        <f t="shared" ref="BC461:BD461" si="3198">SUM(AS461,AU461,AW461,AY461,BA461)</f>
        <v>5</v>
      </c>
      <c r="BD461" s="50">
        <f t="shared" si="3198"/>
        <v>11</v>
      </c>
      <c r="BE461" s="68">
        <f t="shared" ref="BE461:BF461" si="3199">SUM(E461,G461,I461,O461,Q461,AC461,AQ461,BC461)</f>
        <v>16</v>
      </c>
      <c r="BF461" s="69">
        <f t="shared" si="3199"/>
        <v>32</v>
      </c>
      <c r="BG461" s="46" t="str">
        <f>BF461*'ОВгП_РАО'!$B$27</f>
        <v>#REF!</v>
      </c>
      <c r="BH461" s="46" t="str">
        <f>'ОВгП_РАО'!$B$27</f>
        <v>#REF!</v>
      </c>
    </row>
    <row r="462" ht="15.75" customHeight="1">
      <c r="A462" s="80">
        <f t="shared" si="3079"/>
        <v>46273</v>
      </c>
      <c r="B462" s="47" t="s">
        <v>151</v>
      </c>
      <c r="C462" s="47" t="s">
        <v>122</v>
      </c>
      <c r="D462" s="47" t="s">
        <v>152</v>
      </c>
      <c r="E462" s="73">
        <f t="shared" si="3030"/>
        <v>18</v>
      </c>
      <c r="F462" s="50">
        <f t="shared" ref="F462:F470" si="3205">RANDBETWEEN(0,100)</f>
        <v>53</v>
      </c>
      <c r="G462" s="73">
        <f t="shared" si="3032"/>
        <v>2</v>
      </c>
      <c r="H462" s="50">
        <f t="shared" ref="H462:H470" si="3206">RANDBETWEEN(0,100)</f>
        <v>5</v>
      </c>
      <c r="I462" s="73">
        <f t="shared" si="3034"/>
        <v>6</v>
      </c>
      <c r="J462" s="50">
        <f t="shared" ref="J462:J470" si="3207">RANDBETWEEN(0,100)</f>
        <v>17</v>
      </c>
      <c r="K462" s="53">
        <f t="shared" si="3036"/>
        <v>5</v>
      </c>
      <c r="L462" s="54">
        <f t="shared" ref="L462:L470" si="3208">RANDBETWEEN(0,100)</f>
        <v>15</v>
      </c>
      <c r="M462" s="53">
        <f t="shared" si="3038"/>
        <v>2</v>
      </c>
      <c r="N462" s="54">
        <f t="shared" ref="N462:N470" si="3209">RANDBETWEEN(0,100)</f>
        <v>6</v>
      </c>
      <c r="O462" s="49">
        <f t="shared" ref="O462:P462" si="3200">SUM(K462,M462)</f>
        <v>7</v>
      </c>
      <c r="P462" s="50">
        <f t="shared" si="3200"/>
        <v>21</v>
      </c>
      <c r="Q462" s="73">
        <f t="shared" si="3041"/>
        <v>15</v>
      </c>
      <c r="R462" s="50">
        <f t="shared" ref="R462:R470" si="3211">RANDBETWEEN(0,100)</f>
        <v>44</v>
      </c>
      <c r="S462" s="53">
        <f t="shared" si="3043"/>
        <v>35</v>
      </c>
      <c r="T462" s="54">
        <f t="shared" ref="T462:T470" si="3212">RANDBETWEEN(0,300)</f>
        <v>104</v>
      </c>
      <c r="U462" s="53">
        <f t="shared" si="3045"/>
        <v>44</v>
      </c>
      <c r="V462" s="54">
        <f t="shared" ref="V462:V470" si="3213">RANDBETWEEN(0,300)</f>
        <v>130</v>
      </c>
      <c r="W462" s="53">
        <f t="shared" si="3047"/>
        <v>4</v>
      </c>
      <c r="X462" s="54">
        <f t="shared" ref="X462:X470" si="3214">RANDBETWEEN(0,300)</f>
        <v>10</v>
      </c>
      <c r="Y462" s="53">
        <f t="shared" si="3049"/>
        <v>25</v>
      </c>
      <c r="Z462" s="54">
        <f t="shared" ref="Z462:Z470" si="3215">RANDBETWEEN(0,300)</f>
        <v>74</v>
      </c>
      <c r="AA462" s="53">
        <f t="shared" si="3051"/>
        <v>26</v>
      </c>
      <c r="AB462" s="54">
        <f t="shared" ref="AB462:AB470" si="3216">RANDBETWEEN(0,300)</f>
        <v>77</v>
      </c>
      <c r="AC462" s="49">
        <f t="shared" ref="AC462:AD462" si="3201">SUM(S462,U462,W462,Y462,AA462)</f>
        <v>134</v>
      </c>
      <c r="AD462" s="50">
        <f t="shared" si="3201"/>
        <v>395</v>
      </c>
      <c r="AE462" s="53">
        <f t="shared" si="3054"/>
        <v>60</v>
      </c>
      <c r="AF462" s="54">
        <f>RANDBETWEEN(100,500)</f>
        <v>180</v>
      </c>
      <c r="AG462" s="53">
        <f t="shared" si="3056"/>
        <v>86</v>
      </c>
      <c r="AH462" s="54">
        <f>RANDBETWEEN(100,500)</f>
        <v>258</v>
      </c>
      <c r="AI462" s="53">
        <f t="shared" si="3058"/>
        <v>149</v>
      </c>
      <c r="AJ462" s="54">
        <f>RANDBETWEEN(100,500)</f>
        <v>446</v>
      </c>
      <c r="AK462" s="53">
        <f t="shared" si="3060"/>
        <v>68</v>
      </c>
      <c r="AL462" s="54">
        <f>RANDBETWEEN(100,500)</f>
        <v>202</v>
      </c>
      <c r="AM462" s="53">
        <f t="shared" si="3062"/>
        <v>94</v>
      </c>
      <c r="AN462" s="54">
        <f>RANDBETWEEN(100,500)</f>
        <v>282</v>
      </c>
      <c r="AO462" s="53">
        <f t="shared" si="3064"/>
        <v>85</v>
      </c>
      <c r="AP462" s="54">
        <f>RANDBETWEEN(100,500)</f>
        <v>254</v>
      </c>
      <c r="AQ462" s="49">
        <f t="shared" ref="AQ462:AR462" si="3202">SUM(AG462,AI462,AK462,AM462,AO462)</f>
        <v>482</v>
      </c>
      <c r="AR462" s="50">
        <f t="shared" si="3202"/>
        <v>1442</v>
      </c>
      <c r="AS462" s="53">
        <f t="shared" si="3067"/>
        <v>53</v>
      </c>
      <c r="AT462" s="54">
        <f>RANDBETWEEN(100,500)</f>
        <v>157</v>
      </c>
      <c r="AU462" s="53">
        <f t="shared" si="3069"/>
        <v>96</v>
      </c>
      <c r="AV462" s="54">
        <f>RANDBETWEEN(100,500)</f>
        <v>288</v>
      </c>
      <c r="AW462" s="53">
        <f t="shared" si="3071"/>
        <v>155</v>
      </c>
      <c r="AX462" s="54">
        <f>RANDBETWEEN(100,500)</f>
        <v>463</v>
      </c>
      <c r="AY462" s="53">
        <f t="shared" si="3073"/>
        <v>53</v>
      </c>
      <c r="AZ462" s="54">
        <f>RANDBETWEEN(100,500)</f>
        <v>159</v>
      </c>
      <c r="BA462" s="53">
        <f t="shared" si="3075"/>
        <v>100</v>
      </c>
      <c r="BB462" s="54">
        <f>RANDBETWEEN(100,500)</f>
        <v>298</v>
      </c>
      <c r="BC462" s="49">
        <f t="shared" ref="BC462:BD462" si="3203">SUM(AS462,AU462,AW462,AY462,BA462)</f>
        <v>457</v>
      </c>
      <c r="BD462" s="50">
        <f t="shared" si="3203"/>
        <v>1365</v>
      </c>
      <c r="BE462" s="68">
        <f t="shared" ref="BE462:BF462" si="3204">SUM(E462,G462,I462,O462,Q462,AC462,AQ462,BC462)</f>
        <v>1121</v>
      </c>
      <c r="BF462" s="69">
        <f t="shared" si="3204"/>
        <v>3342</v>
      </c>
      <c r="BG462" s="46" t="str">
        <f>BF462*'ОВгП_РАО'!$B$28</f>
        <v>#REF!</v>
      </c>
      <c r="BH462" s="46" t="str">
        <f>'ОВгП_РАО'!$B$28</f>
        <v>#REF!</v>
      </c>
    </row>
    <row r="463" ht="15.75" customHeight="1">
      <c r="A463" s="80">
        <f t="shared" si="3079"/>
        <v>46273</v>
      </c>
      <c r="B463" s="47" t="s">
        <v>153</v>
      </c>
      <c r="C463" s="47" t="s">
        <v>122</v>
      </c>
      <c r="D463" s="47" t="s">
        <v>152</v>
      </c>
      <c r="E463" s="73">
        <f t="shared" si="3030"/>
        <v>13</v>
      </c>
      <c r="F463" s="50">
        <f t="shared" si="3205"/>
        <v>38</v>
      </c>
      <c r="G463" s="73">
        <f t="shared" si="3032"/>
        <v>25</v>
      </c>
      <c r="H463" s="50">
        <f t="shared" si="3206"/>
        <v>75</v>
      </c>
      <c r="I463" s="73">
        <f t="shared" si="3034"/>
        <v>10</v>
      </c>
      <c r="J463" s="50">
        <f t="shared" si="3207"/>
        <v>28</v>
      </c>
      <c r="K463" s="53">
        <f t="shared" si="3036"/>
        <v>8</v>
      </c>
      <c r="L463" s="54">
        <f t="shared" si="3208"/>
        <v>24</v>
      </c>
      <c r="M463" s="53">
        <f t="shared" si="3038"/>
        <v>0</v>
      </c>
      <c r="N463" s="54">
        <f t="shared" si="3209"/>
        <v>0</v>
      </c>
      <c r="O463" s="49">
        <f t="shared" ref="O463:P463" si="3210">SUM(K463,M463)</f>
        <v>8</v>
      </c>
      <c r="P463" s="50">
        <f t="shared" si="3210"/>
        <v>24</v>
      </c>
      <c r="Q463" s="73">
        <f t="shared" si="3041"/>
        <v>25</v>
      </c>
      <c r="R463" s="50">
        <f t="shared" si="3211"/>
        <v>74</v>
      </c>
      <c r="S463" s="53">
        <f t="shared" si="3043"/>
        <v>33</v>
      </c>
      <c r="T463" s="54">
        <f t="shared" si="3212"/>
        <v>99</v>
      </c>
      <c r="U463" s="53">
        <f t="shared" si="3045"/>
        <v>55</v>
      </c>
      <c r="V463" s="54">
        <f t="shared" si="3213"/>
        <v>163</v>
      </c>
      <c r="W463" s="53">
        <f t="shared" si="3047"/>
        <v>6</v>
      </c>
      <c r="X463" s="54">
        <f t="shared" si="3214"/>
        <v>17</v>
      </c>
      <c r="Y463" s="53">
        <f t="shared" si="3049"/>
        <v>50</v>
      </c>
      <c r="Z463" s="54">
        <f t="shared" si="3215"/>
        <v>150</v>
      </c>
      <c r="AA463" s="53">
        <f t="shared" si="3051"/>
        <v>96</v>
      </c>
      <c r="AB463" s="54">
        <f t="shared" si="3216"/>
        <v>286</v>
      </c>
      <c r="AC463" s="49">
        <f t="shared" ref="AC463:AD463" si="3217">SUM(S463,U463,W463,Y463,AA463)</f>
        <v>240</v>
      </c>
      <c r="AD463" s="50">
        <f t="shared" si="3217"/>
        <v>715</v>
      </c>
      <c r="AE463" s="53">
        <f t="shared" si="3054"/>
        <v>59</v>
      </c>
      <c r="AF463" s="54">
        <f t="shared" ref="AF463:AF470" si="3223">RANDBETWEEN(0,300)</f>
        <v>177</v>
      </c>
      <c r="AG463" s="53">
        <f t="shared" si="3056"/>
        <v>57</v>
      </c>
      <c r="AH463" s="54">
        <f t="shared" ref="AH463:AH470" si="3224">RANDBETWEEN(0,300)</f>
        <v>170</v>
      </c>
      <c r="AI463" s="53">
        <f t="shared" si="3058"/>
        <v>13</v>
      </c>
      <c r="AJ463" s="54">
        <f t="shared" ref="AJ463:AJ470" si="3225">RANDBETWEEN(0,300)</f>
        <v>39</v>
      </c>
      <c r="AK463" s="53">
        <f t="shared" si="3060"/>
        <v>0</v>
      </c>
      <c r="AL463" s="54">
        <f t="shared" ref="AL463:AL470" si="3226">RANDBETWEEN(0,300)</f>
        <v>0</v>
      </c>
      <c r="AM463" s="53">
        <f t="shared" si="3062"/>
        <v>7</v>
      </c>
      <c r="AN463" s="54">
        <f t="shared" ref="AN463:AN470" si="3227">RANDBETWEEN(0,300)</f>
        <v>20</v>
      </c>
      <c r="AO463" s="53">
        <f t="shared" si="3064"/>
        <v>65</v>
      </c>
      <c r="AP463" s="54">
        <f t="shared" ref="AP463:AP470" si="3228">RANDBETWEEN(0,300)</f>
        <v>195</v>
      </c>
      <c r="AQ463" s="49">
        <f t="shared" ref="AQ463:AR463" si="3218">SUM(AG463,AI463,AK463,AM463,AO463)</f>
        <v>142</v>
      </c>
      <c r="AR463" s="50">
        <f t="shared" si="3218"/>
        <v>424</v>
      </c>
      <c r="AS463" s="53">
        <f t="shared" si="3067"/>
        <v>25</v>
      </c>
      <c r="AT463" s="54">
        <f t="shared" ref="AT463:AT464" si="3230">RANDBETWEEN(0,300)</f>
        <v>73</v>
      </c>
      <c r="AU463" s="53">
        <f t="shared" si="3069"/>
        <v>37</v>
      </c>
      <c r="AV463" s="54">
        <f t="shared" ref="AV463:AV464" si="3231">RANDBETWEEN(0,300)</f>
        <v>110</v>
      </c>
      <c r="AW463" s="53">
        <f t="shared" si="3071"/>
        <v>81</v>
      </c>
      <c r="AX463" s="54">
        <f t="shared" ref="AX463:AX464" si="3232">RANDBETWEEN(0,300)</f>
        <v>243</v>
      </c>
      <c r="AY463" s="53">
        <f t="shared" si="3073"/>
        <v>41</v>
      </c>
      <c r="AZ463" s="54">
        <f t="shared" ref="AZ463:AZ464" si="3233">RANDBETWEEN(0,300)</f>
        <v>122</v>
      </c>
      <c r="BA463" s="53">
        <f t="shared" si="3075"/>
        <v>85</v>
      </c>
      <c r="BB463" s="54">
        <f t="shared" ref="BB463:BB464" si="3234">RANDBETWEEN(0,300)</f>
        <v>254</v>
      </c>
      <c r="BC463" s="49">
        <f t="shared" ref="BC463:BD463" si="3219">SUM(AS463,AU463,AW463,AY463,BA463)</f>
        <v>269</v>
      </c>
      <c r="BD463" s="50">
        <f t="shared" si="3219"/>
        <v>802</v>
      </c>
      <c r="BE463" s="68">
        <f t="shared" ref="BE463:BF463" si="3220">SUM(E463,G463,I463,O463,Q463,AC463,AQ463,BC463)</f>
        <v>732</v>
      </c>
      <c r="BF463" s="69">
        <f t="shared" si="3220"/>
        <v>2180</v>
      </c>
      <c r="BG463" s="46" t="str">
        <f>BF463*'ОВгП_РАО'!$B$29</f>
        <v>#REF!</v>
      </c>
      <c r="BH463" s="46" t="str">
        <f>'ОВгП_РАО'!$B$29</f>
        <v>#REF!</v>
      </c>
    </row>
    <row r="464" ht="15.75" customHeight="1">
      <c r="A464" s="80">
        <f t="shared" si="3079"/>
        <v>46273</v>
      </c>
      <c r="B464" s="47" t="s">
        <v>154</v>
      </c>
      <c r="C464" s="47" t="s">
        <v>122</v>
      </c>
      <c r="D464" s="47" t="s">
        <v>152</v>
      </c>
      <c r="E464" s="73">
        <f t="shared" si="3030"/>
        <v>22</v>
      </c>
      <c r="F464" s="50">
        <f t="shared" si="3205"/>
        <v>66</v>
      </c>
      <c r="G464" s="73">
        <f t="shared" si="3032"/>
        <v>17</v>
      </c>
      <c r="H464" s="50">
        <f t="shared" si="3206"/>
        <v>49</v>
      </c>
      <c r="I464" s="73">
        <f t="shared" si="3034"/>
        <v>1</v>
      </c>
      <c r="J464" s="50">
        <f t="shared" si="3207"/>
        <v>3</v>
      </c>
      <c r="K464" s="53">
        <f t="shared" si="3036"/>
        <v>23</v>
      </c>
      <c r="L464" s="54">
        <f t="shared" si="3208"/>
        <v>69</v>
      </c>
      <c r="M464" s="53">
        <f t="shared" si="3038"/>
        <v>23</v>
      </c>
      <c r="N464" s="54">
        <f t="shared" si="3209"/>
        <v>69</v>
      </c>
      <c r="O464" s="49">
        <f t="shared" ref="O464:P464" si="3221">SUM(K464,M464)</f>
        <v>46</v>
      </c>
      <c r="P464" s="50">
        <f t="shared" si="3221"/>
        <v>138</v>
      </c>
      <c r="Q464" s="73">
        <f t="shared" si="3041"/>
        <v>30</v>
      </c>
      <c r="R464" s="50">
        <f t="shared" si="3211"/>
        <v>89</v>
      </c>
      <c r="S464" s="53">
        <f t="shared" si="3043"/>
        <v>82</v>
      </c>
      <c r="T464" s="54">
        <f t="shared" si="3212"/>
        <v>245</v>
      </c>
      <c r="U464" s="53">
        <f t="shared" si="3045"/>
        <v>61</v>
      </c>
      <c r="V464" s="54">
        <f t="shared" si="3213"/>
        <v>182</v>
      </c>
      <c r="W464" s="53">
        <f t="shared" si="3047"/>
        <v>87</v>
      </c>
      <c r="X464" s="54">
        <f t="shared" si="3214"/>
        <v>259</v>
      </c>
      <c r="Y464" s="53">
        <f t="shared" si="3049"/>
        <v>2</v>
      </c>
      <c r="Z464" s="54">
        <f t="shared" si="3215"/>
        <v>5</v>
      </c>
      <c r="AA464" s="53">
        <f t="shared" si="3051"/>
        <v>24</v>
      </c>
      <c r="AB464" s="54">
        <f t="shared" si="3216"/>
        <v>71</v>
      </c>
      <c r="AC464" s="49">
        <f t="shared" ref="AC464:AD464" si="3222">SUM(S464,U464,W464,Y464,AA464)</f>
        <v>256</v>
      </c>
      <c r="AD464" s="50">
        <f t="shared" si="3222"/>
        <v>762</v>
      </c>
      <c r="AE464" s="53">
        <f t="shared" si="3054"/>
        <v>14</v>
      </c>
      <c r="AF464" s="54">
        <f t="shared" si="3223"/>
        <v>42</v>
      </c>
      <c r="AG464" s="53">
        <f t="shared" si="3056"/>
        <v>17</v>
      </c>
      <c r="AH464" s="54">
        <f t="shared" si="3224"/>
        <v>49</v>
      </c>
      <c r="AI464" s="53">
        <f t="shared" si="3058"/>
        <v>27</v>
      </c>
      <c r="AJ464" s="54">
        <f t="shared" si="3225"/>
        <v>81</v>
      </c>
      <c r="AK464" s="53">
        <f t="shared" si="3060"/>
        <v>57</v>
      </c>
      <c r="AL464" s="54">
        <f t="shared" si="3226"/>
        <v>171</v>
      </c>
      <c r="AM464" s="53">
        <f t="shared" si="3062"/>
        <v>40</v>
      </c>
      <c r="AN464" s="54">
        <f t="shared" si="3227"/>
        <v>118</v>
      </c>
      <c r="AO464" s="53">
        <f t="shared" si="3064"/>
        <v>56</v>
      </c>
      <c r="AP464" s="54">
        <f t="shared" si="3228"/>
        <v>166</v>
      </c>
      <c r="AQ464" s="49">
        <f t="shared" ref="AQ464:AR464" si="3229">SUM(AG464,AI464,AK464,AM464,AO464)</f>
        <v>197</v>
      </c>
      <c r="AR464" s="50">
        <f t="shared" si="3229"/>
        <v>585</v>
      </c>
      <c r="AS464" s="53">
        <f t="shared" si="3067"/>
        <v>76</v>
      </c>
      <c r="AT464" s="54">
        <f t="shared" si="3230"/>
        <v>227</v>
      </c>
      <c r="AU464" s="53">
        <f t="shared" si="3069"/>
        <v>18</v>
      </c>
      <c r="AV464" s="54">
        <f t="shared" si="3231"/>
        <v>54</v>
      </c>
      <c r="AW464" s="53">
        <f t="shared" si="3071"/>
        <v>19</v>
      </c>
      <c r="AX464" s="54">
        <f t="shared" si="3232"/>
        <v>55</v>
      </c>
      <c r="AY464" s="53">
        <f t="shared" si="3073"/>
        <v>42</v>
      </c>
      <c r="AZ464" s="54">
        <f t="shared" si="3233"/>
        <v>125</v>
      </c>
      <c r="BA464" s="53">
        <f t="shared" si="3075"/>
        <v>26</v>
      </c>
      <c r="BB464" s="54">
        <f t="shared" si="3234"/>
        <v>76</v>
      </c>
      <c r="BC464" s="49">
        <f t="shared" ref="BC464:BD464" si="3235">SUM(AS464,AU464,AW464,AY464,BA464)</f>
        <v>181</v>
      </c>
      <c r="BD464" s="50">
        <f t="shared" si="3235"/>
        <v>537</v>
      </c>
      <c r="BE464" s="68">
        <f t="shared" ref="BE464:BF464" si="3236">SUM(E464,G464,I464,O464,Q464,AC464,AQ464,BC464)</f>
        <v>750</v>
      </c>
      <c r="BF464" s="69">
        <f t="shared" si="3236"/>
        <v>2229</v>
      </c>
      <c r="BG464" s="46" t="str">
        <f>BF464*'ОВгП_РАО'!$B$30</f>
        <v>#REF!</v>
      </c>
      <c r="BH464" s="46" t="str">
        <f>'ОВгП_РАО'!$B$30</f>
        <v>#REF!</v>
      </c>
    </row>
    <row r="465" ht="15.75" customHeight="1">
      <c r="A465" s="80">
        <f t="shared" si="3079"/>
        <v>46273</v>
      </c>
      <c r="B465" s="47" t="s">
        <v>155</v>
      </c>
      <c r="C465" s="47" t="s">
        <v>122</v>
      </c>
      <c r="D465" s="47" t="s">
        <v>156</v>
      </c>
      <c r="E465" s="73">
        <f t="shared" si="3030"/>
        <v>28</v>
      </c>
      <c r="F465" s="50">
        <f t="shared" si="3205"/>
        <v>82</v>
      </c>
      <c r="G465" s="73">
        <f t="shared" si="3032"/>
        <v>29</v>
      </c>
      <c r="H465" s="50">
        <f t="shared" si="3206"/>
        <v>87</v>
      </c>
      <c r="I465" s="73">
        <f t="shared" si="3034"/>
        <v>5</v>
      </c>
      <c r="J465" s="50">
        <f t="shared" si="3207"/>
        <v>15</v>
      </c>
      <c r="K465" s="53">
        <f t="shared" si="3036"/>
        <v>21</v>
      </c>
      <c r="L465" s="54">
        <f t="shared" si="3208"/>
        <v>61</v>
      </c>
      <c r="M465" s="53">
        <f t="shared" si="3038"/>
        <v>21</v>
      </c>
      <c r="N465" s="54">
        <f t="shared" si="3209"/>
        <v>62</v>
      </c>
      <c r="O465" s="49">
        <f t="shared" ref="O465:P465" si="3237">SUM(K465,M465)</f>
        <v>42</v>
      </c>
      <c r="P465" s="50">
        <f t="shared" si="3237"/>
        <v>123</v>
      </c>
      <c r="Q465" s="73">
        <f t="shared" si="3041"/>
        <v>32</v>
      </c>
      <c r="R465" s="50">
        <f t="shared" si="3211"/>
        <v>95</v>
      </c>
      <c r="S465" s="53">
        <f t="shared" si="3043"/>
        <v>47</v>
      </c>
      <c r="T465" s="54">
        <f t="shared" si="3212"/>
        <v>140</v>
      </c>
      <c r="U465" s="53">
        <f t="shared" si="3045"/>
        <v>75</v>
      </c>
      <c r="V465" s="54">
        <f t="shared" si="3213"/>
        <v>223</v>
      </c>
      <c r="W465" s="53">
        <f t="shared" si="3047"/>
        <v>92</v>
      </c>
      <c r="X465" s="54">
        <f t="shared" si="3214"/>
        <v>275</v>
      </c>
      <c r="Y465" s="53">
        <f t="shared" si="3049"/>
        <v>90</v>
      </c>
      <c r="Z465" s="54">
        <f t="shared" si="3215"/>
        <v>269</v>
      </c>
      <c r="AA465" s="53">
        <f t="shared" si="3051"/>
        <v>68</v>
      </c>
      <c r="AB465" s="54">
        <f t="shared" si="3216"/>
        <v>204</v>
      </c>
      <c r="AC465" s="49">
        <f t="shared" ref="AC465:AD465" si="3238">SUM(S465,U465,W465,Y465,AA465)</f>
        <v>372</v>
      </c>
      <c r="AD465" s="50">
        <f t="shared" si="3238"/>
        <v>1111</v>
      </c>
      <c r="AE465" s="53">
        <f t="shared" si="3054"/>
        <v>9</v>
      </c>
      <c r="AF465" s="54">
        <f t="shared" si="3223"/>
        <v>27</v>
      </c>
      <c r="AG465" s="53">
        <f t="shared" si="3056"/>
        <v>57</v>
      </c>
      <c r="AH465" s="54">
        <f t="shared" si="3224"/>
        <v>170</v>
      </c>
      <c r="AI465" s="53">
        <f t="shared" si="3058"/>
        <v>83</v>
      </c>
      <c r="AJ465" s="54">
        <f t="shared" si="3225"/>
        <v>249</v>
      </c>
      <c r="AK465" s="53">
        <f t="shared" si="3060"/>
        <v>21</v>
      </c>
      <c r="AL465" s="54">
        <f t="shared" si="3226"/>
        <v>63</v>
      </c>
      <c r="AM465" s="53">
        <f t="shared" si="3062"/>
        <v>55</v>
      </c>
      <c r="AN465" s="54">
        <f t="shared" si="3227"/>
        <v>163</v>
      </c>
      <c r="AO465" s="53">
        <f t="shared" si="3064"/>
        <v>27</v>
      </c>
      <c r="AP465" s="54">
        <f t="shared" si="3228"/>
        <v>80</v>
      </c>
      <c r="AQ465" s="49">
        <f t="shared" ref="AQ465:AR465" si="3239">SUM(AG465,AI465,AK465,AM465,AO465)</f>
        <v>243</v>
      </c>
      <c r="AR465" s="50">
        <f t="shared" si="3239"/>
        <v>725</v>
      </c>
      <c r="AS465" s="53">
        <f t="shared" si="3067"/>
        <v>16</v>
      </c>
      <c r="AT465" s="54">
        <f t="shared" ref="AT465:AT467" si="3245">RANDBETWEEN(0,100)</f>
        <v>47</v>
      </c>
      <c r="AU465" s="53">
        <f t="shared" si="3069"/>
        <v>4</v>
      </c>
      <c r="AV465" s="54">
        <f t="shared" ref="AV465:AV467" si="3246">RANDBETWEEN(0,100)</f>
        <v>10</v>
      </c>
      <c r="AW465" s="53">
        <f t="shared" si="3071"/>
        <v>2</v>
      </c>
      <c r="AX465" s="54">
        <f t="shared" ref="AX465:AX467" si="3247">RANDBETWEEN(0,100)</f>
        <v>5</v>
      </c>
      <c r="AY465" s="53">
        <f t="shared" si="3073"/>
        <v>11</v>
      </c>
      <c r="AZ465" s="54">
        <f t="shared" ref="AZ465:AZ467" si="3248">RANDBETWEEN(0,100)</f>
        <v>32</v>
      </c>
      <c r="BA465" s="53">
        <f t="shared" si="3075"/>
        <v>22</v>
      </c>
      <c r="BB465" s="54">
        <f t="shared" ref="BB465:BB467" si="3249">RANDBETWEEN(0,100)</f>
        <v>66</v>
      </c>
      <c r="BC465" s="49">
        <f t="shared" ref="BC465:BD465" si="3240">SUM(AS465,AU465,AW465,AY465,BA465)</f>
        <v>55</v>
      </c>
      <c r="BD465" s="50">
        <f t="shared" si="3240"/>
        <v>160</v>
      </c>
      <c r="BE465" s="68">
        <f t="shared" ref="BE465:BF465" si="3241">SUM(E465,G465,I465,O465,Q465,AC465,AQ465,BC465)</f>
        <v>806</v>
      </c>
      <c r="BF465" s="69">
        <f t="shared" si="3241"/>
        <v>2398</v>
      </c>
      <c r="BG465" s="46" t="str">
        <f>BF465*'ОВгП_РАО'!$B$31</f>
        <v>#REF!</v>
      </c>
      <c r="BH465" s="46" t="str">
        <f>'ОВгП_РАО'!$B$31</f>
        <v>#REF!</v>
      </c>
    </row>
    <row r="466" ht="15.75" customHeight="1">
      <c r="A466" s="80">
        <f t="shared" si="3079"/>
        <v>46273</v>
      </c>
      <c r="B466" s="47" t="s">
        <v>158</v>
      </c>
      <c r="C466" s="47" t="s">
        <v>122</v>
      </c>
      <c r="D466" s="47" t="s">
        <v>156</v>
      </c>
      <c r="E466" s="73">
        <f t="shared" si="3030"/>
        <v>28</v>
      </c>
      <c r="F466" s="50">
        <f t="shared" si="3205"/>
        <v>84</v>
      </c>
      <c r="G466" s="73">
        <f t="shared" si="3032"/>
        <v>7</v>
      </c>
      <c r="H466" s="50">
        <f t="shared" si="3206"/>
        <v>19</v>
      </c>
      <c r="I466" s="73">
        <f t="shared" si="3034"/>
        <v>22</v>
      </c>
      <c r="J466" s="50">
        <f t="shared" si="3207"/>
        <v>65</v>
      </c>
      <c r="K466" s="53">
        <f t="shared" si="3036"/>
        <v>33</v>
      </c>
      <c r="L466" s="54">
        <f t="shared" si="3208"/>
        <v>98</v>
      </c>
      <c r="M466" s="53">
        <f t="shared" si="3038"/>
        <v>27</v>
      </c>
      <c r="N466" s="54">
        <f t="shared" si="3209"/>
        <v>80</v>
      </c>
      <c r="O466" s="49">
        <f t="shared" ref="O466:P466" si="3242">SUM(K466,M466)</f>
        <v>60</v>
      </c>
      <c r="P466" s="50">
        <f t="shared" si="3242"/>
        <v>178</v>
      </c>
      <c r="Q466" s="73">
        <f t="shared" si="3041"/>
        <v>6</v>
      </c>
      <c r="R466" s="50">
        <f t="shared" si="3211"/>
        <v>16</v>
      </c>
      <c r="S466" s="53">
        <f t="shared" si="3043"/>
        <v>9</v>
      </c>
      <c r="T466" s="54">
        <f t="shared" si="3212"/>
        <v>26</v>
      </c>
      <c r="U466" s="53">
        <f t="shared" si="3045"/>
        <v>47</v>
      </c>
      <c r="V466" s="54">
        <f t="shared" si="3213"/>
        <v>141</v>
      </c>
      <c r="W466" s="53">
        <f t="shared" si="3047"/>
        <v>73</v>
      </c>
      <c r="X466" s="54">
        <f t="shared" si="3214"/>
        <v>219</v>
      </c>
      <c r="Y466" s="53">
        <f t="shared" si="3049"/>
        <v>1</v>
      </c>
      <c r="Z466" s="54">
        <f t="shared" si="3215"/>
        <v>3</v>
      </c>
      <c r="AA466" s="53">
        <f t="shared" si="3051"/>
        <v>65</v>
      </c>
      <c r="AB466" s="54">
        <f t="shared" si="3216"/>
        <v>195</v>
      </c>
      <c r="AC466" s="49">
        <f t="shared" ref="AC466:AD466" si="3243">SUM(S466,U466,W466,Y466,AA466)</f>
        <v>195</v>
      </c>
      <c r="AD466" s="50">
        <f t="shared" si="3243"/>
        <v>584</v>
      </c>
      <c r="AE466" s="53">
        <f t="shared" si="3054"/>
        <v>69</v>
      </c>
      <c r="AF466" s="54">
        <f t="shared" si="3223"/>
        <v>206</v>
      </c>
      <c r="AG466" s="53">
        <f t="shared" si="3056"/>
        <v>100</v>
      </c>
      <c r="AH466" s="54">
        <f t="shared" si="3224"/>
        <v>298</v>
      </c>
      <c r="AI466" s="53">
        <f t="shared" si="3058"/>
        <v>3</v>
      </c>
      <c r="AJ466" s="54">
        <f t="shared" si="3225"/>
        <v>7</v>
      </c>
      <c r="AK466" s="53">
        <f t="shared" si="3060"/>
        <v>87</v>
      </c>
      <c r="AL466" s="54">
        <f t="shared" si="3226"/>
        <v>260</v>
      </c>
      <c r="AM466" s="53">
        <f t="shared" si="3062"/>
        <v>75</v>
      </c>
      <c r="AN466" s="54">
        <f t="shared" si="3227"/>
        <v>225</v>
      </c>
      <c r="AO466" s="53">
        <f t="shared" si="3064"/>
        <v>60</v>
      </c>
      <c r="AP466" s="54">
        <f t="shared" si="3228"/>
        <v>178</v>
      </c>
      <c r="AQ466" s="49">
        <f t="shared" ref="AQ466:AR466" si="3244">SUM(AG466,AI466,AK466,AM466,AO466)</f>
        <v>325</v>
      </c>
      <c r="AR466" s="50">
        <f t="shared" si="3244"/>
        <v>968</v>
      </c>
      <c r="AS466" s="53">
        <f t="shared" si="3067"/>
        <v>31</v>
      </c>
      <c r="AT466" s="54">
        <f t="shared" si="3245"/>
        <v>92</v>
      </c>
      <c r="AU466" s="53">
        <f t="shared" si="3069"/>
        <v>26</v>
      </c>
      <c r="AV466" s="54">
        <f t="shared" si="3246"/>
        <v>78</v>
      </c>
      <c r="AW466" s="53">
        <f t="shared" si="3071"/>
        <v>17</v>
      </c>
      <c r="AX466" s="54">
        <f t="shared" si="3247"/>
        <v>50</v>
      </c>
      <c r="AY466" s="53">
        <f t="shared" si="3073"/>
        <v>7</v>
      </c>
      <c r="AZ466" s="54">
        <f t="shared" si="3248"/>
        <v>19</v>
      </c>
      <c r="BA466" s="53">
        <f t="shared" si="3075"/>
        <v>34</v>
      </c>
      <c r="BB466" s="54">
        <f t="shared" si="3249"/>
        <v>100</v>
      </c>
      <c r="BC466" s="49">
        <f t="shared" ref="BC466:BD466" si="3250">SUM(AS466,AU466,AW466,AY466,BA466)</f>
        <v>115</v>
      </c>
      <c r="BD466" s="50">
        <f t="shared" si="3250"/>
        <v>339</v>
      </c>
      <c r="BE466" s="68">
        <f t="shared" ref="BE466:BF466" si="3251">SUM(E466,G466,I466,O466,Q466,AC466,AQ466,BC466)</f>
        <v>758</v>
      </c>
      <c r="BF466" s="69">
        <f t="shared" si="3251"/>
        <v>2253</v>
      </c>
      <c r="BG466" s="46" t="str">
        <f>BF466*'ОВгП_РАО'!$B$32</f>
        <v>#REF!</v>
      </c>
      <c r="BH466" s="46" t="str">
        <f>'ОВгП_РАО'!$B$32</f>
        <v>#REF!</v>
      </c>
    </row>
    <row r="467" ht="15.75" customHeight="1">
      <c r="A467" s="80">
        <f t="shared" si="3079"/>
        <v>46273</v>
      </c>
      <c r="B467" s="47" t="s">
        <v>159</v>
      </c>
      <c r="C467" s="47" t="s">
        <v>122</v>
      </c>
      <c r="D467" s="47" t="s">
        <v>156</v>
      </c>
      <c r="E467" s="73">
        <f t="shared" si="3030"/>
        <v>14</v>
      </c>
      <c r="F467" s="50">
        <f t="shared" si="3205"/>
        <v>40</v>
      </c>
      <c r="G467" s="73">
        <f t="shared" si="3032"/>
        <v>22</v>
      </c>
      <c r="H467" s="50">
        <f t="shared" si="3206"/>
        <v>65</v>
      </c>
      <c r="I467" s="73">
        <f t="shared" si="3034"/>
        <v>33</v>
      </c>
      <c r="J467" s="50">
        <f t="shared" si="3207"/>
        <v>97</v>
      </c>
      <c r="K467" s="53">
        <f t="shared" si="3036"/>
        <v>3</v>
      </c>
      <c r="L467" s="54">
        <f t="shared" si="3208"/>
        <v>7</v>
      </c>
      <c r="M467" s="53">
        <f t="shared" si="3038"/>
        <v>13</v>
      </c>
      <c r="N467" s="54">
        <f t="shared" si="3209"/>
        <v>38</v>
      </c>
      <c r="O467" s="49">
        <f t="shared" ref="O467:P467" si="3252">SUM(K467,M467)</f>
        <v>16</v>
      </c>
      <c r="P467" s="50">
        <f t="shared" si="3252"/>
        <v>45</v>
      </c>
      <c r="Q467" s="73">
        <f t="shared" si="3041"/>
        <v>5</v>
      </c>
      <c r="R467" s="50">
        <f t="shared" si="3211"/>
        <v>13</v>
      </c>
      <c r="S467" s="53">
        <f t="shared" si="3043"/>
        <v>68</v>
      </c>
      <c r="T467" s="54">
        <f t="shared" si="3212"/>
        <v>203</v>
      </c>
      <c r="U467" s="53">
        <f t="shared" si="3045"/>
        <v>35</v>
      </c>
      <c r="V467" s="54">
        <f t="shared" si="3213"/>
        <v>105</v>
      </c>
      <c r="W467" s="53">
        <f t="shared" si="3047"/>
        <v>80</v>
      </c>
      <c r="X467" s="54">
        <f t="shared" si="3214"/>
        <v>240</v>
      </c>
      <c r="Y467" s="53">
        <f t="shared" si="3049"/>
        <v>2</v>
      </c>
      <c r="Z467" s="54">
        <f t="shared" si="3215"/>
        <v>4</v>
      </c>
      <c r="AA467" s="53">
        <f t="shared" si="3051"/>
        <v>28</v>
      </c>
      <c r="AB467" s="54">
        <f t="shared" si="3216"/>
        <v>82</v>
      </c>
      <c r="AC467" s="49">
        <f t="shared" ref="AC467:AD467" si="3253">SUM(S467,U467,W467,Y467,AA467)</f>
        <v>213</v>
      </c>
      <c r="AD467" s="50">
        <f t="shared" si="3253"/>
        <v>634</v>
      </c>
      <c r="AE467" s="53">
        <f t="shared" si="3054"/>
        <v>15</v>
      </c>
      <c r="AF467" s="54">
        <f t="shared" si="3223"/>
        <v>44</v>
      </c>
      <c r="AG467" s="53">
        <f t="shared" si="3056"/>
        <v>7</v>
      </c>
      <c r="AH467" s="54">
        <f t="shared" si="3224"/>
        <v>19</v>
      </c>
      <c r="AI467" s="53">
        <f t="shared" si="3058"/>
        <v>65</v>
      </c>
      <c r="AJ467" s="54">
        <f t="shared" si="3225"/>
        <v>195</v>
      </c>
      <c r="AK467" s="53">
        <f t="shared" si="3060"/>
        <v>18</v>
      </c>
      <c r="AL467" s="54">
        <f t="shared" si="3226"/>
        <v>54</v>
      </c>
      <c r="AM467" s="53">
        <f t="shared" si="3062"/>
        <v>55</v>
      </c>
      <c r="AN467" s="54">
        <f t="shared" si="3227"/>
        <v>164</v>
      </c>
      <c r="AO467" s="53">
        <f t="shared" si="3064"/>
        <v>41</v>
      </c>
      <c r="AP467" s="54">
        <f t="shared" si="3228"/>
        <v>122</v>
      </c>
      <c r="AQ467" s="49">
        <f t="shared" ref="AQ467:AR467" si="3254">SUM(AG467,AI467,AK467,AM467,AO467)</f>
        <v>186</v>
      </c>
      <c r="AR467" s="50">
        <f t="shared" si="3254"/>
        <v>554</v>
      </c>
      <c r="AS467" s="53">
        <f t="shared" si="3067"/>
        <v>7</v>
      </c>
      <c r="AT467" s="54">
        <f t="shared" si="3245"/>
        <v>19</v>
      </c>
      <c r="AU467" s="53">
        <f t="shared" si="3069"/>
        <v>2</v>
      </c>
      <c r="AV467" s="54">
        <f t="shared" si="3246"/>
        <v>4</v>
      </c>
      <c r="AW467" s="53">
        <f t="shared" si="3071"/>
        <v>31</v>
      </c>
      <c r="AX467" s="54">
        <f t="shared" si="3247"/>
        <v>92</v>
      </c>
      <c r="AY467" s="53">
        <f t="shared" si="3073"/>
        <v>16</v>
      </c>
      <c r="AZ467" s="54">
        <f t="shared" si="3248"/>
        <v>47</v>
      </c>
      <c r="BA467" s="53">
        <f t="shared" si="3075"/>
        <v>1</v>
      </c>
      <c r="BB467" s="54">
        <f t="shared" si="3249"/>
        <v>3</v>
      </c>
      <c r="BC467" s="49">
        <f t="shared" ref="BC467:BD467" si="3255">SUM(AS467,AU467,AW467,AY467,BA467)</f>
        <v>57</v>
      </c>
      <c r="BD467" s="50">
        <f t="shared" si="3255"/>
        <v>165</v>
      </c>
      <c r="BE467" s="68">
        <f t="shared" ref="BE467:BF467" si="3256">SUM(E467,G467,I467,O467,Q467,AC467,AQ467,BC467)</f>
        <v>546</v>
      </c>
      <c r="BF467" s="69">
        <f t="shared" si="3256"/>
        <v>1613</v>
      </c>
      <c r="BG467" s="46" t="str">
        <f>BF467*'ОВгП_РАО'!$B$33</f>
        <v>#REF!</v>
      </c>
      <c r="BH467" s="46" t="str">
        <f>'ОВгП_РАО'!$B$33</f>
        <v>#REF!</v>
      </c>
      <c r="BL467" s="210" t="s">
        <v>169</v>
      </c>
    </row>
    <row r="468" ht="15.75" customHeight="1">
      <c r="A468" s="80">
        <f t="shared" si="3079"/>
        <v>46273</v>
      </c>
      <c r="B468" s="47" t="s">
        <v>160</v>
      </c>
      <c r="C468" s="47" t="s">
        <v>161</v>
      </c>
      <c r="D468" s="47" t="s">
        <v>98</v>
      </c>
      <c r="E468" s="73">
        <f t="shared" si="3030"/>
        <v>15</v>
      </c>
      <c r="F468" s="50">
        <f t="shared" si="3205"/>
        <v>44</v>
      </c>
      <c r="G468" s="73">
        <f t="shared" si="3032"/>
        <v>26</v>
      </c>
      <c r="H468" s="50">
        <f t="shared" si="3206"/>
        <v>77</v>
      </c>
      <c r="I468" s="73">
        <f t="shared" si="3034"/>
        <v>24</v>
      </c>
      <c r="J468" s="50">
        <f t="shared" si="3207"/>
        <v>70</v>
      </c>
      <c r="K468" s="53">
        <f t="shared" si="3036"/>
        <v>16</v>
      </c>
      <c r="L468" s="54">
        <f t="shared" si="3208"/>
        <v>48</v>
      </c>
      <c r="M468" s="53">
        <f t="shared" si="3038"/>
        <v>11</v>
      </c>
      <c r="N468" s="54">
        <f t="shared" si="3209"/>
        <v>31</v>
      </c>
      <c r="O468" s="49">
        <f t="shared" ref="O468:P468" si="3257">SUM(K468,M468)</f>
        <v>27</v>
      </c>
      <c r="P468" s="50">
        <f t="shared" si="3257"/>
        <v>79</v>
      </c>
      <c r="Q468" s="73">
        <f t="shared" si="3041"/>
        <v>17</v>
      </c>
      <c r="R468" s="50">
        <f t="shared" si="3211"/>
        <v>50</v>
      </c>
      <c r="S468" s="53">
        <f t="shared" si="3043"/>
        <v>91</v>
      </c>
      <c r="T468" s="54">
        <f t="shared" si="3212"/>
        <v>273</v>
      </c>
      <c r="U468" s="53">
        <f t="shared" si="3045"/>
        <v>26</v>
      </c>
      <c r="V468" s="54">
        <f t="shared" si="3213"/>
        <v>77</v>
      </c>
      <c r="W468" s="53">
        <f t="shared" si="3047"/>
        <v>4</v>
      </c>
      <c r="X468" s="54">
        <f t="shared" si="3214"/>
        <v>10</v>
      </c>
      <c r="Y468" s="53">
        <f t="shared" si="3049"/>
        <v>20</v>
      </c>
      <c r="Z468" s="54">
        <f t="shared" si="3215"/>
        <v>59</v>
      </c>
      <c r="AA468" s="53">
        <f t="shared" si="3051"/>
        <v>6</v>
      </c>
      <c r="AB468" s="54">
        <f t="shared" si="3216"/>
        <v>17</v>
      </c>
      <c r="AC468" s="49">
        <f t="shared" ref="AC468:AD468" si="3258">SUM(S468,U468,W468,Y468,AA468)</f>
        <v>147</v>
      </c>
      <c r="AD468" s="50">
        <f t="shared" si="3258"/>
        <v>436</v>
      </c>
      <c r="AE468" s="53">
        <f t="shared" si="3054"/>
        <v>55</v>
      </c>
      <c r="AF468" s="54">
        <f t="shared" si="3223"/>
        <v>164</v>
      </c>
      <c r="AG468" s="53">
        <f t="shared" si="3056"/>
        <v>23</v>
      </c>
      <c r="AH468" s="54">
        <f t="shared" si="3224"/>
        <v>67</v>
      </c>
      <c r="AI468" s="53">
        <f t="shared" si="3058"/>
        <v>84</v>
      </c>
      <c r="AJ468" s="54">
        <f t="shared" si="3225"/>
        <v>251</v>
      </c>
      <c r="AK468" s="53">
        <f t="shared" si="3060"/>
        <v>35</v>
      </c>
      <c r="AL468" s="54">
        <f t="shared" si="3226"/>
        <v>104</v>
      </c>
      <c r="AM468" s="53">
        <f t="shared" si="3062"/>
        <v>22</v>
      </c>
      <c r="AN468" s="54">
        <f t="shared" si="3227"/>
        <v>66</v>
      </c>
      <c r="AO468" s="53">
        <f t="shared" si="3064"/>
        <v>87</v>
      </c>
      <c r="AP468" s="54">
        <f t="shared" si="3228"/>
        <v>261</v>
      </c>
      <c r="AQ468" s="49">
        <f t="shared" ref="AQ468:AR468" si="3259">SUM(AG468,AI468,AK468,AM468,AO468)</f>
        <v>251</v>
      </c>
      <c r="AR468" s="50">
        <f t="shared" si="3259"/>
        <v>749</v>
      </c>
      <c r="AS468" s="53">
        <f t="shared" si="3067"/>
        <v>75</v>
      </c>
      <c r="AT468" s="54">
        <f t="shared" ref="AT468:AT470" si="3265">RANDBETWEEN(0,300)</f>
        <v>224</v>
      </c>
      <c r="AU468" s="53">
        <f t="shared" si="3069"/>
        <v>23</v>
      </c>
      <c r="AV468" s="54">
        <f t="shared" ref="AV468:AV470" si="3266">RANDBETWEEN(0,300)</f>
        <v>67</v>
      </c>
      <c r="AW468" s="53">
        <f t="shared" si="3071"/>
        <v>9</v>
      </c>
      <c r="AX468" s="54">
        <f t="shared" ref="AX468:AX470" si="3267">RANDBETWEEN(0,300)</f>
        <v>26</v>
      </c>
      <c r="AY468" s="53">
        <f t="shared" si="3073"/>
        <v>36</v>
      </c>
      <c r="AZ468" s="54">
        <f t="shared" ref="AZ468:AZ470" si="3268">RANDBETWEEN(0,300)</f>
        <v>107</v>
      </c>
      <c r="BA468" s="53">
        <f t="shared" si="3075"/>
        <v>51</v>
      </c>
      <c r="BB468" s="54">
        <f t="shared" ref="BB468:BB470" si="3269">RANDBETWEEN(0,300)</f>
        <v>151</v>
      </c>
      <c r="BC468" s="49">
        <f t="shared" ref="BC468:BD468" si="3260">SUM(AS468,AU468,AW468,AY468,BA468)</f>
        <v>194</v>
      </c>
      <c r="BD468" s="50">
        <f t="shared" si="3260"/>
        <v>575</v>
      </c>
      <c r="BE468" s="68">
        <f t="shared" ref="BE468:BF468" si="3261">SUM(E468,G468,I468,O468,Q468,AC468,AQ468,BC468)</f>
        <v>701</v>
      </c>
      <c r="BF468" s="69">
        <f t="shared" si="3261"/>
        <v>2080</v>
      </c>
      <c r="BG468" s="46" t="str">
        <f>BF468*'ОВгП_РАО'!$B$34</f>
        <v>#REF!</v>
      </c>
      <c r="BH468" s="46" t="str">
        <f>'ОВгП_РАО'!$B$34</f>
        <v>#REF!</v>
      </c>
    </row>
    <row r="469" ht="15.75" customHeight="1">
      <c r="A469" s="80">
        <f t="shared" si="3079"/>
        <v>46273</v>
      </c>
      <c r="B469" s="47" t="s">
        <v>163</v>
      </c>
      <c r="C469" s="47" t="s">
        <v>161</v>
      </c>
      <c r="D469" s="47" t="s">
        <v>145</v>
      </c>
      <c r="E469" s="73">
        <f t="shared" si="3030"/>
        <v>6</v>
      </c>
      <c r="F469" s="50">
        <f t="shared" si="3205"/>
        <v>16</v>
      </c>
      <c r="G469" s="73">
        <f t="shared" si="3032"/>
        <v>1</v>
      </c>
      <c r="H469" s="50">
        <f t="shared" si="3206"/>
        <v>3</v>
      </c>
      <c r="I469" s="73">
        <f t="shared" si="3034"/>
        <v>11</v>
      </c>
      <c r="J469" s="50">
        <f t="shared" si="3207"/>
        <v>31</v>
      </c>
      <c r="K469" s="53">
        <f t="shared" si="3036"/>
        <v>2</v>
      </c>
      <c r="L469" s="54">
        <f t="shared" si="3208"/>
        <v>5</v>
      </c>
      <c r="M469" s="53">
        <f t="shared" si="3038"/>
        <v>25</v>
      </c>
      <c r="N469" s="54">
        <f t="shared" si="3209"/>
        <v>74</v>
      </c>
      <c r="O469" s="49">
        <f t="shared" ref="O469:P469" si="3262">SUM(K469,M469)</f>
        <v>27</v>
      </c>
      <c r="P469" s="50">
        <f t="shared" si="3262"/>
        <v>79</v>
      </c>
      <c r="Q469" s="73">
        <f t="shared" si="3041"/>
        <v>11</v>
      </c>
      <c r="R469" s="50">
        <f t="shared" si="3211"/>
        <v>33</v>
      </c>
      <c r="S469" s="53">
        <f t="shared" si="3043"/>
        <v>24</v>
      </c>
      <c r="T469" s="54">
        <f t="shared" si="3212"/>
        <v>71</v>
      </c>
      <c r="U469" s="53">
        <f t="shared" si="3045"/>
        <v>29</v>
      </c>
      <c r="V469" s="54">
        <f t="shared" si="3213"/>
        <v>87</v>
      </c>
      <c r="W469" s="53">
        <f t="shared" si="3047"/>
        <v>64</v>
      </c>
      <c r="X469" s="54">
        <f t="shared" si="3214"/>
        <v>192</v>
      </c>
      <c r="Y469" s="53">
        <f t="shared" si="3049"/>
        <v>2</v>
      </c>
      <c r="Z469" s="54">
        <f t="shared" si="3215"/>
        <v>4</v>
      </c>
      <c r="AA469" s="53">
        <f t="shared" si="3051"/>
        <v>69</v>
      </c>
      <c r="AB469" s="54">
        <f t="shared" si="3216"/>
        <v>205</v>
      </c>
      <c r="AC469" s="49">
        <f t="shared" ref="AC469:AD469" si="3263">SUM(S469,U469,W469,Y469,AA469)</f>
        <v>188</v>
      </c>
      <c r="AD469" s="50">
        <f t="shared" si="3263"/>
        <v>559</v>
      </c>
      <c r="AE469" s="53">
        <f t="shared" si="3054"/>
        <v>12</v>
      </c>
      <c r="AF469" s="54">
        <f t="shared" si="3223"/>
        <v>34</v>
      </c>
      <c r="AG469" s="53">
        <f t="shared" si="3056"/>
        <v>49</v>
      </c>
      <c r="AH469" s="54">
        <f t="shared" si="3224"/>
        <v>146</v>
      </c>
      <c r="AI469" s="53">
        <f t="shared" si="3058"/>
        <v>88</v>
      </c>
      <c r="AJ469" s="54">
        <f t="shared" si="3225"/>
        <v>262</v>
      </c>
      <c r="AK469" s="53">
        <f t="shared" si="3060"/>
        <v>3</v>
      </c>
      <c r="AL469" s="54">
        <f t="shared" si="3226"/>
        <v>8</v>
      </c>
      <c r="AM469" s="53">
        <f t="shared" si="3062"/>
        <v>95</v>
      </c>
      <c r="AN469" s="54">
        <f t="shared" si="3227"/>
        <v>283</v>
      </c>
      <c r="AO469" s="53">
        <f t="shared" si="3064"/>
        <v>8</v>
      </c>
      <c r="AP469" s="54">
        <f t="shared" si="3228"/>
        <v>23</v>
      </c>
      <c r="AQ469" s="49">
        <f t="shared" ref="AQ469:AR469" si="3264">SUM(AG469,AI469,AK469,AM469,AO469)</f>
        <v>243</v>
      </c>
      <c r="AR469" s="50">
        <f t="shared" si="3264"/>
        <v>722</v>
      </c>
      <c r="AS469" s="53">
        <f t="shared" si="3067"/>
        <v>95</v>
      </c>
      <c r="AT469" s="54">
        <f t="shared" si="3265"/>
        <v>283</v>
      </c>
      <c r="AU469" s="53">
        <f t="shared" si="3069"/>
        <v>74</v>
      </c>
      <c r="AV469" s="54">
        <f t="shared" si="3266"/>
        <v>220</v>
      </c>
      <c r="AW469" s="53">
        <f t="shared" si="3071"/>
        <v>97</v>
      </c>
      <c r="AX469" s="54">
        <f t="shared" si="3267"/>
        <v>290</v>
      </c>
      <c r="AY469" s="53">
        <f t="shared" si="3073"/>
        <v>20</v>
      </c>
      <c r="AZ469" s="54">
        <f t="shared" si="3268"/>
        <v>58</v>
      </c>
      <c r="BA469" s="53">
        <f t="shared" si="3075"/>
        <v>14</v>
      </c>
      <c r="BB469" s="54">
        <f t="shared" si="3269"/>
        <v>42</v>
      </c>
      <c r="BC469" s="49">
        <f t="shared" ref="BC469:BD469" si="3270">SUM(AS469,AU469,AW469,AY469,BA469)</f>
        <v>300</v>
      </c>
      <c r="BD469" s="50">
        <f t="shared" si="3270"/>
        <v>893</v>
      </c>
      <c r="BE469" s="68">
        <f t="shared" ref="BE469:BF469" si="3271">SUM(E469,G469,I469,O469,Q469,AC469,AQ469,BC469)</f>
        <v>787</v>
      </c>
      <c r="BF469" s="69">
        <f t="shared" si="3271"/>
        <v>2336</v>
      </c>
      <c r="BG469" s="46" t="str">
        <f>BF469*'ОВгП_РАО'!$B$35</f>
        <v>#REF!</v>
      </c>
      <c r="BH469" s="46" t="str">
        <f>'ОВгП_РАО'!$B$35</f>
        <v>#REF!</v>
      </c>
    </row>
    <row r="470" ht="15.75" customHeight="1">
      <c r="A470" s="80">
        <f t="shared" si="3079"/>
        <v>46273</v>
      </c>
      <c r="B470" s="47" t="s">
        <v>164</v>
      </c>
      <c r="C470" s="47" t="s">
        <v>161</v>
      </c>
      <c r="D470" s="47" t="s">
        <v>148</v>
      </c>
      <c r="E470" s="73">
        <f t="shared" si="3030"/>
        <v>4</v>
      </c>
      <c r="F470" s="50">
        <f t="shared" si="3205"/>
        <v>12</v>
      </c>
      <c r="G470" s="73">
        <f t="shared" si="3032"/>
        <v>26</v>
      </c>
      <c r="H470" s="50">
        <f t="shared" si="3206"/>
        <v>78</v>
      </c>
      <c r="I470" s="73">
        <f t="shared" si="3034"/>
        <v>13</v>
      </c>
      <c r="J470" s="50">
        <f t="shared" si="3207"/>
        <v>38</v>
      </c>
      <c r="K470" s="53">
        <f t="shared" si="3036"/>
        <v>20</v>
      </c>
      <c r="L470" s="54">
        <f t="shared" si="3208"/>
        <v>58</v>
      </c>
      <c r="M470" s="53">
        <f t="shared" si="3038"/>
        <v>29</v>
      </c>
      <c r="N470" s="54">
        <f t="shared" si="3209"/>
        <v>87</v>
      </c>
      <c r="O470" s="49">
        <f t="shared" ref="O470:P470" si="3272">SUM(K470,M470)</f>
        <v>49</v>
      </c>
      <c r="P470" s="50">
        <f t="shared" si="3272"/>
        <v>145</v>
      </c>
      <c r="Q470" s="73">
        <f t="shared" si="3041"/>
        <v>25</v>
      </c>
      <c r="R470" s="50">
        <f t="shared" si="3211"/>
        <v>75</v>
      </c>
      <c r="S470" s="53">
        <f t="shared" si="3043"/>
        <v>53</v>
      </c>
      <c r="T470" s="54">
        <f t="shared" si="3212"/>
        <v>159</v>
      </c>
      <c r="U470" s="53">
        <f t="shared" si="3045"/>
        <v>64</v>
      </c>
      <c r="V470" s="54">
        <f t="shared" si="3213"/>
        <v>192</v>
      </c>
      <c r="W470" s="53">
        <f t="shared" si="3047"/>
        <v>47</v>
      </c>
      <c r="X470" s="54">
        <f t="shared" si="3214"/>
        <v>139</v>
      </c>
      <c r="Y470" s="53">
        <f t="shared" si="3049"/>
        <v>20</v>
      </c>
      <c r="Z470" s="54">
        <f t="shared" si="3215"/>
        <v>58</v>
      </c>
      <c r="AA470" s="53">
        <f t="shared" si="3051"/>
        <v>96</v>
      </c>
      <c r="AB470" s="54">
        <f t="shared" si="3216"/>
        <v>286</v>
      </c>
      <c r="AC470" s="49">
        <f t="shared" ref="AC470:AD470" si="3273">SUM(S470,U470,W470,Y470,AA470)</f>
        <v>280</v>
      </c>
      <c r="AD470" s="50">
        <f t="shared" si="3273"/>
        <v>834</v>
      </c>
      <c r="AE470" s="53">
        <f t="shared" si="3054"/>
        <v>66</v>
      </c>
      <c r="AF470" s="54">
        <f t="shared" si="3223"/>
        <v>196</v>
      </c>
      <c r="AG470" s="53">
        <f t="shared" si="3056"/>
        <v>22</v>
      </c>
      <c r="AH470" s="54">
        <f t="shared" si="3224"/>
        <v>66</v>
      </c>
      <c r="AI470" s="53">
        <f t="shared" si="3058"/>
        <v>88</v>
      </c>
      <c r="AJ470" s="54">
        <f t="shared" si="3225"/>
        <v>263</v>
      </c>
      <c r="AK470" s="53">
        <f t="shared" si="3060"/>
        <v>15</v>
      </c>
      <c r="AL470" s="54">
        <f t="shared" si="3226"/>
        <v>44</v>
      </c>
      <c r="AM470" s="53">
        <f t="shared" si="3062"/>
        <v>75</v>
      </c>
      <c r="AN470" s="54">
        <f t="shared" si="3227"/>
        <v>224</v>
      </c>
      <c r="AO470" s="53">
        <f t="shared" si="3064"/>
        <v>3</v>
      </c>
      <c r="AP470" s="54">
        <f t="shared" si="3228"/>
        <v>7</v>
      </c>
      <c r="AQ470" s="49">
        <f t="shared" ref="AQ470:AR470" si="3274">SUM(AG470,AI470,AK470,AM470,AO470)</f>
        <v>203</v>
      </c>
      <c r="AR470" s="50">
        <f t="shared" si="3274"/>
        <v>604</v>
      </c>
      <c r="AS470" s="53">
        <f t="shared" si="3067"/>
        <v>99</v>
      </c>
      <c r="AT470" s="54">
        <f t="shared" si="3265"/>
        <v>296</v>
      </c>
      <c r="AU470" s="53">
        <f t="shared" si="3069"/>
        <v>81</v>
      </c>
      <c r="AV470" s="54">
        <f t="shared" si="3266"/>
        <v>243</v>
      </c>
      <c r="AW470" s="53">
        <f t="shared" si="3071"/>
        <v>51</v>
      </c>
      <c r="AX470" s="54">
        <f t="shared" si="3267"/>
        <v>152</v>
      </c>
      <c r="AY470" s="53">
        <f t="shared" si="3073"/>
        <v>97</v>
      </c>
      <c r="AZ470" s="54">
        <f t="shared" si="3268"/>
        <v>290</v>
      </c>
      <c r="BA470" s="53">
        <f t="shared" si="3075"/>
        <v>78</v>
      </c>
      <c r="BB470" s="54">
        <f t="shared" si="3269"/>
        <v>232</v>
      </c>
      <c r="BC470" s="49">
        <f t="shared" ref="BC470:BD470" si="3275">SUM(AS470,AU470,AW470,AY470,BA470)</f>
        <v>406</v>
      </c>
      <c r="BD470" s="50">
        <f t="shared" si="3275"/>
        <v>1213</v>
      </c>
      <c r="BE470" s="68">
        <f t="shared" ref="BE470:BF470" si="3276">SUM(E470,G470,I470,O470,Q470,AC470,AQ470,BC470)</f>
        <v>1006</v>
      </c>
      <c r="BF470" s="69">
        <f t="shared" si="3276"/>
        <v>2999</v>
      </c>
      <c r="BG470" s="46" t="str">
        <f>BF470*'ОВгП_РАО'!$B$36</f>
        <v>#REF!</v>
      </c>
      <c r="BH470" s="46" t="str">
        <f>'ОВгП_РАО'!B468</f>
        <v>#REF!</v>
      </c>
    </row>
  </sheetData>
  <autoFilter ref="$A$3:$BF$38"/>
  <mergeCells count="27"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U1:AV1"/>
    <mergeCell ref="AW1:AX1"/>
    <mergeCell ref="AY1:AZ1"/>
    <mergeCell ref="BA1:BB1"/>
    <mergeCell ref="BC1:BD1"/>
    <mergeCell ref="BE1:BF1"/>
    <mergeCell ref="AG1:AH1"/>
    <mergeCell ref="AI1:AJ1"/>
    <mergeCell ref="AK1:AL1"/>
    <mergeCell ref="AM1:AN1"/>
    <mergeCell ref="AO1:AP1"/>
    <mergeCell ref="AQ1:AR1"/>
    <mergeCell ref="AS1:AT1"/>
  </mergeCells>
  <printOptions/>
  <pageMargins bottom="0.75" footer="0.0" header="0.0" left="0.7" right="0.7" top="0.75"/>
  <pageSetup paperSize="9" orientation="portrait"/>
  <drawing r:id="rId1"/>
</worksheet>
</file>